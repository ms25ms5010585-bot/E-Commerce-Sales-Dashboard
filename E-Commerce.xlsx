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namedSheetViews/namedSheetView1.xml" ContentType="application/vnd.ms-excel.namedsheetviews+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https://d.docs.live.net/a46180eb6311a9e8/Documents/"/>
    </mc:Choice>
  </mc:AlternateContent>
  <xr:revisionPtr revIDLastSave="0" documentId="8_{38766C7E-2C3E-4875-AE81-2F8338300BBA}" xr6:coauthVersionLast="47" xr6:coauthVersionMax="47" xr10:uidLastSave="{00000000-0000-0000-0000-000000000000}"/>
  <bookViews>
    <workbookView xWindow="-108" yWindow="-108" windowWidth="23256" windowHeight="12456" activeTab="3" xr2:uid="{DDA97885-F43D-4983-B7FD-45EA7A54BC38}"/>
  </bookViews>
  <sheets>
    <sheet name="Ecommerce_Raw_Data (2)" sheetId="4" r:id="rId1"/>
    <sheet name="Clean data" sheetId="1" r:id="rId2"/>
    <sheet name="Pivart table" sheetId="5" r:id="rId3"/>
    <sheet name="Dashboard" sheetId="6" r:id="rId4"/>
  </sheets>
  <definedNames>
    <definedName name="_xlnm._FilterDatabase" localSheetId="1" hidden="1">'Clean data'!$A$1:$T$1</definedName>
    <definedName name="ExternalData_1" localSheetId="0" hidden="1">'Ecommerce_Raw_Data (2)'!$A$1:$T$1001</definedName>
    <definedName name="Slicer_City">#N/A</definedName>
    <definedName name="Slicer_Order_Status">#N/A</definedName>
    <definedName name="Slicer_St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000" i="1" l="1"/>
  <c r="R1000" i="1"/>
  <c r="R999" i="1"/>
  <c r="R998" i="1"/>
  <c r="R99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A1D91F-2D81-4FF7-A528-6EDC343BF603}" keepAlive="1" name="Query - Ecommerce_Raw_Data" description="Connection to the 'Ecommerce_Raw_Data' query in the workbook." type="5" refreshedVersion="0" background="1">
    <dbPr connection="Provider=Microsoft.Mashup.OleDb.1;Data Source=$Workbook$;Location=Ecommerce_Raw_Data;Extended Properties=&quot;&quot;" command="SELECT * FROM [Ecommerce_Raw_Data]"/>
  </connection>
  <connection id="2" xr16:uid="{84B445EA-BB50-4733-A2B6-CEFA5A55F7A3}" keepAlive="1" name="Query - Ecommerce_Raw_Data (2)" description="Connection to the 'Ecommerce_Raw_Data (2)' query in the workbook." type="5" refreshedVersion="8" background="1" saveData="1">
    <dbPr connection="Provider=Microsoft.Mashup.OleDb.1;Data Source=$Workbook$;Location=&quot;Ecommerce_Raw_Data (2)&quot;;Extended Properties=&quot;&quot;" command="SELECT * FROM [Ecommerce_Raw_Data (2)]"/>
  </connection>
</connections>
</file>

<file path=xl/sharedStrings.xml><?xml version="1.0" encoding="utf-8"?>
<sst xmlns="http://schemas.openxmlformats.org/spreadsheetml/2006/main" count="24361" uniqueCount="1621">
  <si>
    <t>Order_ID</t>
  </si>
  <si>
    <t>Order_Date</t>
  </si>
  <si>
    <t>Customer_ID</t>
  </si>
  <si>
    <t>Customer_Name</t>
  </si>
  <si>
    <t>Gender</t>
  </si>
  <si>
    <t>Age</t>
  </si>
  <si>
    <t>City</t>
  </si>
  <si>
    <t>State</t>
  </si>
  <si>
    <t>Product_ID</t>
  </si>
  <si>
    <t>Product_Name</t>
  </si>
  <si>
    <t>Category</t>
  </si>
  <si>
    <t>Sub_Category</t>
  </si>
  <si>
    <t>Quantity</t>
  </si>
  <si>
    <t>Sales_Amount</t>
  </si>
  <si>
    <t>Cost_Price</t>
  </si>
  <si>
    <t>Discount_Percent</t>
  </si>
  <si>
    <t>Payment_Mode</t>
  </si>
  <si>
    <t>Order_Status</t>
  </si>
  <si>
    <t>Delivery_Date</t>
  </si>
  <si>
    <t>Rating</t>
  </si>
  <si>
    <t>ORD00001</t>
  </si>
  <si>
    <t>C0141</t>
  </si>
  <si>
    <t>Vivaan Sharma</t>
  </si>
  <si>
    <t>Male</t>
  </si>
  <si>
    <t>Indore</t>
  </si>
  <si>
    <t>Madhya Pradesh</t>
  </si>
  <si>
    <t>P102</t>
  </si>
  <si>
    <t>Keyboard</t>
  </si>
  <si>
    <t>Electronics</t>
  </si>
  <si>
    <t>Computer Accessories</t>
  </si>
  <si>
    <t>Cash on Delivery</t>
  </si>
  <si>
    <t>Returned</t>
  </si>
  <si>
    <t>ORD00002</t>
  </si>
  <si>
    <t>C0294</t>
  </si>
  <si>
    <t>Akash Patel</t>
  </si>
  <si>
    <t>Surat</t>
  </si>
  <si>
    <t>Gujarat</t>
  </si>
  <si>
    <t>P304</t>
  </si>
  <si>
    <t>Calculator</t>
  </si>
  <si>
    <t>Stationery</t>
  </si>
  <si>
    <t>Office Supplies</t>
  </si>
  <si>
    <t>Credit Card</t>
  </si>
  <si>
    <t>Delivered</t>
  </si>
  <si>
    <t>ORD00003</t>
  </si>
  <si>
    <t>C0059</t>
  </si>
  <si>
    <t>Mohit Patel</t>
  </si>
  <si>
    <t>Guna</t>
  </si>
  <si>
    <t>P301</t>
  </si>
  <si>
    <t>Notebook Set</t>
  </si>
  <si>
    <t>Paper Products</t>
  </si>
  <si>
    <t>Net Banking</t>
  </si>
  <si>
    <t>ORD00004</t>
  </si>
  <si>
    <t>C0077</t>
  </si>
  <si>
    <t>Aman Singh</t>
  </si>
  <si>
    <t>P103</t>
  </si>
  <si>
    <t>USB Pen Drive 64GB</t>
  </si>
  <si>
    <t>Storage</t>
  </si>
  <si>
    <t>Shipped</t>
  </si>
  <si>
    <t>ORD00005</t>
  </si>
  <si>
    <t>C0195</t>
  </si>
  <si>
    <t>Kunal Joshi</t>
  </si>
  <si>
    <t>Chennai</t>
  </si>
  <si>
    <t>Tamil Nadu</t>
  </si>
  <si>
    <t>P303</t>
  </si>
  <si>
    <t>Desk Organizer</t>
  </si>
  <si>
    <t>Cancelled</t>
  </si>
  <si>
    <t>ORD00006</t>
  </si>
  <si>
    <t>C0031</t>
  </si>
  <si>
    <t>Rahul Mehta</t>
  </si>
  <si>
    <t>Delhi</t>
  </si>
  <si>
    <t>P107</t>
  </si>
  <si>
    <t>Power Bank</t>
  </si>
  <si>
    <t>Mobile Accessories</t>
  </si>
  <si>
    <t>UPI</t>
  </si>
  <si>
    <t>ORD00007</t>
  </si>
  <si>
    <t>C0039</t>
  </si>
  <si>
    <t>Suman Mehta</t>
  </si>
  <si>
    <t>Female</t>
  </si>
  <si>
    <t>Pune</t>
  </si>
  <si>
    <t>Maharashtra</t>
  </si>
  <si>
    <t>P101</t>
  </si>
  <si>
    <t>Wireless Mouse</t>
  </si>
  <si>
    <t>ORD00008</t>
  </si>
  <si>
    <t>C0148</t>
  </si>
  <si>
    <t>Aman Solanki</t>
  </si>
  <si>
    <t>P503</t>
  </si>
  <si>
    <t>Women Kurti</t>
  </si>
  <si>
    <t>Fashion</t>
  </si>
  <si>
    <t>Clothing</t>
  </si>
  <si>
    <t>ORD00009</t>
  </si>
  <si>
    <t>Kota</t>
  </si>
  <si>
    <t>Rajasthan</t>
  </si>
  <si>
    <t>P501</t>
  </si>
  <si>
    <t>Backpack</t>
  </si>
  <si>
    <t>Bags</t>
  </si>
  <si>
    <t>ORD00010</t>
  </si>
  <si>
    <t>C0292</t>
  </si>
  <si>
    <t>Kunal Verma</t>
  </si>
  <si>
    <t>ORD00011</t>
  </si>
  <si>
    <t>C0277</t>
  </si>
  <si>
    <t>Mohit Yadav</t>
  </si>
  <si>
    <t>Kolkata</t>
  </si>
  <si>
    <t>West Bengal</t>
  </si>
  <si>
    <t>Debit Card</t>
  </si>
  <si>
    <t>ORD00012</t>
  </si>
  <si>
    <t>C0047</t>
  </si>
  <si>
    <t>Suman Patel</t>
  </si>
  <si>
    <t>P502</t>
  </si>
  <si>
    <t>Men T-Shirt</t>
  </si>
  <si>
    <t>ORD00013</t>
  </si>
  <si>
    <t>C0090</t>
  </si>
  <si>
    <t>Vivaan Jain</t>
  </si>
  <si>
    <t>P401</t>
  </si>
  <si>
    <t>Water Bottle</t>
  </si>
  <si>
    <t>Home &amp; Kitchen</t>
  </si>
  <si>
    <t>Kitchen Accessories</t>
  </si>
  <si>
    <t>ORD00014</t>
  </si>
  <si>
    <t>C0252</t>
  </si>
  <si>
    <t>Rahul Khan</t>
  </si>
  <si>
    <t>ORD00015</t>
  </si>
  <si>
    <t>C0169</t>
  </si>
  <si>
    <t>Vivaan Verma</t>
  </si>
  <si>
    <t>Hyderabad</t>
  </si>
  <si>
    <t>Telangana</t>
  </si>
  <si>
    <t>ORD00016</t>
  </si>
  <si>
    <t>C0046</t>
  </si>
  <si>
    <t>Lucknow</t>
  </si>
  <si>
    <t>Uttar Pradesh</t>
  </si>
  <si>
    <t>P201</t>
  </si>
  <si>
    <t>Office Chair</t>
  </si>
  <si>
    <t>Furniture</t>
  </si>
  <si>
    <t>Office Furniture</t>
  </si>
  <si>
    <t>ORD00017</t>
  </si>
  <si>
    <t>C0278</t>
  </si>
  <si>
    <t>P302</t>
  </si>
  <si>
    <t>Ball Pen Pack</t>
  </si>
  <si>
    <t>Writing Supplies</t>
  </si>
  <si>
    <t>ORD00018</t>
  </si>
  <si>
    <t>C0227</t>
  </si>
  <si>
    <t>Anjali Gupta</t>
  </si>
  <si>
    <t>ORD00019</t>
  </si>
  <si>
    <t>C0123</t>
  </si>
  <si>
    <t>Aarav Mehta</t>
  </si>
  <si>
    <t>P202</t>
  </si>
  <si>
    <t>Study Table</t>
  </si>
  <si>
    <t>ORD00020</t>
  </si>
  <si>
    <t>C0237</t>
  </si>
  <si>
    <t>Aditya Joshi</t>
  </si>
  <si>
    <t>ORD00021</t>
  </si>
  <si>
    <t>C0140</t>
  </si>
  <si>
    <t>Suman Jain</t>
  </si>
  <si>
    <t>ORD00022</t>
  </si>
  <si>
    <t>C0197</t>
  </si>
  <si>
    <t>Aarav Sharma</t>
  </si>
  <si>
    <t>Jaipur</t>
  </si>
  <si>
    <t>P404</t>
  </si>
  <si>
    <t>Wall Clock</t>
  </si>
  <si>
    <t>Home Decor</t>
  </si>
  <si>
    <t>ORD00023</t>
  </si>
  <si>
    <t>C0137</t>
  </si>
  <si>
    <t>Mohit Joshi</t>
  </si>
  <si>
    <t>Bhopal</t>
  </si>
  <si>
    <t>ORD00024</t>
  </si>
  <si>
    <t>C0171</t>
  </si>
  <si>
    <t>Kavita Khan</t>
  </si>
  <si>
    <t>Bengaluru</t>
  </si>
  <si>
    <t>Karnataka</t>
  </si>
  <si>
    <t>ORD00025</t>
  </si>
  <si>
    <t>C0120</t>
  </si>
  <si>
    <t>Kunal Gupta</t>
  </si>
  <si>
    <t>ORD00026</t>
  </si>
  <si>
    <t>C0019</t>
  </si>
  <si>
    <t>Aditya Solanki</t>
  </si>
  <si>
    <t>Mumbai</t>
  </si>
  <si>
    <t>ORD00027</t>
  </si>
  <si>
    <t>C0234</t>
  </si>
  <si>
    <t>Rohan Khan</t>
  </si>
  <si>
    <t>P504</t>
  </si>
  <si>
    <t>Sports Shoes</t>
  </si>
  <si>
    <t>Footwear</t>
  </si>
  <si>
    <t>ORD00028</t>
  </si>
  <si>
    <t>C0204</t>
  </si>
  <si>
    <t>Rahul Mishra</t>
  </si>
  <si>
    <t>P203</t>
  </si>
  <si>
    <t>Bookshelf</t>
  </si>
  <si>
    <t>Storage Furniture</t>
  </si>
  <si>
    <t>ORD00029</t>
  </si>
  <si>
    <t>C0036</t>
  </si>
  <si>
    <t>Aditya Singh</t>
  </si>
  <si>
    <t>ORD00030</t>
  </si>
  <si>
    <t>C0086</t>
  </si>
  <si>
    <t>Arjun Verma</t>
  </si>
  <si>
    <t>ORD00031</t>
  </si>
  <si>
    <t>C0075</t>
  </si>
  <si>
    <t>Aditya Yadav</t>
  </si>
  <si>
    <t>ORD00032</t>
  </si>
  <si>
    <t>C0124</t>
  </si>
  <si>
    <t>Aman Verma</t>
  </si>
  <si>
    <t>P403</t>
  </si>
  <si>
    <t>Bedsheet</t>
  </si>
  <si>
    <t>Home Furnishing</t>
  </si>
  <si>
    <t>ORD00033</t>
  </si>
  <si>
    <t>C0005</t>
  </si>
  <si>
    <t>Aditya Khan</t>
  </si>
  <si>
    <t>ORD00034</t>
  </si>
  <si>
    <t>C0218</t>
  </si>
  <si>
    <t>Nisha Verma</t>
  </si>
  <si>
    <t>Ahmedabad</t>
  </si>
  <si>
    <t>ORD00035</t>
  </si>
  <si>
    <t>C0196</t>
  </si>
  <si>
    <t>Kunal Singh</t>
  </si>
  <si>
    <t>Kanpur</t>
  </si>
  <si>
    <t>ORD00036</t>
  </si>
  <si>
    <t>bhopal</t>
  </si>
  <si>
    <t>ORD00037</t>
  </si>
  <si>
    <t>C0113</t>
  </si>
  <si>
    <t>ORD00038</t>
  </si>
  <si>
    <t>C0226</t>
  </si>
  <si>
    <t>Sneha Mehta</t>
  </si>
  <si>
    <t>ORD00039</t>
  </si>
  <si>
    <t>C0103</t>
  </si>
  <si>
    <t>Akash Mishra</t>
  </si>
  <si>
    <t>P402</t>
  </si>
  <si>
    <t>Lunch Box</t>
  </si>
  <si>
    <t>ORD00040</t>
  </si>
  <si>
    <t>ORD00041</t>
  </si>
  <si>
    <t>C0203</t>
  </si>
  <si>
    <t>Arjun Jain</t>
  </si>
  <si>
    <t>ORD00042</t>
  </si>
  <si>
    <t>P104</t>
  </si>
  <si>
    <t>Bluetooth Speaker</t>
  </si>
  <si>
    <t>Audio</t>
  </si>
  <si>
    <t>ORD00043</t>
  </si>
  <si>
    <t>C0168</t>
  </si>
  <si>
    <t>ORD00044</t>
  </si>
  <si>
    <t>C0024</t>
  </si>
  <si>
    <t>ORD00045</t>
  </si>
  <si>
    <t>C0233</t>
  </si>
  <si>
    <t>Vikas Patel</t>
  </si>
  <si>
    <t>ORD00046</t>
  </si>
  <si>
    <t>C0051</t>
  </si>
  <si>
    <t>Aarav Joshi</t>
  </si>
  <si>
    <t>ORD00047</t>
  </si>
  <si>
    <t>C0228</t>
  </si>
  <si>
    <t>Kavita Solanki</t>
  </si>
  <si>
    <t>P204</t>
  </si>
  <si>
    <t>Bedside Table</t>
  </si>
  <si>
    <t>Home Furniture</t>
  </si>
  <si>
    <t>ORD00048</t>
  </si>
  <si>
    <t>C0142</t>
  </si>
  <si>
    <t>Rohan Joshi</t>
  </si>
  <si>
    <t>ORD00049</t>
  </si>
  <si>
    <t>P105</t>
  </si>
  <si>
    <t>Smart Watch</t>
  </si>
  <si>
    <t>Wearables</t>
  </si>
  <si>
    <t>ORD00050</t>
  </si>
  <si>
    <t>C0111</t>
  </si>
  <si>
    <t>Vivaan Solanki</t>
  </si>
  <si>
    <t>ORD00051</t>
  </si>
  <si>
    <t>C0129</t>
  </si>
  <si>
    <t>Nisha Mishra</t>
  </si>
  <si>
    <t>ORD00052</t>
  </si>
  <si>
    <t>ORD00053</t>
  </si>
  <si>
    <t>C0186</t>
  </si>
  <si>
    <t>Sneha Solanki</t>
  </si>
  <si>
    <t>ORD00054</t>
  </si>
  <si>
    <t>C0016</t>
  </si>
  <si>
    <t>Anjali Yadav</t>
  </si>
  <si>
    <t>ORD00055</t>
  </si>
  <si>
    <t>C0165</t>
  </si>
  <si>
    <t>Suman Solanki</t>
  </si>
  <si>
    <t>ORD00056</t>
  </si>
  <si>
    <t>C0272</t>
  </si>
  <si>
    <t>Aditya Gupta</t>
  </si>
  <si>
    <t>ORD00057</t>
  </si>
  <si>
    <t>C0232</t>
  </si>
  <si>
    <t>Pooja Joshi</t>
  </si>
  <si>
    <t>ORD00058</t>
  </si>
  <si>
    <t>C0161</t>
  </si>
  <si>
    <t>ORD00059</t>
  </si>
  <si>
    <t>C0050</t>
  </si>
  <si>
    <t>Rashmi Gupta</t>
  </si>
  <si>
    <t>ORD00060</t>
  </si>
  <si>
    <t>ORD00061</t>
  </si>
  <si>
    <t>C0054</t>
  </si>
  <si>
    <t>Neha Jain</t>
  </si>
  <si>
    <t>ORD00062</t>
  </si>
  <si>
    <t>C0143</t>
  </si>
  <si>
    <t>BHOPAL</t>
  </si>
  <si>
    <t>ORD00063</t>
  </si>
  <si>
    <t>ORD00064</t>
  </si>
  <si>
    <t>C0073</t>
  </si>
  <si>
    <t>Riya Solanki</t>
  </si>
  <si>
    <t>ORD00065</t>
  </si>
  <si>
    <t>C0190</t>
  </si>
  <si>
    <t>Riya Mehta</t>
  </si>
  <si>
    <t>ORD00066</t>
  </si>
  <si>
    <t>C0042</t>
  </si>
  <si>
    <t>Priya Mishra</t>
  </si>
  <si>
    <t>ORD00067</t>
  </si>
  <si>
    <t>C0263</t>
  </si>
  <si>
    <t>ORD00068</t>
  </si>
  <si>
    <t>C0158</t>
  </si>
  <si>
    <t>Priya Patel</t>
  </si>
  <si>
    <t>P108</t>
  </si>
  <si>
    <t>Earbuds</t>
  </si>
  <si>
    <t>ORD00069</t>
  </si>
  <si>
    <t>C0131</t>
  </si>
  <si>
    <t>ORD00070</t>
  </si>
  <si>
    <t>ORD00071</t>
  </si>
  <si>
    <t>C0236</t>
  </si>
  <si>
    <t>Aman Joshi</t>
  </si>
  <si>
    <t>ORD00072</t>
  </si>
  <si>
    <t>ORD00073</t>
  </si>
  <si>
    <t>C0055</t>
  </si>
  <si>
    <t>Riya Sharma</t>
  </si>
  <si>
    <t>ORD00074</t>
  </si>
  <si>
    <t>C0114</t>
  </si>
  <si>
    <t>Sneha Verma</t>
  </si>
  <si>
    <t>P106</t>
  </si>
  <si>
    <t>Laptop Stand</t>
  </si>
  <si>
    <t>ORD00075</t>
  </si>
  <si>
    <t>C0179</t>
  </si>
  <si>
    <t>Vikas Gupta</t>
  </si>
  <si>
    <t>ORD00076</t>
  </si>
  <si>
    <t>C0079</t>
  </si>
  <si>
    <t>Vivaan Singh</t>
  </si>
  <si>
    <t>ORD00077</t>
  </si>
  <si>
    <t>C0290</t>
  </si>
  <si>
    <t>Pooja Yadav</t>
  </si>
  <si>
    <t>ORD00078</t>
  </si>
  <si>
    <t>C0156</t>
  </si>
  <si>
    <t>Aarav Patel</t>
  </si>
  <si>
    <t>ORD00079</t>
  </si>
  <si>
    <t>C0020</t>
  </si>
  <si>
    <t>Suman Khan</t>
  </si>
  <si>
    <t>ORD00080</t>
  </si>
  <si>
    <t>C0260</t>
  </si>
  <si>
    <t>Reena Khan</t>
  </si>
  <si>
    <t>ORD00081</t>
  </si>
  <si>
    <t>C0244</t>
  </si>
  <si>
    <t>Vikas Solanki</t>
  </si>
  <si>
    <t>ORD00082</t>
  </si>
  <si>
    <t>C0127</t>
  </si>
  <si>
    <t>ORD00083</t>
  </si>
  <si>
    <t>C0174</t>
  </si>
  <si>
    <t>Akash Jain</t>
  </si>
  <si>
    <t>ORD00084</t>
  </si>
  <si>
    <t>C0130</t>
  </si>
  <si>
    <t>Deepak Joshi</t>
  </si>
  <si>
    <t>ORD00085</t>
  </si>
  <si>
    <t>C0044</t>
  </si>
  <si>
    <t>Anjali Singh</t>
  </si>
  <si>
    <t>ORD00086</t>
  </si>
  <si>
    <t>C0217</t>
  </si>
  <si>
    <t>Priya Yadav</t>
  </si>
  <si>
    <t>ORD00087</t>
  </si>
  <si>
    <t>C0116</t>
  </si>
  <si>
    <t>Vivaan Khan</t>
  </si>
  <si>
    <t>ORD00088</t>
  </si>
  <si>
    <t>C0270</t>
  </si>
  <si>
    <t>ORD00089</t>
  </si>
  <si>
    <t>C0085</t>
  </si>
  <si>
    <t>Muskan Jain</t>
  </si>
  <si>
    <t>ORD00090</t>
  </si>
  <si>
    <t>ORD00091</t>
  </si>
  <si>
    <t>C0145</t>
  </si>
  <si>
    <t>Nisha Sharma</t>
  </si>
  <si>
    <t>ORD00092</t>
  </si>
  <si>
    <t>C0027</t>
  </si>
  <si>
    <t>ORD00093</t>
  </si>
  <si>
    <t>C0083</t>
  </si>
  <si>
    <t>Nisha Patel</t>
  </si>
  <si>
    <t>ORD00094</t>
  </si>
  <si>
    <t>C0014</t>
  </si>
  <si>
    <t>ORD00095</t>
  </si>
  <si>
    <t>C0015</t>
  </si>
  <si>
    <t>Aditya Jain</t>
  </si>
  <si>
    <t>ORD00096</t>
  </si>
  <si>
    <t>C0072</t>
  </si>
  <si>
    <t>Reena Joshi</t>
  </si>
  <si>
    <t>ORD00097</t>
  </si>
  <si>
    <t>C0281</t>
  </si>
  <si>
    <t>ORD00098</t>
  </si>
  <si>
    <t>C0235</t>
  </si>
  <si>
    <t>Aarav Jain</t>
  </si>
  <si>
    <t>ORD00099</t>
  </si>
  <si>
    <t>C0074</t>
  </si>
  <si>
    <t>Arjun Singh</t>
  </si>
  <si>
    <t>ORD00100</t>
  </si>
  <si>
    <t>C0096</t>
  </si>
  <si>
    <t>Arjun Sharma</t>
  </si>
  <si>
    <t>ORD00101</t>
  </si>
  <si>
    <t>ORD00102</t>
  </si>
  <si>
    <t>C0035</t>
  </si>
  <si>
    <t>Pooja Jain</t>
  </si>
  <si>
    <t>ORD00103</t>
  </si>
  <si>
    <t>ORD00104</t>
  </si>
  <si>
    <t>C0104</t>
  </si>
  <si>
    <t>Reena Mishra</t>
  </si>
  <si>
    <t>ORD00105</t>
  </si>
  <si>
    <t>C0279</t>
  </si>
  <si>
    <t>Akash Gupta</t>
  </si>
  <si>
    <t>ORD00106</t>
  </si>
  <si>
    <t>C0064</t>
  </si>
  <si>
    <t>ORD00107</t>
  </si>
  <si>
    <t>C0255</t>
  </si>
  <si>
    <t>Aman Sharma</t>
  </si>
  <si>
    <t>ORD00108</t>
  </si>
  <si>
    <t>C0151</t>
  </si>
  <si>
    <t>ORD00109</t>
  </si>
  <si>
    <t>ORD00110</t>
  </si>
  <si>
    <t>C0208</t>
  </si>
  <si>
    <t>Nisha Khan</t>
  </si>
  <si>
    <t>ORD00111</t>
  </si>
  <si>
    <t>C0065</t>
  </si>
  <si>
    <t>Aditya Verma</t>
  </si>
  <si>
    <t>ORD00112</t>
  </si>
  <si>
    <t>ORD00113</t>
  </si>
  <si>
    <t>ORD00114</t>
  </si>
  <si>
    <t>C0266</t>
  </si>
  <si>
    <t>ORD00115</t>
  </si>
  <si>
    <t>C0147</t>
  </si>
  <si>
    <t>ORD00116</t>
  </si>
  <si>
    <t>C0164</t>
  </si>
  <si>
    <t xml:space="preserve">Bhopal </t>
  </si>
  <si>
    <t>ORD00117</t>
  </si>
  <si>
    <t>C0261</t>
  </si>
  <si>
    <t>ORD00118</t>
  </si>
  <si>
    <t>C0284</t>
  </si>
  <si>
    <t>ORD00119</t>
  </si>
  <si>
    <t>C0246</t>
  </si>
  <si>
    <t>Suman Sharma</t>
  </si>
  <si>
    <t>ORD00120</t>
  </si>
  <si>
    <t>C0239</t>
  </si>
  <si>
    <t>Vivaan Gupta</t>
  </si>
  <si>
    <t>ORD00121</t>
  </si>
  <si>
    <t>ORD00122</t>
  </si>
  <si>
    <t>C0146</t>
  </si>
  <si>
    <t>Aditya Mishra</t>
  </si>
  <si>
    <t>ORD00123</t>
  </si>
  <si>
    <t>C0087</t>
  </si>
  <si>
    <t>Anjali Jain</t>
  </si>
  <si>
    <t>ORD00124</t>
  </si>
  <si>
    <t>C0296</t>
  </si>
  <si>
    <t>ORD00125</t>
  </si>
  <si>
    <t>C0280</t>
  </si>
  <si>
    <t>Aarav Solanki</t>
  </si>
  <si>
    <t>ORD00126</t>
  </si>
  <si>
    <t>ORD00127</t>
  </si>
  <si>
    <t>C0175</t>
  </si>
  <si>
    <t>Rashmi Solanki</t>
  </si>
  <si>
    <t>ORD00128</t>
  </si>
  <si>
    <t>ORD00129</t>
  </si>
  <si>
    <t>ORD00130</t>
  </si>
  <si>
    <t>C0256</t>
  </si>
  <si>
    <t>ORD00131</t>
  </si>
  <si>
    <t>ORD00132</t>
  </si>
  <si>
    <t>C0241</t>
  </si>
  <si>
    <t>ORD00133</t>
  </si>
  <si>
    <t>C0188</t>
  </si>
  <si>
    <t>ORD00134</t>
  </si>
  <si>
    <t>C0038</t>
  </si>
  <si>
    <t>ORD00135</t>
  </si>
  <si>
    <t>ORD00136</t>
  </si>
  <si>
    <t>C0021</t>
  </si>
  <si>
    <t>ORD00137</t>
  </si>
  <si>
    <t>ORD00138</t>
  </si>
  <si>
    <t>C0173</t>
  </si>
  <si>
    <t>Mohit Gupta</t>
  </si>
  <si>
    <t>ORD00139</t>
  </si>
  <si>
    <t>C0057</t>
  </si>
  <si>
    <t>Arjun Joshi</t>
  </si>
  <si>
    <t>ORD00140</t>
  </si>
  <si>
    <t>C0299</t>
  </si>
  <si>
    <t>Kunal Yadav</t>
  </si>
  <si>
    <t>ORD00141</t>
  </si>
  <si>
    <t>ORD00142</t>
  </si>
  <si>
    <t>C0105</t>
  </si>
  <si>
    <t>Rohan Singh</t>
  </si>
  <si>
    <t>ORD00143</t>
  </si>
  <si>
    <t>C0167</t>
  </si>
  <si>
    <t>Aarav Verma</t>
  </si>
  <si>
    <t>madhya pradesh</t>
  </si>
  <si>
    <t>ORD00144</t>
  </si>
  <si>
    <t>C0182</t>
  </si>
  <si>
    <t>ORD00145</t>
  </si>
  <si>
    <t>C0153</t>
  </si>
  <si>
    <t>Nisha Jain</t>
  </si>
  <si>
    <t>ORD00146</t>
  </si>
  <si>
    <t>C0063</t>
  </si>
  <si>
    <t>ORD00147</t>
  </si>
  <si>
    <t>ORD00148</t>
  </si>
  <si>
    <t>ORD00149</t>
  </si>
  <si>
    <t>ORD00150</t>
  </si>
  <si>
    <t>C0282</t>
  </si>
  <si>
    <t>Muskan Solanki</t>
  </si>
  <si>
    <t>ORD00151</t>
  </si>
  <si>
    <t>ORD00152</t>
  </si>
  <si>
    <t>C0091</t>
  </si>
  <si>
    <t>ORD00153</t>
  </si>
  <si>
    <t>ORD00154</t>
  </si>
  <si>
    <t>C0099</t>
  </si>
  <si>
    <t>Muskan Singh</t>
  </si>
  <si>
    <t>ORD00155</t>
  </si>
  <si>
    <t>C0152</t>
  </si>
  <si>
    <t>Reena Verma</t>
  </si>
  <si>
    <t>ORD00156</t>
  </si>
  <si>
    <t>C0045</t>
  </si>
  <si>
    <t>Rashmi Mehta</t>
  </si>
  <si>
    <t>ORD00157</t>
  </si>
  <si>
    <t>C0134</t>
  </si>
  <si>
    <t>Arjun Mishra</t>
  </si>
  <si>
    <t>ORD00158</t>
  </si>
  <si>
    <t>C0185</t>
  </si>
  <si>
    <t>Deepak Khan</t>
  </si>
  <si>
    <t>ORD00159</t>
  </si>
  <si>
    <t>C0061</t>
  </si>
  <si>
    <t>Aarav Khan</t>
  </si>
  <si>
    <t>ORD00160</t>
  </si>
  <si>
    <t>C0192</t>
  </si>
  <si>
    <t>ORD00161</t>
  </si>
  <si>
    <t>ORD00162</t>
  </si>
  <si>
    <t>C0275</t>
  </si>
  <si>
    <t>Pooja Sharma</t>
  </si>
  <si>
    <t>ORD00163</t>
  </si>
  <si>
    <t>C0262</t>
  </si>
  <si>
    <t>ORD00164</t>
  </si>
  <si>
    <t>ORD00165</t>
  </si>
  <si>
    <t>ORD00166</t>
  </si>
  <si>
    <t>ORD00167</t>
  </si>
  <si>
    <t>ORD00168</t>
  </si>
  <si>
    <t>C0271</t>
  </si>
  <si>
    <t>ORD00169</t>
  </si>
  <si>
    <t>ORD00170</t>
  </si>
  <si>
    <t>C0215</t>
  </si>
  <si>
    <t>Priya Mehta</t>
  </si>
  <si>
    <t>ORD00171</t>
  </si>
  <si>
    <t>C0229</t>
  </si>
  <si>
    <t>Deepak Singh</t>
  </si>
  <si>
    <t>ORD00172</t>
  </si>
  <si>
    <t>ORD00173</t>
  </si>
  <si>
    <t>ORD00174</t>
  </si>
  <si>
    <t>ORD00175</t>
  </si>
  <si>
    <t>ORD00176</t>
  </si>
  <si>
    <t>ORD00177</t>
  </si>
  <si>
    <t>C0214</t>
  </si>
  <si>
    <t>Muskan Joshi</t>
  </si>
  <si>
    <t>ORD00178</t>
  </si>
  <si>
    <t>ORD00179</t>
  </si>
  <si>
    <t>C0097</t>
  </si>
  <si>
    <t>ORD00180</t>
  </si>
  <si>
    <t>ORD00181</t>
  </si>
  <si>
    <t>ORD00182</t>
  </si>
  <si>
    <t>ORD00183</t>
  </si>
  <si>
    <t>C0009</t>
  </si>
  <si>
    <t>Mohit Mishra</t>
  </si>
  <si>
    <t>ORD00184</t>
  </si>
  <si>
    <t>ORD00185</t>
  </si>
  <si>
    <t>ORD00186</t>
  </si>
  <si>
    <t>ORD00187</t>
  </si>
  <si>
    <t>C0078</t>
  </si>
  <si>
    <t>ORD00188</t>
  </si>
  <si>
    <t>C0250</t>
  </si>
  <si>
    <t>ORD00189</t>
  </si>
  <si>
    <t>ORD00190</t>
  </si>
  <si>
    <t>ORD00191</t>
  </si>
  <si>
    <t>C0125</t>
  </si>
  <si>
    <t>Nisha Singh</t>
  </si>
  <si>
    <t>ORD00192</t>
  </si>
  <si>
    <t>ORD00193</t>
  </si>
  <si>
    <t>C0049</t>
  </si>
  <si>
    <t>Sneha Khan</t>
  </si>
  <si>
    <t>ORD00194</t>
  </si>
  <si>
    <t>C0289</t>
  </si>
  <si>
    <t>ORD00195</t>
  </si>
  <si>
    <t>ORD00196</t>
  </si>
  <si>
    <t>ORD00197</t>
  </si>
  <si>
    <t>ORD00198</t>
  </si>
  <si>
    <t>ORD00199</t>
  </si>
  <si>
    <t>ORD00201</t>
  </si>
  <si>
    <t>C0286</t>
  </si>
  <si>
    <t>Akash Singh</t>
  </si>
  <si>
    <t>ORD00202</t>
  </si>
  <si>
    <t>ORD00203</t>
  </si>
  <si>
    <t>C0267</t>
  </si>
  <si>
    <t>Kavita Patel</t>
  </si>
  <si>
    <t>ORD00204</t>
  </si>
  <si>
    <t>ORD00205</t>
  </si>
  <si>
    <t>ORD00206</t>
  </si>
  <si>
    <t>ORD00207</t>
  </si>
  <si>
    <t>ORD00208</t>
  </si>
  <si>
    <t>ORD00209</t>
  </si>
  <si>
    <t>ORD00210</t>
  </si>
  <si>
    <t>ORD00211</t>
  </si>
  <si>
    <t>C0194</t>
  </si>
  <si>
    <t>Deepak Yadav</t>
  </si>
  <si>
    <t>ORD00212</t>
  </si>
  <si>
    <t>ORD00213</t>
  </si>
  <si>
    <t>C0023</t>
  </si>
  <si>
    <t>Neha Verma</t>
  </si>
  <si>
    <t>ORD00214</t>
  </si>
  <si>
    <t>ORD00215</t>
  </si>
  <si>
    <t>C0013</t>
  </si>
  <si>
    <t>ORD00216</t>
  </si>
  <si>
    <t>C0176</t>
  </si>
  <si>
    <t>ORD00217</t>
  </si>
  <si>
    <t>ORD00218</t>
  </si>
  <si>
    <t>ORD00219</t>
  </si>
  <si>
    <t>ORD00220</t>
  </si>
  <si>
    <t>C0220</t>
  </si>
  <si>
    <t>ORD00221</t>
  </si>
  <si>
    <t>ORD00222</t>
  </si>
  <si>
    <t>ORD00223</t>
  </si>
  <si>
    <t>ORD00224</t>
  </si>
  <si>
    <t>ORD00225</t>
  </si>
  <si>
    <t>ORD00226</t>
  </si>
  <si>
    <t>ORD00227</t>
  </si>
  <si>
    <t>ORD00228</t>
  </si>
  <si>
    <t>ORD00229</t>
  </si>
  <si>
    <t>ORD00230</t>
  </si>
  <si>
    <t>C0022</t>
  </si>
  <si>
    <t>Vivaan Joshi</t>
  </si>
  <si>
    <t>ORD00231</t>
  </si>
  <si>
    <t>C0017</t>
  </si>
  <si>
    <t>Priya Sharma</t>
  </si>
  <si>
    <t>ORD00232</t>
  </si>
  <si>
    <t>C0180</t>
  </si>
  <si>
    <t>Neha Joshi</t>
  </si>
  <si>
    <t>ORD00233</t>
  </si>
  <si>
    <t>ORD00234</t>
  </si>
  <si>
    <t>ORD00235</t>
  </si>
  <si>
    <t>C0068</t>
  </si>
  <si>
    <t>ORD00236</t>
  </si>
  <si>
    <t>C0213</t>
  </si>
  <si>
    <t>Suman Gupta</t>
  </si>
  <si>
    <t>ORD00237</t>
  </si>
  <si>
    <t>C0189</t>
  </si>
  <si>
    <t>Suman Yadav</t>
  </si>
  <si>
    <t>ORD00238</t>
  </si>
  <si>
    <t>C0274</t>
  </si>
  <si>
    <t>ORD00239</t>
  </si>
  <si>
    <t>ORD00240</t>
  </si>
  <si>
    <t>ORD00241</t>
  </si>
  <si>
    <t>ORD00242</t>
  </si>
  <si>
    <t>ORD00243</t>
  </si>
  <si>
    <t>C0245</t>
  </si>
  <si>
    <t>ORD00244</t>
  </si>
  <si>
    <t>upi</t>
  </si>
  <si>
    <t>ORD00245</t>
  </si>
  <si>
    <t>C0053</t>
  </si>
  <si>
    <t>ORD00246</t>
  </si>
  <si>
    <t>ORD00247</t>
  </si>
  <si>
    <t>ORD00248</t>
  </si>
  <si>
    <t>ORD00249</t>
  </si>
  <si>
    <t>ORD00250</t>
  </si>
  <si>
    <t>ORD00251</t>
  </si>
  <si>
    <t>C0037</t>
  </si>
  <si>
    <t>Akash Yadav</t>
  </si>
  <si>
    <t>ORD00252</t>
  </si>
  <si>
    <t>ORD00253</t>
  </si>
  <si>
    <t>ORD00254</t>
  </si>
  <si>
    <t>C0206</t>
  </si>
  <si>
    <t>ORD00255</t>
  </si>
  <si>
    <t>ORD00256</t>
  </si>
  <si>
    <t>C0224</t>
  </si>
  <si>
    <t>Kavita Jain</t>
  </si>
  <si>
    <t>ORD00257</t>
  </si>
  <si>
    <t>ORD00258</t>
  </si>
  <si>
    <t>C0191</t>
  </si>
  <si>
    <t>ORD00259</t>
  </si>
  <si>
    <t>C0033</t>
  </si>
  <si>
    <t>ORD00260</t>
  </si>
  <si>
    <t>ORD00261</t>
  </si>
  <si>
    <t>C0060</t>
  </si>
  <si>
    <t>Rahul Solanki</t>
  </si>
  <si>
    <t>ORD00262</t>
  </si>
  <si>
    <t>C0242</t>
  </si>
  <si>
    <t>Priya Jain</t>
  </si>
  <si>
    <t>ORD00263</t>
  </si>
  <si>
    <t>ORD00264</t>
  </si>
  <si>
    <t>C0258</t>
  </si>
  <si>
    <t>ORD00265</t>
  </si>
  <si>
    <t>ORD00266</t>
  </si>
  <si>
    <t>ORD00267</t>
  </si>
  <si>
    <t>C0004</t>
  </si>
  <si>
    <t>ORD00268</t>
  </si>
  <si>
    <t>ORD00269</t>
  </si>
  <si>
    <t>ORD00270</t>
  </si>
  <si>
    <t>C0069</t>
  </si>
  <si>
    <t>Rashmi Khan</t>
  </si>
  <si>
    <t>ORD00271</t>
  </si>
  <si>
    <t>ORD00272</t>
  </si>
  <si>
    <t>C0070</t>
  </si>
  <si>
    <t>Mohit Solanki</t>
  </si>
  <si>
    <t>ORD00273</t>
  </si>
  <si>
    <t>ORD00274</t>
  </si>
  <si>
    <t>ORD00275</t>
  </si>
  <si>
    <t>ORD00276</t>
  </si>
  <si>
    <t>ORD00277</t>
  </si>
  <si>
    <t>C0067</t>
  </si>
  <si>
    <t>ORD00278</t>
  </si>
  <si>
    <t>ORD00279</t>
  </si>
  <si>
    <t>ORD00280</t>
  </si>
  <si>
    <t>C0219</t>
  </si>
  <si>
    <t>ORD00281</t>
  </si>
  <si>
    <t>C0126</t>
  </si>
  <si>
    <t>ORD00282</t>
  </si>
  <si>
    <t>ORD00283</t>
  </si>
  <si>
    <t>C0184</t>
  </si>
  <si>
    <t>ORD00284</t>
  </si>
  <si>
    <t>C0199</t>
  </si>
  <si>
    <t>Riya Jain</t>
  </si>
  <si>
    <t>ORD00285</t>
  </si>
  <si>
    <t>ORD00286</t>
  </si>
  <si>
    <t>ORD00287</t>
  </si>
  <si>
    <t>C0163</t>
  </si>
  <si>
    <t>Sneha Yadav</t>
  </si>
  <si>
    <t>ORD00288</t>
  </si>
  <si>
    <t>ORD00289</t>
  </si>
  <si>
    <t>ORD00290</t>
  </si>
  <si>
    <t>ORD00291</t>
  </si>
  <si>
    <t>ORD00292</t>
  </si>
  <si>
    <t>C0052</t>
  </si>
  <si>
    <t>Reena Solanki</t>
  </si>
  <si>
    <t>ORD00293</t>
  </si>
  <si>
    <t>ORD00294</t>
  </si>
  <si>
    <t>ORD00295</t>
  </si>
  <si>
    <t>ORD00296</t>
  </si>
  <si>
    <t>C0178</t>
  </si>
  <si>
    <t>ORD00297</t>
  </si>
  <si>
    <t>ORD00298</t>
  </si>
  <si>
    <t>C0212</t>
  </si>
  <si>
    <t>Riya Gupta</t>
  </si>
  <si>
    <t>ORD00299</t>
  </si>
  <si>
    <t>ORD00300</t>
  </si>
  <si>
    <t>C0088</t>
  </si>
  <si>
    <t>Riya Mishra</t>
  </si>
  <si>
    <t>ORD00301</t>
  </si>
  <si>
    <t>C0248</t>
  </si>
  <si>
    <t>Deepak Patel</t>
  </si>
  <si>
    <t>ORD00302</t>
  </si>
  <si>
    <t>C0098</t>
  </si>
  <si>
    <t>Rahul Jain</t>
  </si>
  <si>
    <t>ORD00303</t>
  </si>
  <si>
    <t>C0202</t>
  </si>
  <si>
    <t>ORD00304</t>
  </si>
  <si>
    <t>ORD00305</t>
  </si>
  <si>
    <t>ORD00306</t>
  </si>
  <si>
    <t>ORD00307</t>
  </si>
  <si>
    <t>ORD00308</t>
  </si>
  <si>
    <t>ORD00309</t>
  </si>
  <si>
    <t>C0121</t>
  </si>
  <si>
    <t>ORD00310</t>
  </si>
  <si>
    <t>C0265</t>
  </si>
  <si>
    <t>ORD00311</t>
  </si>
  <si>
    <t>ORD00312</t>
  </si>
  <si>
    <t>ORD00313</t>
  </si>
  <si>
    <t>C0268</t>
  </si>
  <si>
    <t>ORD00314</t>
  </si>
  <si>
    <t>ORD00315</t>
  </si>
  <si>
    <t>C0136</t>
  </si>
  <si>
    <t>ORD00316</t>
  </si>
  <si>
    <t>ORD00317</t>
  </si>
  <si>
    <t>C0011</t>
  </si>
  <si>
    <t>Aman Gupta</t>
  </si>
  <si>
    <t>ORD00318</t>
  </si>
  <si>
    <t>ORD00319</t>
  </si>
  <si>
    <t>ORD00320</t>
  </si>
  <si>
    <t>C0034</t>
  </si>
  <si>
    <t>ORD00321</t>
  </si>
  <si>
    <t>ORD00322</t>
  </si>
  <si>
    <t>ORD00323</t>
  </si>
  <si>
    <t>ORD00324</t>
  </si>
  <si>
    <t>ORD00325</t>
  </si>
  <si>
    <t>C0210</t>
  </si>
  <si>
    <t>ORD00326</t>
  </si>
  <si>
    <t>ORD00327</t>
  </si>
  <si>
    <t>C0112</t>
  </si>
  <si>
    <t>Rahul Verma</t>
  </si>
  <si>
    <t>ORD00328</t>
  </si>
  <si>
    <t>ORD00329</t>
  </si>
  <si>
    <t>ORD00330</t>
  </si>
  <si>
    <t>ORD00331</t>
  </si>
  <si>
    <t>ORD00332</t>
  </si>
  <si>
    <t>ORD00333</t>
  </si>
  <si>
    <t>C0172</t>
  </si>
  <si>
    <t>ORD00334</t>
  </si>
  <si>
    <t>C0300</t>
  </si>
  <si>
    <t>Neha Sharma</t>
  </si>
  <si>
    <t>ORD00335</t>
  </si>
  <si>
    <t>C0100</t>
  </si>
  <si>
    <t>Vivaan Patel</t>
  </si>
  <si>
    <t>ORD00336</t>
  </si>
  <si>
    <t>ORD00337</t>
  </si>
  <si>
    <t>ORD00338</t>
  </si>
  <si>
    <t>C0082</t>
  </si>
  <si>
    <t>Reena Mehta</t>
  </si>
  <si>
    <t>ORD00339</t>
  </si>
  <si>
    <t>C0003</t>
  </si>
  <si>
    <t>Kunal Patel</t>
  </si>
  <si>
    <t>ORD00340</t>
  </si>
  <si>
    <t>ORD00341</t>
  </si>
  <si>
    <t>ORD00342</t>
  </si>
  <si>
    <t>ORD00343</t>
  </si>
  <si>
    <t>C0010</t>
  </si>
  <si>
    <t>Kavita Singh</t>
  </si>
  <si>
    <t>ORD00344</t>
  </si>
  <si>
    <t>ORD00345</t>
  </si>
  <si>
    <t>C0025</t>
  </si>
  <si>
    <t>Riya Joshi</t>
  </si>
  <si>
    <t xml:space="preserve">UPI </t>
  </si>
  <si>
    <t>ORD00346</t>
  </si>
  <si>
    <t>ORD00347</t>
  </si>
  <si>
    <t>ORD00348</t>
  </si>
  <si>
    <t>ORD00349</t>
  </si>
  <si>
    <t>ORD00351</t>
  </si>
  <si>
    <t>ORD00352</t>
  </si>
  <si>
    <t>C0026</t>
  </si>
  <si>
    <t>Rahul Yadav</t>
  </si>
  <si>
    <t>ORD00353</t>
  </si>
  <si>
    <t>ORD00354</t>
  </si>
  <si>
    <t>C0138</t>
  </si>
  <si>
    <t>Priya Solanki</t>
  </si>
  <si>
    <t>ORD00355</t>
  </si>
  <si>
    <t>C0198</t>
  </si>
  <si>
    <t>Muskan Khan</t>
  </si>
  <si>
    <t>ORD00356</t>
  </si>
  <si>
    <t>ORD00357</t>
  </si>
  <si>
    <t>ORD00358</t>
  </si>
  <si>
    <t>ORD00359</t>
  </si>
  <si>
    <t>ORD00360</t>
  </si>
  <si>
    <t>ORD00361</t>
  </si>
  <si>
    <t>ORD00362</t>
  </si>
  <si>
    <t>ORD00363</t>
  </si>
  <si>
    <t>ORD00364</t>
  </si>
  <si>
    <t>ORD00365</t>
  </si>
  <si>
    <t>C0170</t>
  </si>
  <si>
    <t>Kavita Yadav</t>
  </si>
  <si>
    <t>ORD00366</t>
  </si>
  <si>
    <t>ORD00367</t>
  </si>
  <si>
    <t>ORD00368</t>
  </si>
  <si>
    <t>ORD00369</t>
  </si>
  <si>
    <t>C0259</t>
  </si>
  <si>
    <t>ORD00370</t>
  </si>
  <si>
    <t>ORD00371</t>
  </si>
  <si>
    <t>ORD00372</t>
  </si>
  <si>
    <t>C0071</t>
  </si>
  <si>
    <t>ORD00373</t>
  </si>
  <si>
    <t>C0108</t>
  </si>
  <si>
    <t>Vikas Yadav</t>
  </si>
  <si>
    <t>ORD00374</t>
  </si>
  <si>
    <t>C0166</t>
  </si>
  <si>
    <t>ORD00375</t>
  </si>
  <si>
    <t>ORD00376</t>
  </si>
  <si>
    <t>C0029</t>
  </si>
  <si>
    <t>ORD00377</t>
  </si>
  <si>
    <t>Pooja Gupta</t>
  </si>
  <si>
    <t>ORD00378</t>
  </si>
  <si>
    <t>C0288</t>
  </si>
  <si>
    <t>ORD00379</t>
  </si>
  <si>
    <t>ORD00380</t>
  </si>
  <si>
    <t>ORD00381</t>
  </si>
  <si>
    <t>C0089</t>
  </si>
  <si>
    <t>ORD00382</t>
  </si>
  <si>
    <t>ORD00383</t>
  </si>
  <si>
    <t>ORD00384</t>
  </si>
  <si>
    <t>ORD00385</t>
  </si>
  <si>
    <t>ORD00386</t>
  </si>
  <si>
    <t>ORD00387</t>
  </si>
  <si>
    <t>ORD00388</t>
  </si>
  <si>
    <t>ORD00389</t>
  </si>
  <si>
    <t>ORD00390</t>
  </si>
  <si>
    <t>C0106</t>
  </si>
  <si>
    <t>Mohit Sharma</t>
  </si>
  <si>
    <t>ORD00391</t>
  </si>
  <si>
    <t>ORD00392</t>
  </si>
  <si>
    <t>ORD00393</t>
  </si>
  <si>
    <t>ORD00394</t>
  </si>
  <si>
    <t>C0155</t>
  </si>
  <si>
    <t>Rahul Patel</t>
  </si>
  <si>
    <t>ORD00395</t>
  </si>
  <si>
    <t>C0081</t>
  </si>
  <si>
    <t>Rashmi Singh</t>
  </si>
  <si>
    <t>ORD00396</t>
  </si>
  <si>
    <t>ORD00397</t>
  </si>
  <si>
    <t>C0276</t>
  </si>
  <si>
    <t>Pooja Patel</t>
  </si>
  <si>
    <t>ORD00398</t>
  </si>
  <si>
    <t>C0095</t>
  </si>
  <si>
    <t>Aditya Mehta</t>
  </si>
  <si>
    <t>ORD00399</t>
  </si>
  <si>
    <t>ORD00400</t>
  </si>
  <si>
    <t>C0183</t>
  </si>
  <si>
    <t>Kavita Joshi</t>
  </si>
  <si>
    <t>ORD00401</t>
  </si>
  <si>
    <t>ORD00402</t>
  </si>
  <si>
    <t>C0291</t>
  </si>
  <si>
    <t>Priya Gupta</t>
  </si>
  <si>
    <t>ORD00403</t>
  </si>
  <si>
    <t>ORD00404</t>
  </si>
  <si>
    <t>ORD00405</t>
  </si>
  <si>
    <t>C0040</t>
  </si>
  <si>
    <t>ORD00406</t>
  </si>
  <si>
    <t>C0109</t>
  </si>
  <si>
    <t>ORD00407</t>
  </si>
  <si>
    <t>C0149</t>
  </si>
  <si>
    <t>ORD00408</t>
  </si>
  <si>
    <t>ORD00409</t>
  </si>
  <si>
    <t>ORD00410</t>
  </si>
  <si>
    <t>ORD00411</t>
  </si>
  <si>
    <t>ORD00412</t>
  </si>
  <si>
    <t>ORD00413</t>
  </si>
  <si>
    <t>ORD00414</t>
  </si>
  <si>
    <t>C0144</t>
  </si>
  <si>
    <t>ORD00415</t>
  </si>
  <si>
    <t>C0118</t>
  </si>
  <si>
    <t>ORD00416</t>
  </si>
  <si>
    <t>C0211</t>
  </si>
  <si>
    <t>ORD00417</t>
  </si>
  <si>
    <t>ORD00418</t>
  </si>
  <si>
    <t>ORD00419</t>
  </si>
  <si>
    <t>ORD00420</t>
  </si>
  <si>
    <t>ORD00421</t>
  </si>
  <si>
    <t>ORD00422</t>
  </si>
  <si>
    <t>ORD00423</t>
  </si>
  <si>
    <t>C0048</t>
  </si>
  <si>
    <t>Deepak Verma</t>
  </si>
  <si>
    <t>ORD00424</t>
  </si>
  <si>
    <t>ORD00425</t>
  </si>
  <si>
    <t>C0295</t>
  </si>
  <si>
    <t>ORD00426</t>
  </si>
  <si>
    <t>ORD00427</t>
  </si>
  <si>
    <t>ORD00428</t>
  </si>
  <si>
    <t>ORD00429</t>
  </si>
  <si>
    <t>ORD00430</t>
  </si>
  <si>
    <t>ORD00431</t>
  </si>
  <si>
    <t>ORD00432</t>
  </si>
  <si>
    <t>C0200</t>
  </si>
  <si>
    <t>ORD00433</t>
  </si>
  <si>
    <t>ORD00434</t>
  </si>
  <si>
    <t>C0030</t>
  </si>
  <si>
    <t>ORD00435</t>
  </si>
  <si>
    <t>C0018</t>
  </si>
  <si>
    <t>ORD00436</t>
  </si>
  <si>
    <t>ORD00437</t>
  </si>
  <si>
    <t>ORD00438</t>
  </si>
  <si>
    <t>ORD00439</t>
  </si>
  <si>
    <t>ORD00440</t>
  </si>
  <si>
    <t>ORD00441</t>
  </si>
  <si>
    <t>ORD00442</t>
  </si>
  <si>
    <t>ORD00443</t>
  </si>
  <si>
    <t>C0135</t>
  </si>
  <si>
    <t>Rohan Gupta</t>
  </si>
  <si>
    <t>ORD00444</t>
  </si>
  <si>
    <t>ORD00445</t>
  </si>
  <si>
    <t>ORD00446</t>
  </si>
  <si>
    <t>ORD00447</t>
  </si>
  <si>
    <t>ORD00448</t>
  </si>
  <si>
    <t>ORD00449</t>
  </si>
  <si>
    <t>Kavita Mishra</t>
  </si>
  <si>
    <t>ORD00450</t>
  </si>
  <si>
    <t>C0062</t>
  </si>
  <si>
    <t>Muskan Sharma</t>
  </si>
  <si>
    <t>ORD00451</t>
  </si>
  <si>
    <t>ORD00452</t>
  </si>
  <si>
    <t>ORD00453</t>
  </si>
  <si>
    <t>C0093</t>
  </si>
  <si>
    <t>Rohan Jain</t>
  </si>
  <si>
    <t>ORD00454</t>
  </si>
  <si>
    <t>C0101</t>
  </si>
  <si>
    <t>ORD00455</t>
  </si>
  <si>
    <t>ORD00456</t>
  </si>
  <si>
    <t>ORD00457</t>
  </si>
  <si>
    <t>ORD00458</t>
  </si>
  <si>
    <t>C0102</t>
  </si>
  <si>
    <t>ORD00459</t>
  </si>
  <si>
    <t>ORD00460</t>
  </si>
  <si>
    <t>C0041</t>
  </si>
  <si>
    <t>ORD00461</t>
  </si>
  <si>
    <t>ORD00462</t>
  </si>
  <si>
    <t>ORD00463</t>
  </si>
  <si>
    <t>C0243</t>
  </si>
  <si>
    <t>ORD00464</t>
  </si>
  <si>
    <t>ORD00465</t>
  </si>
  <si>
    <t>ORD00466</t>
  </si>
  <si>
    <t>ORD00467</t>
  </si>
  <si>
    <t>ORD00468</t>
  </si>
  <si>
    <t>ORD00469</t>
  </si>
  <si>
    <t>ORD00470</t>
  </si>
  <si>
    <t>C0221</t>
  </si>
  <si>
    <t>ORD00471</t>
  </si>
  <si>
    <t>ORD00472</t>
  </si>
  <si>
    <t>ORD00473</t>
  </si>
  <si>
    <t>ORD00474</t>
  </si>
  <si>
    <t>ORD00475</t>
  </si>
  <si>
    <t>C0225</t>
  </si>
  <si>
    <t>Akash Sharma</t>
  </si>
  <si>
    <t>ORD00476</t>
  </si>
  <si>
    <t>C0160</t>
  </si>
  <si>
    <t>ORD00477</t>
  </si>
  <si>
    <t>C0201</t>
  </si>
  <si>
    <t>ORD00478</t>
  </si>
  <si>
    <t>ORD00479</t>
  </si>
  <si>
    <t>C0107</t>
  </si>
  <si>
    <t>delivered</t>
  </si>
  <si>
    <t>ORD00480</t>
  </si>
  <si>
    <t>C0247</t>
  </si>
  <si>
    <t>ORD00481</t>
  </si>
  <si>
    <t>C0008</t>
  </si>
  <si>
    <t>Deepak Sharma</t>
  </si>
  <si>
    <t>ORD00482</t>
  </si>
  <si>
    <t>C0298</t>
  </si>
  <si>
    <t>ORD00483</t>
  </si>
  <si>
    <t>ORD00484</t>
  </si>
  <si>
    <t>ORD00485</t>
  </si>
  <si>
    <t>ORD00486</t>
  </si>
  <si>
    <t>C0249</t>
  </si>
  <si>
    <t>Rohan Mehta</t>
  </si>
  <si>
    <t>ORD00487</t>
  </si>
  <si>
    <t>ORD00488</t>
  </si>
  <si>
    <t>ORD00489</t>
  </si>
  <si>
    <t>ORD00490</t>
  </si>
  <si>
    <t>ORD00491</t>
  </si>
  <si>
    <t>ORD00492</t>
  </si>
  <si>
    <t>ORD00493</t>
  </si>
  <si>
    <t>ORD00494</t>
  </si>
  <si>
    <t>ORD00495</t>
  </si>
  <si>
    <t>ORD00496</t>
  </si>
  <si>
    <t>ORD00497</t>
  </si>
  <si>
    <t>C0092</t>
  </si>
  <si>
    <t>ORD00498</t>
  </si>
  <si>
    <t>ORD00499</t>
  </si>
  <si>
    <t>ORD00500</t>
  </si>
  <si>
    <t>ORD00501</t>
  </si>
  <si>
    <t>ORD00502</t>
  </si>
  <si>
    <t>C0162</t>
  </si>
  <si>
    <t>Kunal Sharma</t>
  </si>
  <si>
    <t>ORD00503</t>
  </si>
  <si>
    <t>ORD00504</t>
  </si>
  <si>
    <t>C0205</t>
  </si>
  <si>
    <t>ORD00505</t>
  </si>
  <si>
    <t>C0154</t>
  </si>
  <si>
    <t>ORD00506</t>
  </si>
  <si>
    <t>C0223</t>
  </si>
  <si>
    <t>Kavita Sharma</t>
  </si>
  <si>
    <t>ORD00507</t>
  </si>
  <si>
    <t>ORD00508</t>
  </si>
  <si>
    <t>ORD00509</t>
  </si>
  <si>
    <t>ORD00510</t>
  </si>
  <si>
    <t>ORD00511</t>
  </si>
  <si>
    <t>C0269</t>
  </si>
  <si>
    <t>Nisha Mehta</t>
  </si>
  <si>
    <t>ORD00512</t>
  </si>
  <si>
    <t>ORD00513</t>
  </si>
  <si>
    <t>ORD00514</t>
  </si>
  <si>
    <t>ORD00515</t>
  </si>
  <si>
    <t>ORD00516</t>
  </si>
  <si>
    <t>ORD00517</t>
  </si>
  <si>
    <t>ORD00518</t>
  </si>
  <si>
    <t>C0139</t>
  </si>
  <si>
    <t>ORD00519</t>
  </si>
  <si>
    <t>ORD00520</t>
  </si>
  <si>
    <t>ORD00521</t>
  </si>
  <si>
    <t>C0012</t>
  </si>
  <si>
    <t>ORD00522</t>
  </si>
  <si>
    <t>ORD00523</t>
  </si>
  <si>
    <t>ORD00524</t>
  </si>
  <si>
    <t>ORD00525</t>
  </si>
  <si>
    <t>ORD00526</t>
  </si>
  <si>
    <t>ORD00527</t>
  </si>
  <si>
    <t>ORD00528</t>
  </si>
  <si>
    <t>ORD00529</t>
  </si>
  <si>
    <t>C0119</t>
  </si>
  <si>
    <t>Priya Singh</t>
  </si>
  <si>
    <t>ORD00530</t>
  </si>
  <si>
    <t>ORD00531</t>
  </si>
  <si>
    <t>ORD00532</t>
  </si>
  <si>
    <t>ORD00533</t>
  </si>
  <si>
    <t>electronics</t>
  </si>
  <si>
    <t>ORD00534</t>
  </si>
  <si>
    <t>ORD00535</t>
  </si>
  <si>
    <t>ORD00536</t>
  </si>
  <si>
    <t>C0150</t>
  </si>
  <si>
    <t>Neha Yadav</t>
  </si>
  <si>
    <t>ORD00537</t>
  </si>
  <si>
    <t>C0028</t>
  </si>
  <si>
    <t>Akash Joshi</t>
  </si>
  <si>
    <t>ORD00538</t>
  </si>
  <si>
    <t>ORD00539</t>
  </si>
  <si>
    <t>ORD00540</t>
  </si>
  <si>
    <t>C0231</t>
  </si>
  <si>
    <t>ORD00541</t>
  </si>
  <si>
    <t>ORD00542</t>
  </si>
  <si>
    <t>ORD00543</t>
  </si>
  <si>
    <t>ORD00544</t>
  </si>
  <si>
    <t>ORD00545</t>
  </si>
  <si>
    <t>ORD00546</t>
  </si>
  <si>
    <t>ORD00547</t>
  </si>
  <si>
    <t>ORD00548</t>
  </si>
  <si>
    <t>ORD00549</t>
  </si>
  <si>
    <t>ORD00550</t>
  </si>
  <si>
    <t>ORD00551</t>
  </si>
  <si>
    <t>C0056</t>
  </si>
  <si>
    <t>Rashmi Patel</t>
  </si>
  <si>
    <t>ORD00552</t>
  </si>
  <si>
    <t>C0133</t>
  </si>
  <si>
    <t>ORD00553</t>
  </si>
  <si>
    <t>ORD00554</t>
  </si>
  <si>
    <t>ORD00555</t>
  </si>
  <si>
    <t>ORD00556</t>
  </si>
  <si>
    <t>ORD00557</t>
  </si>
  <si>
    <t>ORD00558</t>
  </si>
  <si>
    <t>ORD00559</t>
  </si>
  <si>
    <t>ORD00560</t>
  </si>
  <si>
    <t>ORD00561</t>
  </si>
  <si>
    <t>ORD00562</t>
  </si>
  <si>
    <t>ORD00563</t>
  </si>
  <si>
    <t>ORD00564</t>
  </si>
  <si>
    <t>ORD00565</t>
  </si>
  <si>
    <t>ORD00566</t>
  </si>
  <si>
    <t>C0240</t>
  </si>
  <si>
    <t>Pooja Singh</t>
  </si>
  <si>
    <t>ORD00567</t>
  </si>
  <si>
    <t>ORD00568</t>
  </si>
  <si>
    <t>ORD00569</t>
  </si>
  <si>
    <t>ORD00570</t>
  </si>
  <si>
    <t>ORD00571</t>
  </si>
  <si>
    <t>ORD00572</t>
  </si>
  <si>
    <t>ORD00573</t>
  </si>
  <si>
    <t>ORD00574</t>
  </si>
  <si>
    <t>ORD00575</t>
  </si>
  <si>
    <t>ORD00576</t>
  </si>
  <si>
    <t>ORD00577</t>
  </si>
  <si>
    <t>ORD00578</t>
  </si>
  <si>
    <t>ORD00579</t>
  </si>
  <si>
    <t>ORD00580</t>
  </si>
  <si>
    <t>C0238</t>
  </si>
  <si>
    <t>ORD00581</t>
  </si>
  <si>
    <t>ORD00582</t>
  </si>
  <si>
    <t>ORD00583</t>
  </si>
  <si>
    <t>ORD00584</t>
  </si>
  <si>
    <t>C0177</t>
  </si>
  <si>
    <t>Reena Yadav</t>
  </si>
  <si>
    <t>ORD00585</t>
  </si>
  <si>
    <t>ORD00586</t>
  </si>
  <si>
    <t>C0222</t>
  </si>
  <si>
    <t>Pooja Solanki</t>
  </si>
  <si>
    <t>ORD00587</t>
  </si>
  <si>
    <t>ORD00588</t>
  </si>
  <si>
    <t>ORD00589</t>
  </si>
  <si>
    <t>ORD00590</t>
  </si>
  <si>
    <t>ORD00591</t>
  </si>
  <si>
    <t>ORD00592</t>
  </si>
  <si>
    <t>ORD00593</t>
  </si>
  <si>
    <t>ORD00594</t>
  </si>
  <si>
    <t>ORD00595</t>
  </si>
  <si>
    <t>ORD00596</t>
  </si>
  <si>
    <t>ORD00597</t>
  </si>
  <si>
    <t>ORD00598</t>
  </si>
  <si>
    <t>ORD00599</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</si>
  <si>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</si>
  <si>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</si>
  <si>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</si>
  <si>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</si>
  <si>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</si>
  <si>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</si>
  <si>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</si>
  <si>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</si>
  <si>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</si>
  <si>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</si>
  <si>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</si>
  <si>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</si>
  <si>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</si>
  <si>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</si>
  <si>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</si>
  <si>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</si>
  <si>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</si>
  <si>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</si>
  <si>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</si>
  <si>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</si>
  <si>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</si>
  <si>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 xml:space="preserve">  Priya Sharma</t>
  </si>
  <si>
    <t>ORD00622</t>
  </si>
  <si>
    <t>ORD00623</t>
  </si>
  <si>
    <t>ORD00624</t>
  </si>
  <si>
    <t>ORD00625</t>
  </si>
  <si>
    <t>ORD00626</t>
  </si>
  <si>
    <t>ORD00627</t>
  </si>
  <si>
    <t>ORD00628</t>
  </si>
  <si>
    <t>C0110</t>
  </si>
  <si>
    <t>ORD00629</t>
  </si>
  <si>
    <t>ORD00630</t>
  </si>
  <si>
    <t>ORD00631</t>
  </si>
  <si>
    <t>ORD00632</t>
  </si>
  <si>
    <t>ORD00633</t>
  </si>
  <si>
    <t>ORD00634</t>
  </si>
  <si>
    <t>ORD00635</t>
  </si>
  <si>
    <t>ORD00636</t>
  </si>
  <si>
    <t>C0187</t>
  </si>
  <si>
    <t>Neha Gupta</t>
  </si>
  <si>
    <t>ORD00637</t>
  </si>
  <si>
    <t>ORD00638</t>
  </si>
  <si>
    <t>ORD00639</t>
  </si>
  <si>
    <t>ORD00640</t>
  </si>
  <si>
    <t>ORD00641</t>
  </si>
  <si>
    <t>ORD00642</t>
  </si>
  <si>
    <t>ORD00643</t>
  </si>
  <si>
    <t>ORD00644</t>
  </si>
  <si>
    <t>ORD00645</t>
  </si>
  <si>
    <t>ORD00646</t>
  </si>
  <si>
    <t>ORD00647</t>
  </si>
  <si>
    <t>ORD00648</t>
  </si>
  <si>
    <t>ORD00649</t>
  </si>
  <si>
    <t>ORD00650</t>
  </si>
  <si>
    <t>C0001</t>
  </si>
  <si>
    <t>Suman Verma</t>
  </si>
  <si>
    <t>ORD00651</t>
  </si>
  <si>
    <t>ORD00652</t>
  </si>
  <si>
    <t>ORD00653</t>
  </si>
  <si>
    <t>ORD00654</t>
  </si>
  <si>
    <t>ORD00655</t>
  </si>
  <si>
    <t>C0273</t>
  </si>
  <si>
    <t>Kunal Mehta</t>
  </si>
  <si>
    <t>ORD00656</t>
  </si>
  <si>
    <t>ORD00657</t>
  </si>
  <si>
    <t>ORD00658</t>
  </si>
  <si>
    <t>ORD00659</t>
  </si>
  <si>
    <t>ORD00660</t>
  </si>
  <si>
    <t>ORD00661</t>
  </si>
  <si>
    <t>ORD00662</t>
  </si>
  <si>
    <t>ORD00663</t>
  </si>
  <si>
    <t>ORD00664</t>
  </si>
  <si>
    <t>ORD00665</t>
  </si>
  <si>
    <t>ORD00666</t>
  </si>
  <si>
    <t>ORD00667</t>
  </si>
  <si>
    <t>C0058</t>
  </si>
  <si>
    <t>ORD00668</t>
  </si>
  <si>
    <t>ORD00669</t>
  </si>
  <si>
    <t>ORD00670</t>
  </si>
  <si>
    <t>ORD00671</t>
  </si>
  <si>
    <t>ORD00672</t>
  </si>
  <si>
    <t>ORD00673</t>
  </si>
  <si>
    <t>ORD00674</t>
  </si>
  <si>
    <t>ORD00675</t>
  </si>
  <si>
    <t>ORD00676</t>
  </si>
  <si>
    <t>ORD00677</t>
  </si>
  <si>
    <t>C0002</t>
  </si>
  <si>
    <t>ORD00678</t>
  </si>
  <si>
    <t>ORD00679</t>
  </si>
  <si>
    <t>ORD00680</t>
  </si>
  <si>
    <t>ORD00681</t>
  </si>
  <si>
    <t>C0084</t>
  </si>
  <si>
    <t>Aman Mehta</t>
  </si>
  <si>
    <t>ORD00682</t>
  </si>
  <si>
    <t>ORD00683</t>
  </si>
  <si>
    <t>ORD00684</t>
  </si>
  <si>
    <t>ORD00685</t>
  </si>
  <si>
    <t>ORD00686</t>
  </si>
  <si>
    <t>ORD00687</t>
  </si>
  <si>
    <t>ORD00688</t>
  </si>
  <si>
    <t>C0117</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</si>
  <si>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</si>
  <si>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</si>
  <si>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</si>
  <si>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</si>
  <si>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</si>
  <si>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</si>
  <si>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</si>
  <si>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</si>
  <si>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</si>
  <si>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</si>
  <si>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</si>
  <si>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</si>
  <si>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</si>
  <si>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</si>
  <si>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</si>
  <si>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</si>
  <si>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</si>
  <si>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</si>
  <si>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</si>
  <si>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</si>
  <si>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</si>
  <si>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</si>
  <si>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C0181</t>
  </si>
  <si>
    <t>ORD00711</t>
  </si>
  <si>
    <t>ORD00712</t>
  </si>
  <si>
    <t>ORD00713</t>
  </si>
  <si>
    <t>ORD00714</t>
  </si>
  <si>
    <t>ORD00715</t>
  </si>
  <si>
    <t>ORD00716</t>
  </si>
  <si>
    <t>ORD00717</t>
  </si>
  <si>
    <t>ORD00718</t>
  </si>
  <si>
    <t>ORD00719</t>
  </si>
  <si>
    <t>ORD00720</t>
  </si>
  <si>
    <t>ORD00721</t>
  </si>
  <si>
    <t>ORD00722</t>
  </si>
  <si>
    <t xml:space="preserve">Wireless Mouse </t>
  </si>
  <si>
    <t>ORD00723</t>
  </si>
  <si>
    <t>ORD00724</t>
  </si>
  <si>
    <t>ORD00725</t>
  </si>
  <si>
    <t>ORD00726</t>
  </si>
  <si>
    <t>ORD00727</t>
  </si>
  <si>
    <t>ORD00728</t>
  </si>
  <si>
    <t>ORD00729</t>
  </si>
  <si>
    <t>ORD00730</t>
  </si>
  <si>
    <t>ORD00731</t>
  </si>
  <si>
    <t>ORD00732</t>
  </si>
  <si>
    <t>ORD00733</t>
  </si>
  <si>
    <t>ORD00734</t>
  </si>
  <si>
    <t>C0159</t>
  </si>
  <si>
    <t>Sneha Sharma</t>
  </si>
  <si>
    <t>ORD00735</t>
  </si>
  <si>
    <t>ORD00736</t>
  </si>
  <si>
    <t>C0209</t>
  </si>
  <si>
    <t>Riya Khan</t>
  </si>
  <si>
    <t>ORD00737</t>
  </si>
  <si>
    <t>ORD00738</t>
  </si>
  <si>
    <t>ORD00739</t>
  </si>
  <si>
    <t>C0157</t>
  </si>
  <si>
    <t>ORD00740</t>
  </si>
  <si>
    <t>ORD00741</t>
  </si>
  <si>
    <t>ORD00742</t>
  </si>
  <si>
    <t>ORD00743</t>
  </si>
  <si>
    <t>ORD00744</t>
  </si>
  <si>
    <t>ORD00745</t>
  </si>
  <si>
    <t>ORD00746</t>
  </si>
  <si>
    <t>ORD00747</t>
  </si>
  <si>
    <t>ORD00748</t>
  </si>
  <si>
    <t>ORD00749</t>
  </si>
  <si>
    <t>ORD00750</t>
  </si>
  <si>
    <t>ORD00751</t>
  </si>
  <si>
    <t>C0287</t>
  </si>
  <si>
    <t>ORD00752</t>
  </si>
  <si>
    <t>ORD00753</t>
  </si>
  <si>
    <t>ORD00754</t>
  </si>
  <si>
    <t>ORD00755</t>
  </si>
  <si>
    <t>ORD00756</t>
  </si>
  <si>
    <t>ORD00757</t>
  </si>
  <si>
    <t>C0253</t>
  </si>
  <si>
    <t>Vikas Mishra</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</si>
  <si>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</si>
  <si>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</si>
  <si>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</si>
  <si>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</si>
  <si>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</si>
  <si>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</si>
  <si>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</si>
  <si>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</si>
  <si>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</si>
  <si>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</si>
  <si>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</si>
  <si>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</si>
  <si>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</si>
  <si>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</si>
  <si>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</si>
  <si>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</si>
  <si>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</si>
  <si>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</si>
  <si>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</si>
  <si>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</si>
  <si>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</si>
  <si>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</si>
  <si>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</si>
  <si>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</si>
  <si>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</si>
  <si>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</si>
  <si>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</si>
  <si>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</si>
  <si>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</si>
  <si>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</si>
  <si>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</si>
  <si>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</si>
  <si>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</si>
  <si>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</si>
  <si>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C0264</t>
  </si>
  <si>
    <t>ORD00792</t>
  </si>
  <si>
    <t>ORD00793</t>
  </si>
  <si>
    <t>ORD00794</t>
  </si>
  <si>
    <t>ORD00795</t>
  </si>
  <si>
    <t>ORD00796</t>
  </si>
  <si>
    <t>ORD00797</t>
  </si>
  <si>
    <t>ORD00798</t>
  </si>
  <si>
    <t>ORD00799</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</si>
  <si>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</si>
  <si>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</si>
  <si>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</si>
  <si>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</si>
  <si>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</si>
  <si>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</si>
  <si>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</si>
  <si>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</si>
  <si>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</si>
  <si>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</si>
  <si>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</si>
  <si>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</si>
  <si>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</si>
  <si>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</si>
  <si>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</si>
  <si>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</si>
  <si>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</si>
  <si>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</si>
  <si>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</si>
  <si>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</si>
  <si>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</si>
  <si>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</si>
  <si>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</si>
  <si>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</si>
  <si>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</si>
  <si>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</si>
  <si>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</si>
  <si>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</si>
  <si>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</si>
  <si>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</si>
  <si>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</si>
  <si>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</si>
  <si>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</si>
  <si>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C0285</t>
  </si>
  <si>
    <t>Neha Singh</t>
  </si>
  <si>
    <t>ORD00834</t>
  </si>
  <si>
    <t>ORD00835</t>
  </si>
  <si>
    <t>ORD00836</t>
  </si>
  <si>
    <t>C0251</t>
  </si>
  <si>
    <t>ORD00837</t>
  </si>
  <si>
    <t>ORD00838</t>
  </si>
  <si>
    <t>ORD00839</t>
  </si>
  <si>
    <t>ORD00840</t>
  </si>
  <si>
    <t>ORD00841</t>
  </si>
  <si>
    <t>ORD00842</t>
  </si>
  <si>
    <t>ORD00843</t>
  </si>
  <si>
    <t>ORD00844</t>
  </si>
  <si>
    <t>ORD00845</t>
  </si>
  <si>
    <t>ORD00846</t>
  </si>
  <si>
    <t>female</t>
  </si>
  <si>
    <t>ORD00847</t>
  </si>
  <si>
    <t>ORD00848</t>
  </si>
  <si>
    <t>ORD00849</t>
  </si>
  <si>
    <t>ORD00850</t>
  </si>
  <si>
    <t>ORD00851</t>
  </si>
  <si>
    <t>ORD00852</t>
  </si>
  <si>
    <t>ORD00853</t>
  </si>
  <si>
    <t>ORD00854</t>
  </si>
  <si>
    <t>ORD00855</t>
  </si>
  <si>
    <t>C0216</t>
  </si>
  <si>
    <t>ORD00856</t>
  </si>
  <si>
    <t>C0066</t>
  </si>
  <si>
    <t>ORD00857</t>
  </si>
  <si>
    <t>ORD00858</t>
  </si>
  <si>
    <t>C0122</t>
  </si>
  <si>
    <t>Riya Yadav</t>
  </si>
  <si>
    <t>ORD00859</t>
  </si>
  <si>
    <t>ORD00860</t>
  </si>
  <si>
    <t>ORD00861</t>
  </si>
  <si>
    <t>ORD00862</t>
  </si>
  <si>
    <t>C0193</t>
  </si>
  <si>
    <t>Rashmi Joshi</t>
  </si>
  <si>
    <t>ORD00863</t>
  </si>
  <si>
    <t>ORD00864</t>
  </si>
  <si>
    <t>ORD00865</t>
  </si>
  <si>
    <t>ORD00866</t>
  </si>
  <si>
    <t>ORD00867</t>
  </si>
  <si>
    <t>ORD00868</t>
  </si>
  <si>
    <t>ORD00869</t>
  </si>
  <si>
    <t>ORD00870</t>
  </si>
  <si>
    <t>ORD00871</t>
  </si>
  <si>
    <t>ORD00872</t>
  </si>
  <si>
    <t>ORD00873</t>
  </si>
  <si>
    <t>ORD00874</t>
  </si>
  <si>
    <t>ORD00875</t>
  </si>
  <si>
    <t>ORD00876</t>
  </si>
  <si>
    <t>ORD00877</t>
  </si>
  <si>
    <t>C0043</t>
  </si>
  <si>
    <t>ORD00878</t>
  </si>
  <si>
    <t>ORD00879</t>
  </si>
  <si>
    <t>ORD00880</t>
  </si>
  <si>
    <t>ORD00881</t>
  </si>
  <si>
    <t>ORD00882</t>
  </si>
  <si>
    <t>C0283</t>
  </si>
  <si>
    <t>Akash Mehta</t>
  </si>
  <si>
    <t>ORD00883</t>
  </si>
  <si>
    <t>ORD00884</t>
  </si>
  <si>
    <t>ORD00885</t>
  </si>
  <si>
    <t>ORD00886</t>
  </si>
  <si>
    <t>ORD00887</t>
  </si>
  <si>
    <t>ORD00888</t>
  </si>
  <si>
    <t>ORD00889</t>
  </si>
  <si>
    <t>ORD00890</t>
  </si>
  <si>
    <t>ORD00891</t>
  </si>
  <si>
    <t>ORD00892</t>
  </si>
  <si>
    <t>ORD00893</t>
  </si>
  <si>
    <t>ORD00894</t>
  </si>
  <si>
    <t>ORD00895</t>
  </si>
  <si>
    <t>C0128</t>
  </si>
  <si>
    <t>Neha Patel</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</si>
  <si>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</si>
  <si>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</si>
  <si>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</si>
  <si>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</si>
  <si>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</si>
  <si>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</si>
  <si>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</si>
  <si>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</si>
  <si>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</si>
  <si>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</si>
  <si>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</si>
  <si>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</si>
  <si>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</si>
  <si>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</si>
  <si>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</si>
  <si>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</si>
  <si>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</si>
  <si>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</si>
  <si>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C0007</t>
  </si>
  <si>
    <t>Mohit Singh</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</si>
  <si>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</si>
  <si>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</si>
  <si>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</si>
  <si>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</si>
  <si>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</si>
  <si>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</si>
  <si>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</si>
  <si>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</si>
  <si>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</si>
  <si>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</si>
  <si>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</si>
  <si>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</si>
  <si>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</si>
  <si>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</si>
  <si>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</si>
  <si>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</si>
  <si>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</si>
  <si>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C0076</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</si>
  <si>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</si>
  <si>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</si>
  <si>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</si>
  <si>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</si>
  <si>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</si>
  <si>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</si>
  <si>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</si>
  <si>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</si>
  <si>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</si>
  <si>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</si>
  <si>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</si>
  <si>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</si>
  <si>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</si>
  <si>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</si>
  <si>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</si>
  <si>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</si>
  <si>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</si>
  <si>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</si>
  <si>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</si>
  <si>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ORD00951</t>
  </si>
  <si>
    <t>ORD00952</t>
  </si>
  <si>
    <t>ORD00953</t>
  </si>
  <si>
    <t>ORD00954</t>
  </si>
  <si>
    <t>ORD00955</t>
  </si>
  <si>
    <t>ORD00956</t>
  </si>
  <si>
    <t>ORD00957</t>
  </si>
  <si>
    <t>ORD00958</t>
  </si>
  <si>
    <t>ORD00959</t>
  </si>
  <si>
    <t>ORD00960</t>
  </si>
  <si>
    <t>ORD00961</t>
  </si>
  <si>
    <t>ORD00962</t>
  </si>
  <si>
    <t>ORD00963</t>
  </si>
  <si>
    <t>ORD00964</t>
  </si>
  <si>
    <t>ORD00965</t>
  </si>
  <si>
    <t>C0207</t>
  </si>
  <si>
    <t>ORD00966</t>
  </si>
  <si>
    <t>ORD00967</t>
  </si>
  <si>
    <t>ORD00968</t>
  </si>
  <si>
    <t>ORD00969</t>
  </si>
  <si>
    <t>C0293</t>
  </si>
  <si>
    <t>Pooja Verma</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</si>
  <si>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</si>
  <si>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</si>
  <si>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</si>
  <si>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</si>
  <si>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</si>
  <si>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</si>
  <si>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</si>
  <si>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</si>
  <si>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</si>
  <si>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</si>
  <si>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</si>
  <si>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</si>
  <si>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</si>
  <si>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</si>
  <si>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</si>
  <si>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</si>
  <si>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</si>
  <si>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</si>
  <si>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</si>
  <si>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</si>
  <si>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</si>
  <si>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</si>
  <si>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</si>
  <si>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</si>
  <si>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</si>
  <si>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</si>
  <si>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</si>
  <si>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</si>
  <si>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</si>
  <si>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</si>
  <si>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</si>
  <si>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NA</t>
  </si>
  <si>
    <t>Row Labels</t>
  </si>
  <si>
    <t>(blank)</t>
  </si>
  <si>
    <t>Grand Total</t>
  </si>
  <si>
    <t>Column Labels</t>
  </si>
  <si>
    <t>Count of Sub_Category</t>
  </si>
  <si>
    <t>Count of Category</t>
  </si>
  <si>
    <t>Count of Product_Name</t>
  </si>
  <si>
    <t>Count of Payment_Mode</t>
  </si>
  <si>
    <t>d</t>
  </si>
  <si>
    <t>c</t>
  </si>
  <si>
    <t>R</t>
  </si>
  <si>
    <t>s</t>
  </si>
  <si>
    <t>(All)</t>
  </si>
  <si>
    <t>City wise Product</t>
  </si>
  <si>
    <t>Category Wise Payment mode</t>
  </si>
  <si>
    <t>Gender Wise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</si>
</sst>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Narrow"/>
      <family val="2"/>
      <scheme val="minor"/>
    </font>
    <font>
      <sz val="11"/>
      <name val="Aptos Narrow"/>
      <family val="2"/>
      <scheme val="minor"/>
    </font>
  </fonts>
  <fills count="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14" fontId="0" fillId="0" borderId="2" xfId="0" applyNumberFormat="1" applyBorder="1"/>
    <xf numFmtId="0" fontId="0" fillId="0" borderId="3" xfId="0" applyBorder="1"/>
    <xf numFmtId="0" fontId="0" fillId="0" borderId="4" xfId="0" applyBorder="1"/>
    <xf numFmtId="0" fontId="0" fillId="0" borderId="5" xfId="0" applyBorder="1"/>
    <xf numFmtId="0" fontId="1" fillId="2" borderId="1" xfId="0" applyFont="1" applyFill="1" applyBorder="1"/>
    <xf numFmtId="0" fontId="0" fillId="0" borderId="0" xfId="0" pivotButton="1"/>
    <xf numFmtId="0" fontId="0" fillId="0" borderId="0" xfId="0" applyAlignment="1">
      <alignment horizontal="left"/>
    </xf>
    <xf numFmtId="0" fontId="0" fillId="3" borderId="0" xfId="0" applyFill="1" applyAlignment="1">
      <alignment horizontal="center"/>
    </xf>
    <xf numFmtId="0" fontId="0" fillId="0" borderId="0" xfId="0" applyAlignment="1">
      <alignment horizontal="center"/>
    </xf>
    <xf numFmtId="0" fontId="2" fillId="4" borderId="1" xfId="0" applyFont="1" applyFill="1" applyBorder="1"/>
    <xf numFmtId="0" fontId="0" fillId="0" borderId="6" xfId="0" applyBorder="1"/>
    <xf numFmtId="0" fontId="1" fillId="2" borderId="2" xfId="0" applyFont="1" applyFill="1" applyBorder="1"/>
    <xf numFmtId="14" fontId="1" fillId="2" borderId="2" xfId="0" applyNumberFormat="1" applyFont="1" applyFill="1" applyBorder="1"/>
    <xf numFmtId="0" fontId="1" fillId="2" borderId="6" xfId="0" applyFont="1" applyFill="1" applyBorder="1"/>
    <xf numFmtId="14" fontId="0" fillId="0" borderId="5" xfId="0" applyNumberFormat="1" applyBorder="1"/>
    <xf numFmtId="0" fontId="0" fillId="0" borderId="7" xfId="0" applyBorder="1"/>
    <xf numFmtId="0" fontId="2"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42">
    <dxf>
      <font>
        <color rgb="FF9C0006"/>
      </font>
      <fill>
        <patternFill>
          <bgColor rgb="FFFFC7CE"/>
        </patternFill>
      </fill>
    </dxf>
    <dxf>
      <border diagonalUp="0" diagonalDown="0">
        <left style="thin">
          <color indexed="64"/>
        </left>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Aptos Narrow"/>
        <family val="2"/>
        <scheme val="minor"/>
      </font>
      <fill>
        <patternFill patternType="solid">
          <fgColor indexed="64"/>
          <bgColor theme="4"/>
        </patternFill>
      </fill>
      <border diagonalUp="0" diagonalDown="0" outline="0">
        <left style="thin">
          <color indexed="64"/>
        </left>
        <right style="thin">
          <color indexed="64"/>
        </right>
        <top/>
        <bottom/>
      </border>
    </dxf>
    <dxf>
      <font>
        <strike val="0"/>
        <outline val="0"/>
        <shadow val="0"/>
        <u val="none"/>
        <vertAlign val="baseline"/>
        <sz val="11"/>
        <color auto="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636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[E-Commerce.xlsx]Pivart table!PivotTable1</c:name>
    <c:fmtId val="2"/>
  </c:pivotSource>
  <c:chart>
    <c:title>
      <c:tx>
        <c:rich>
          <a:bodyPr/>
          <a:lstStyle/>
          <a:p>
            <a:pPr>
              <a:defRPr/>
            </a:pPr>
            <a:r>
              <a:rPr lang="en-IN" sz="1400" b="1">
                <a:solidFill>
                  <a:schemeClr val="tx2"/>
                </a:solidFill>
              </a:rPr>
              <a:t>CharCity</a:t>
            </a:r>
            <a:r>
              <a:rPr lang="en-IN" sz="1400" b="1" baseline="0">
                <a:solidFill>
                  <a:schemeClr val="tx2"/>
                </a:solidFill>
              </a:rPr>
              <a:t> Wise Back Pack orders</a:t>
            </a:r>
            <a:endParaRPr lang="en-IN" sz="1400" b="1">
              <a:solidFill>
                <a:schemeClr val="tx2"/>
              </a:solidFill>
            </a:endParaRPr>
          </a:p>
        </c:rich>
      </c:tx>
      <c:layout>
        <c:manualLayout>
          <c:xMode val="edge"/>
          <c:yMode val="edge"/>
          <c:x val="0.1390313505473007"/>
          <c:y val="6.9444444444444448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solidFill>
              <a:schemeClr val="accent3"/>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solidFill>
              <a:schemeClr val="accent3"/>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delete val="1"/>
          <c:extLst>
            <c:ext xmlns:c15="http://schemas.microsoft.com/office/drawing/2012/chart" uri="{CE6537A1-D6FC-4f65-9D91-7224C49458BB}"/>
          </c:extLst>
        </c:dLbl>
      </c:pivotFmt>
      <c:pivotFmt>
        <c:idx val="9"/>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3">
              <a:lumMod val="75000"/>
            </a:schemeClr>
          </a:solidFill>
          <a:ln>
            <a:solidFill>
              <a:schemeClr val="accent3"/>
            </a:solidFill>
          </a:ln>
          <a:effectLst/>
        </c:spPr>
        <c:marker>
          <c:symbol val="none"/>
        </c:marker>
        <c:dLbl>
          <c:idx val="0"/>
          <c:delete val="1"/>
          <c:extLst>
            <c:ext xmlns:c15="http://schemas.microsoft.com/office/drawing/2012/chart" uri="{CE6537A1-D6FC-4f65-9D91-7224C49458BB}"/>
          </c:extLst>
        </c:dLbl>
      </c:pivotFmt>
      <c:pivotFmt>
        <c:idx val="11"/>
        <c:spPr>
          <a:solidFill>
            <a:schemeClr val="accent4">
              <a:lumMod val="50000"/>
            </a:schemeClr>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2">
              <a:lumMod val="75000"/>
            </a:schemeClr>
          </a:solidFill>
          <a:ln>
            <a:noFill/>
          </a:ln>
          <a:effectLst/>
        </c:spPr>
        <c:marker>
          <c:symbol val="none"/>
        </c:marker>
        <c:dLbl>
          <c:idx val="0"/>
          <c:delete val="1"/>
          <c:extLst>
            <c:ext xmlns:c15="http://schemas.microsoft.com/office/drawing/2012/chart" uri="{CE6537A1-D6FC-4f65-9D91-7224C49458BB}"/>
          </c:extLst>
        </c:dLbl>
      </c:pivotFmt>
      <c:pivotFmt>
        <c:idx val="13"/>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lumMod val="75000"/>
            </a:schemeClr>
          </a:solidFill>
          <a:ln>
            <a:solidFill>
              <a:schemeClr val="accent3"/>
            </a:solidFill>
          </a:ln>
          <a:effectLst/>
        </c:spPr>
        <c:marker>
          <c:symbol val="none"/>
        </c:marker>
        <c:dLbl>
          <c:idx val="0"/>
          <c:delete val="1"/>
          <c:extLst>
            <c:ext xmlns:c15="http://schemas.microsoft.com/office/drawing/2012/chart" uri="{CE6537A1-D6FC-4f65-9D91-7224C49458BB}"/>
          </c:extLst>
        </c:dLbl>
      </c:pivotFmt>
      <c:pivotFmt>
        <c:idx val="15"/>
        <c:spPr>
          <a:solidFill>
            <a:schemeClr val="accent4">
              <a:lumMod val="50000"/>
            </a:schemeClr>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lumMod val="75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3">
              <a:lumMod val="75000"/>
            </a:schemeClr>
          </a:solidFill>
          <a:ln>
            <a:solidFill>
              <a:schemeClr val="accent3"/>
            </a:solidFill>
          </a:ln>
          <a:effectLst/>
        </c:spPr>
        <c:marker>
          <c:symbol val="none"/>
        </c:marker>
        <c:dLbl>
          <c:idx val="0"/>
          <c:delete val="1"/>
          <c:extLst>
            <c:ext xmlns:c15="http://schemas.microsoft.com/office/drawing/2012/chart" uri="{CE6537A1-D6FC-4f65-9D91-7224C49458BB}"/>
          </c:extLst>
        </c:dLbl>
      </c:pivotFmt>
      <c:pivotFmt>
        <c:idx val="19"/>
        <c:spPr>
          <a:solidFill>
            <a:schemeClr val="accent4">
              <a:lumMod val="50000"/>
            </a:schemeClr>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2">
              <a:lumMod val="75000"/>
            </a:schemeClr>
          </a:solidFill>
          <a:ln>
            <a:noFill/>
          </a:ln>
          <a:effectLst/>
        </c:spPr>
        <c:marker>
          <c:symbol val="none"/>
        </c:marker>
        <c:dLbl>
          <c:idx val="0"/>
          <c:delete val="1"/>
          <c:extLst>
            <c:ext xmlns:c15="http://schemas.microsoft.com/office/drawing/2012/chart" uri="{CE6537A1-D6FC-4f65-9D91-7224C49458BB}"/>
          </c:extLst>
        </c:dLbl>
      </c:pivotFmt>
      <c:pivotFmt>
        <c:idx val="21"/>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3">
              <a:lumMod val="75000"/>
            </a:schemeClr>
          </a:solidFill>
          <a:ln>
            <a:solidFill>
              <a:schemeClr val="accent3"/>
            </a:solidFill>
          </a:ln>
          <a:effectLst/>
        </c:spPr>
        <c:marker>
          <c:symbol val="none"/>
        </c:marker>
        <c:dLbl>
          <c:idx val="0"/>
          <c:delete val="1"/>
          <c:extLst>
            <c:ext xmlns:c15="http://schemas.microsoft.com/office/drawing/2012/chart" uri="{CE6537A1-D6FC-4f65-9D91-7224C49458BB}"/>
          </c:extLst>
        </c:dLbl>
      </c:pivotFmt>
      <c:pivotFmt>
        <c:idx val="23"/>
        <c:spPr>
          <a:solidFill>
            <a:schemeClr val="accent4">
              <a:lumMod val="50000"/>
            </a:schemeClr>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2">
              <a:lumMod val="75000"/>
            </a:schemeClr>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3">
              <a:lumMod val="75000"/>
            </a:schemeClr>
          </a:solidFill>
          <a:ln>
            <a:solidFill>
              <a:schemeClr val="accent3"/>
            </a:solidFill>
          </a:ln>
          <a:effectLst/>
        </c:spPr>
        <c:marker>
          <c:symbol val="none"/>
        </c:marker>
        <c:dLbl>
          <c:idx val="0"/>
          <c:delete val="1"/>
          <c:extLst>
            <c:ext xmlns:c15="http://schemas.microsoft.com/office/drawing/2012/chart" uri="{CE6537A1-D6FC-4f65-9D91-7224C49458BB}"/>
          </c:extLst>
        </c:dLbl>
      </c:pivotFmt>
      <c:pivotFmt>
        <c:idx val="27"/>
        <c:spPr>
          <a:solidFill>
            <a:schemeClr val="accent4">
              <a:lumMod val="50000"/>
            </a:schemeClr>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2">
              <a:lumMod val="75000"/>
            </a:schemeClr>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3">
              <a:lumMod val="75000"/>
            </a:schemeClr>
          </a:solidFill>
          <a:ln>
            <a:solidFill>
              <a:schemeClr val="accent3"/>
            </a:solidFill>
          </a:ln>
          <a:effectLst/>
        </c:spPr>
        <c:marker>
          <c:symbol val="none"/>
        </c:marker>
        <c:dLbl>
          <c:idx val="0"/>
          <c:delete val="1"/>
          <c:extLst>
            <c:ext xmlns:c15="http://schemas.microsoft.com/office/drawing/2012/chart" uri="{CE6537A1-D6FC-4f65-9D91-7224C49458BB}"/>
          </c:extLst>
        </c:dLbl>
      </c:pivotFmt>
      <c:pivotFmt>
        <c:idx val="31"/>
        <c:spPr>
          <a:solidFill>
            <a:schemeClr val="accent4">
              <a:lumMod val="50000"/>
            </a:schemeClr>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2">
              <a:lumMod val="75000"/>
            </a:schemeClr>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3">
              <a:lumMod val="75000"/>
            </a:schemeClr>
          </a:solidFill>
          <a:ln>
            <a:solidFill>
              <a:schemeClr val="accent3"/>
            </a:solidFill>
          </a:ln>
          <a:effectLst/>
        </c:spPr>
        <c:marker>
          <c:symbol val="none"/>
        </c:marker>
        <c:dLbl>
          <c:idx val="0"/>
          <c:delete val="1"/>
          <c:extLst>
            <c:ext xmlns:c15="http://schemas.microsoft.com/office/drawing/2012/chart" uri="{CE6537A1-D6FC-4f65-9D91-7224C49458BB}"/>
          </c:extLst>
        </c:dLbl>
      </c:pivotFmt>
      <c:pivotFmt>
        <c:idx val="35"/>
        <c:spPr>
          <a:solidFill>
            <a:schemeClr val="accent4">
              <a:lumMod val="50000"/>
            </a:schemeClr>
          </a:solidFill>
          <a:ln>
            <a:noFill/>
          </a:ln>
          <a:effectLst/>
        </c:spPr>
        <c:marker>
          <c:symbol val="none"/>
        </c:marker>
        <c:dLbl>
          <c:idx val="0"/>
          <c:delete val="1"/>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3398815394482267E-2"/>
          <c:y val="0.28731044036162146"/>
          <c:w val="0.71980796150481186"/>
          <c:h val="0.4170508894721493"/>
        </c:manualLayout>
      </c:layout>
      <c:barChart>
        <c:barDir val="col"/>
        <c:grouping val="stacked"/>
        <c:varyColors val="0"/>
        <c:ser>
          <c:idx val="0"/>
          <c:order val="0"/>
          <c:tx>
            <c:strRef>
              <c:f>'Pivart table'!$M$4:$M$5</c:f>
              <c:strCache>
                <c:ptCount val="1"/>
                <c:pt idx="0">
                  <c:v>Cancelled</c:v>
                </c:pt>
              </c:strCache>
            </c:strRef>
          </c:tx>
          <c:spPr>
            <a:solidFill>
              <a:schemeClr val="accent2">
                <a:lumMod val="75000"/>
              </a:schemeClr>
            </a:solidFill>
            <a:ln>
              <a:noFill/>
            </a:ln>
            <a:effectLst/>
          </c:spPr>
          <c:invertIfNegative val="0"/>
          <c:cat>
            <c:strRef>
              <c:f>'Pivart table'!$L$6:$L$23</c:f>
              <c:strCache>
                <c:ptCount val="17"/>
                <c:pt idx="0">
                  <c:v>Ahmedabad</c:v>
                </c:pt>
                <c:pt idx="1">
                  <c:v>Bengaluru</c:v>
                </c:pt>
                <c:pt idx="2">
                  <c:v>Bhopal</c:v>
                </c:pt>
                <c:pt idx="3">
                  <c:v>Chennai</c:v>
                </c:pt>
                <c:pt idx="4">
                  <c:v>Delhi</c:v>
                </c:pt>
                <c:pt idx="5">
                  <c:v>Guna</c:v>
                </c:pt>
                <c:pt idx="6">
                  <c:v>Hyderabad</c:v>
                </c:pt>
                <c:pt idx="7">
                  <c:v>Indore</c:v>
                </c:pt>
                <c:pt idx="8">
                  <c:v>Jaipur</c:v>
                </c:pt>
                <c:pt idx="9">
                  <c:v>Kanpur</c:v>
                </c:pt>
                <c:pt idx="10">
                  <c:v>Kolkata</c:v>
                </c:pt>
                <c:pt idx="11">
                  <c:v>Kota</c:v>
                </c:pt>
                <c:pt idx="12">
                  <c:v>Lucknow</c:v>
                </c:pt>
                <c:pt idx="13">
                  <c:v>Mumbai</c:v>
                </c:pt>
                <c:pt idx="14">
                  <c:v>NA</c:v>
                </c:pt>
                <c:pt idx="15">
                  <c:v>Pune</c:v>
                </c:pt>
                <c:pt idx="16">
                  <c:v>Surat</c:v>
                </c:pt>
              </c:strCache>
            </c:strRef>
          </c:cat>
          <c:val>
            <c:numRef>
              <c:f>'Pivart table'!$M$6:$M$23</c:f>
              <c:numCache>
                <c:formatCode>General</c:formatCode>
                <c:ptCount val="17"/>
                <c:pt idx="1">
                  <c:v>1</c:v>
                </c:pt>
                <c:pt idx="4">
                  <c:v>1</c:v>
                </c:pt>
                <c:pt idx="6">
                  <c:v>2</c:v>
                </c:pt>
                <c:pt idx="9">
                  <c:v>1</c:v>
                </c:pt>
                <c:pt idx="14">
                  <c:v>1</c:v>
                </c:pt>
                <c:pt idx="16">
                  <c:v>1</c:v>
                </c:pt>
              </c:numCache>
            </c:numRef>
          </c:val>
          <c:extLst>
            <c:ext xmlns:c16="http://schemas.microsoft.com/office/drawing/2014/chart" uri="{C3380CC4-5D6E-409C-BE32-E72D297353CC}">
              <c16:uniqueId val="{0000000D-1875-494D-B4FC-C5CA6B6A365C}"/>
            </c:ext>
          </c:extLst>
        </c:ser>
        <c:ser>
          <c:idx val="1"/>
          <c:order val="1"/>
          <c:tx>
            <c:strRef>
              <c:f>'Pivart table'!$N$4:$N$5</c:f>
              <c:strCache>
                <c:ptCount val="1"/>
                <c:pt idx="0">
                  <c:v>Delivered</c:v>
                </c:pt>
              </c:strCache>
            </c:strRef>
          </c:tx>
          <c:spPr>
            <a:solidFill>
              <a:srgbClr val="C00000"/>
            </a:solidFill>
            <a:ln>
              <a:noFill/>
            </a:ln>
            <a:effectLst/>
          </c:spPr>
          <c:invertIfNegative val="0"/>
          <c:cat>
            <c:strRef>
              <c:f>'Pivart table'!$L$6:$L$23</c:f>
              <c:strCache>
                <c:ptCount val="17"/>
                <c:pt idx="0">
                  <c:v>Ahmedabad</c:v>
                </c:pt>
                <c:pt idx="1">
                  <c:v>Bengaluru</c:v>
                </c:pt>
                <c:pt idx="2">
                  <c:v>Bhopal</c:v>
                </c:pt>
                <c:pt idx="3">
                  <c:v>Chennai</c:v>
                </c:pt>
                <c:pt idx="4">
                  <c:v>Delhi</c:v>
                </c:pt>
                <c:pt idx="5">
                  <c:v>Guna</c:v>
                </c:pt>
                <c:pt idx="6">
                  <c:v>Hyderabad</c:v>
                </c:pt>
                <c:pt idx="7">
                  <c:v>Indore</c:v>
                </c:pt>
                <c:pt idx="8">
                  <c:v>Jaipur</c:v>
                </c:pt>
                <c:pt idx="9">
                  <c:v>Kanpur</c:v>
                </c:pt>
                <c:pt idx="10">
                  <c:v>Kolkata</c:v>
                </c:pt>
                <c:pt idx="11">
                  <c:v>Kota</c:v>
                </c:pt>
                <c:pt idx="12">
                  <c:v>Lucknow</c:v>
                </c:pt>
                <c:pt idx="13">
                  <c:v>Mumbai</c:v>
                </c:pt>
                <c:pt idx="14">
                  <c:v>NA</c:v>
                </c:pt>
                <c:pt idx="15">
                  <c:v>Pune</c:v>
                </c:pt>
                <c:pt idx="16">
                  <c:v>Surat</c:v>
                </c:pt>
              </c:strCache>
            </c:strRef>
          </c:cat>
          <c:val>
            <c:numRef>
              <c:f>'Pivart table'!$N$6:$N$23</c:f>
              <c:numCache>
                <c:formatCode>General</c:formatCode>
                <c:ptCount val="17"/>
                <c:pt idx="1">
                  <c:v>2</c:v>
                </c:pt>
                <c:pt idx="2">
                  <c:v>1</c:v>
                </c:pt>
                <c:pt idx="3">
                  <c:v>3</c:v>
                </c:pt>
                <c:pt idx="4">
                  <c:v>4</c:v>
                </c:pt>
                <c:pt idx="5">
                  <c:v>5</c:v>
                </c:pt>
                <c:pt idx="6">
                  <c:v>1</c:v>
                </c:pt>
                <c:pt idx="7">
                  <c:v>4</c:v>
                </c:pt>
                <c:pt idx="9">
                  <c:v>1</c:v>
                </c:pt>
                <c:pt idx="10">
                  <c:v>2</c:v>
                </c:pt>
                <c:pt idx="11">
                  <c:v>3</c:v>
                </c:pt>
                <c:pt idx="12">
                  <c:v>2</c:v>
                </c:pt>
                <c:pt idx="13">
                  <c:v>1</c:v>
                </c:pt>
                <c:pt idx="15">
                  <c:v>1</c:v>
                </c:pt>
              </c:numCache>
            </c:numRef>
          </c:val>
          <c:extLst>
            <c:ext xmlns:c16="http://schemas.microsoft.com/office/drawing/2014/chart" uri="{C3380CC4-5D6E-409C-BE32-E72D297353CC}">
              <c16:uniqueId val="{00000004-5692-4E6C-9D4D-EB3220A586FC}"/>
            </c:ext>
          </c:extLst>
        </c:ser>
        <c:ser>
          <c:idx val="2"/>
          <c:order val="2"/>
          <c:tx>
            <c:strRef>
              <c:f>'Pivart table'!$O$4:$O$5</c:f>
              <c:strCache>
                <c:ptCount val="1"/>
                <c:pt idx="0">
                  <c:v>Returned</c:v>
                </c:pt>
              </c:strCache>
            </c:strRef>
          </c:tx>
          <c:spPr>
            <a:solidFill>
              <a:schemeClr val="accent3">
                <a:lumMod val="75000"/>
              </a:schemeClr>
            </a:solidFill>
            <a:ln>
              <a:solidFill>
                <a:schemeClr val="accent3"/>
              </a:solidFill>
            </a:ln>
            <a:effectLst/>
          </c:spPr>
          <c:invertIfNegative val="0"/>
          <c:cat>
            <c:strRef>
              <c:f>'Pivart table'!$L$6:$L$23</c:f>
              <c:strCache>
                <c:ptCount val="17"/>
                <c:pt idx="0">
                  <c:v>Ahmedabad</c:v>
                </c:pt>
                <c:pt idx="1">
                  <c:v>Bengaluru</c:v>
                </c:pt>
                <c:pt idx="2">
                  <c:v>Bhopal</c:v>
                </c:pt>
                <c:pt idx="3">
                  <c:v>Chennai</c:v>
                </c:pt>
                <c:pt idx="4">
                  <c:v>Delhi</c:v>
                </c:pt>
                <c:pt idx="5">
                  <c:v>Guna</c:v>
                </c:pt>
                <c:pt idx="6">
                  <c:v>Hyderabad</c:v>
                </c:pt>
                <c:pt idx="7">
                  <c:v>Indore</c:v>
                </c:pt>
                <c:pt idx="8">
                  <c:v>Jaipur</c:v>
                </c:pt>
                <c:pt idx="9">
                  <c:v>Kanpur</c:v>
                </c:pt>
                <c:pt idx="10">
                  <c:v>Kolkata</c:v>
                </c:pt>
                <c:pt idx="11">
                  <c:v>Kota</c:v>
                </c:pt>
                <c:pt idx="12">
                  <c:v>Lucknow</c:v>
                </c:pt>
                <c:pt idx="13">
                  <c:v>Mumbai</c:v>
                </c:pt>
                <c:pt idx="14">
                  <c:v>NA</c:v>
                </c:pt>
                <c:pt idx="15">
                  <c:v>Pune</c:v>
                </c:pt>
                <c:pt idx="16">
                  <c:v>Surat</c:v>
                </c:pt>
              </c:strCache>
            </c:strRef>
          </c:cat>
          <c:val>
            <c:numRef>
              <c:f>'Pivart table'!$O$6:$O$23</c:f>
              <c:numCache>
                <c:formatCode>General</c:formatCode>
                <c:ptCount val="17"/>
                <c:pt idx="0">
                  <c:v>1</c:v>
                </c:pt>
                <c:pt idx="4">
                  <c:v>1</c:v>
                </c:pt>
                <c:pt idx="5">
                  <c:v>1</c:v>
                </c:pt>
                <c:pt idx="10">
                  <c:v>1</c:v>
                </c:pt>
                <c:pt idx="11">
                  <c:v>2</c:v>
                </c:pt>
              </c:numCache>
            </c:numRef>
          </c:val>
          <c:extLst>
            <c:ext xmlns:c16="http://schemas.microsoft.com/office/drawing/2014/chart" uri="{C3380CC4-5D6E-409C-BE32-E72D297353CC}">
              <c16:uniqueId val="{00000001-5AF7-4E37-8829-C77EF92D90E4}"/>
            </c:ext>
          </c:extLst>
        </c:ser>
        <c:ser>
          <c:idx val="3"/>
          <c:order val="3"/>
          <c:tx>
            <c:strRef>
              <c:f>'Pivart table'!$P$4:$P$5</c:f>
              <c:strCache>
                <c:ptCount val="1"/>
                <c:pt idx="0">
                  <c:v>Shipped</c:v>
                </c:pt>
              </c:strCache>
            </c:strRef>
          </c:tx>
          <c:spPr>
            <a:solidFill>
              <a:schemeClr val="accent4">
                <a:lumMod val="50000"/>
              </a:schemeClr>
            </a:solidFill>
            <a:ln>
              <a:noFill/>
            </a:ln>
            <a:effectLst/>
          </c:spPr>
          <c:invertIfNegative val="0"/>
          <c:cat>
            <c:strRef>
              <c:f>'Pivart table'!$L$6:$L$23</c:f>
              <c:strCache>
                <c:ptCount val="17"/>
                <c:pt idx="0">
                  <c:v>Ahmedabad</c:v>
                </c:pt>
                <c:pt idx="1">
                  <c:v>Bengaluru</c:v>
                </c:pt>
                <c:pt idx="2">
                  <c:v>Bhopal</c:v>
                </c:pt>
                <c:pt idx="3">
                  <c:v>Chennai</c:v>
                </c:pt>
                <c:pt idx="4">
                  <c:v>Delhi</c:v>
                </c:pt>
                <c:pt idx="5">
                  <c:v>Guna</c:v>
                </c:pt>
                <c:pt idx="6">
                  <c:v>Hyderabad</c:v>
                </c:pt>
                <c:pt idx="7">
                  <c:v>Indore</c:v>
                </c:pt>
                <c:pt idx="8">
                  <c:v>Jaipur</c:v>
                </c:pt>
                <c:pt idx="9">
                  <c:v>Kanpur</c:v>
                </c:pt>
                <c:pt idx="10">
                  <c:v>Kolkata</c:v>
                </c:pt>
                <c:pt idx="11">
                  <c:v>Kota</c:v>
                </c:pt>
                <c:pt idx="12">
                  <c:v>Lucknow</c:v>
                </c:pt>
                <c:pt idx="13">
                  <c:v>Mumbai</c:v>
                </c:pt>
                <c:pt idx="14">
                  <c:v>NA</c:v>
                </c:pt>
                <c:pt idx="15">
                  <c:v>Pune</c:v>
                </c:pt>
                <c:pt idx="16">
                  <c:v>Surat</c:v>
                </c:pt>
              </c:strCache>
            </c:strRef>
          </c:cat>
          <c:val>
            <c:numRef>
              <c:f>'Pivart table'!$P$6:$P$23</c:f>
              <c:numCache>
                <c:formatCode>General</c:formatCode>
                <c:ptCount val="17"/>
                <c:pt idx="2">
                  <c:v>1</c:v>
                </c:pt>
                <c:pt idx="6">
                  <c:v>1</c:v>
                </c:pt>
                <c:pt idx="7">
                  <c:v>1</c:v>
                </c:pt>
                <c:pt idx="8">
                  <c:v>3</c:v>
                </c:pt>
                <c:pt idx="16">
                  <c:v>1</c:v>
                </c:pt>
              </c:numCache>
            </c:numRef>
          </c:val>
          <c:extLst>
            <c:ext xmlns:c16="http://schemas.microsoft.com/office/drawing/2014/chart" uri="{C3380CC4-5D6E-409C-BE32-E72D297353CC}">
              <c16:uniqueId val="{00000002-5AF7-4E37-8829-C77EF92D90E4}"/>
            </c:ext>
          </c:extLst>
        </c:ser>
        <c:dLbls>
          <c:showLegendKey val="0"/>
          <c:showVal val="0"/>
          <c:showCatName val="0"/>
          <c:showSerName val="0"/>
          <c:showPercent val="0"/>
          <c:showBubbleSize val="0"/>
        </c:dLbls>
        <c:gapWidth val="150"/>
        <c:overlap val="100"/>
        <c:axId val="1747648656"/>
        <c:axId val="1906698736"/>
      </c:barChart>
      <c:catAx>
        <c:axId val="174764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1050" b="1" i="0" u="none" strike="noStrike" kern="1200" baseline="0">
                <a:ln>
                  <a:noFill/>
                </a:ln>
                <a:solidFill>
                  <a:schemeClr val="tx1"/>
                </a:solidFill>
                <a:latin typeface="+mn-lt"/>
                <a:ea typeface="+mn-ea"/>
                <a:cs typeface="+mn-cs"/>
              </a:defRPr>
            </a:pPr>
            <a:endParaRPr lang="en-US"/>
          </a:p>
        </c:txPr>
        <c:crossAx val="1906698736"/>
        <c:crosses val="autoZero"/>
        <c:auto val="1"/>
        <c:lblAlgn val="ctr"/>
        <c:lblOffset val="100"/>
        <c:noMultiLvlLbl val="0"/>
      </c:catAx>
      <c:valAx>
        <c:axId val="1906698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48656"/>
        <c:crosses val="autoZero"/>
        <c:crossBetween val="between"/>
      </c:valAx>
    </c:plotArea>
    <c:legend>
      <c:legendPos val="t"/>
      <c:layout>
        <c:manualLayout>
          <c:xMode val="edge"/>
          <c:yMode val="edge"/>
          <c:x val="0.13892922008978856"/>
          <c:y val="0.20833333333333334"/>
          <c:w val="0.75564010976869023"/>
          <c:h val="0.10031684571640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[E-Commerce.xlsx]Pivart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Category</a:t>
            </a:r>
            <a:r>
              <a:rPr lang="en-US" b="1" baseline="0">
                <a:solidFill>
                  <a:schemeClr val="tx2"/>
                </a:solidFill>
              </a:rPr>
              <a:t> Wise Payment Mode Analysis</a:t>
            </a:r>
            <a:endParaRPr lang="en-US" b="1">
              <a:solidFill>
                <a:schemeClr val="tx2"/>
              </a:solidFill>
            </a:endParaRPr>
          </a:p>
        </c:rich>
      </c:tx>
      <c:layout>
        <c:manualLayout>
          <c:xMode val="edge"/>
          <c:yMode val="edge"/>
          <c:x val="0.12440162208327125"/>
          <c:y val="6.65566441349160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tx2">
              <a:lumMod val="90000"/>
              <a:lumOff val="10000"/>
            </a:schemeClr>
          </a:solidFill>
          <a:ln>
            <a:noFill/>
          </a:ln>
          <a:effectLst/>
        </c:spPr>
      </c:pivotFmt>
    </c:pivotFmts>
    <c:plotArea>
      <c:layout>
        <c:manualLayout>
          <c:layoutTarget val="inner"/>
          <c:xMode val="edge"/>
          <c:yMode val="edge"/>
          <c:x val="0.22194205875494299"/>
          <c:y val="0.30177188217326495"/>
          <c:w val="0.73760425504467897"/>
          <c:h val="0.58828038774400571"/>
        </c:manualLayout>
      </c:layout>
      <c:barChart>
        <c:barDir val="bar"/>
        <c:grouping val="stacked"/>
        <c:varyColors val="0"/>
        <c:ser>
          <c:idx val="0"/>
          <c:order val="0"/>
          <c:tx>
            <c:strRef>
              <c:f>'Pivart table'!$B$2:$B$3</c:f>
              <c:strCache>
                <c:ptCount val="1"/>
                <c:pt idx="0">
                  <c:v>Cash on Delivery</c:v>
                </c:pt>
              </c:strCache>
            </c:strRef>
          </c:tx>
          <c:spPr>
            <a:solidFill>
              <a:schemeClr val="accent1"/>
            </a:solidFill>
            <a:ln>
              <a:noFill/>
            </a:ln>
            <a:effectLst/>
          </c:spPr>
          <c:invertIfNegative val="0"/>
          <c:dPt>
            <c:idx val="4"/>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8-54D3-4ED2-9C3C-CF35371C7456}"/>
              </c:ext>
            </c:extLst>
          </c:dPt>
          <c:cat>
            <c:strRef>
              <c:f>'Pivart table'!$A$4:$A$10</c:f>
              <c:strCache>
                <c:ptCount val="6"/>
                <c:pt idx="0">
                  <c:v>Electronics</c:v>
                </c:pt>
                <c:pt idx="1">
                  <c:v>Fashion</c:v>
                </c:pt>
                <c:pt idx="2">
                  <c:v>Furniture</c:v>
                </c:pt>
                <c:pt idx="3">
                  <c:v>Home &amp; Kitchen</c:v>
                </c:pt>
                <c:pt idx="4">
                  <c:v>Stationery</c:v>
                </c:pt>
                <c:pt idx="5">
                  <c:v>(blank)</c:v>
                </c:pt>
              </c:strCache>
            </c:strRef>
          </c:cat>
          <c:val>
            <c:numRef>
              <c:f>'Pivart table'!$B$4:$B$10</c:f>
              <c:numCache>
                <c:formatCode>General</c:formatCode>
                <c:ptCount val="6"/>
                <c:pt idx="0">
                  <c:v>61</c:v>
                </c:pt>
                <c:pt idx="1">
                  <c:v>41</c:v>
                </c:pt>
                <c:pt idx="2">
                  <c:v>27</c:v>
                </c:pt>
                <c:pt idx="3">
                  <c:v>32</c:v>
                </c:pt>
                <c:pt idx="4">
                  <c:v>27</c:v>
                </c:pt>
              </c:numCache>
            </c:numRef>
          </c:val>
          <c:extLst>
            <c:ext xmlns:c16="http://schemas.microsoft.com/office/drawing/2014/chart" uri="{C3380CC4-5D6E-409C-BE32-E72D297353CC}">
              <c16:uniqueId val="{00000000-54D3-4ED2-9C3C-CF35371C7456}"/>
            </c:ext>
          </c:extLst>
        </c:ser>
        <c:ser>
          <c:idx val="1"/>
          <c:order val="1"/>
          <c:tx>
            <c:strRef>
              <c:f>'Pivart table'!$C$2:$C$3</c:f>
              <c:strCache>
                <c:ptCount val="1"/>
                <c:pt idx="0">
                  <c:v>Credit Card</c:v>
                </c:pt>
              </c:strCache>
            </c:strRef>
          </c:tx>
          <c:spPr>
            <a:solidFill>
              <a:schemeClr val="accent3"/>
            </a:solidFill>
            <a:ln>
              <a:noFill/>
            </a:ln>
            <a:effectLst/>
          </c:spPr>
          <c:invertIfNegative val="0"/>
          <c:cat>
            <c:strRef>
              <c:f>'Pivart table'!$A$4:$A$10</c:f>
              <c:strCache>
                <c:ptCount val="6"/>
                <c:pt idx="0">
                  <c:v>Electronics</c:v>
                </c:pt>
                <c:pt idx="1">
                  <c:v>Fashion</c:v>
                </c:pt>
                <c:pt idx="2">
                  <c:v>Furniture</c:v>
                </c:pt>
                <c:pt idx="3">
                  <c:v>Home &amp; Kitchen</c:v>
                </c:pt>
                <c:pt idx="4">
                  <c:v>Stationery</c:v>
                </c:pt>
                <c:pt idx="5">
                  <c:v>(blank)</c:v>
                </c:pt>
              </c:strCache>
            </c:strRef>
          </c:cat>
          <c:val>
            <c:numRef>
              <c:f>'Pivart table'!$C$4:$C$10</c:f>
              <c:numCache>
                <c:formatCode>General</c:formatCode>
                <c:ptCount val="6"/>
                <c:pt idx="0">
                  <c:v>68</c:v>
                </c:pt>
                <c:pt idx="1">
                  <c:v>33</c:v>
                </c:pt>
                <c:pt idx="2">
                  <c:v>38</c:v>
                </c:pt>
                <c:pt idx="3">
                  <c:v>32</c:v>
                </c:pt>
                <c:pt idx="4">
                  <c:v>38</c:v>
                </c:pt>
              </c:numCache>
            </c:numRef>
          </c:val>
          <c:extLst>
            <c:ext xmlns:c16="http://schemas.microsoft.com/office/drawing/2014/chart" uri="{C3380CC4-5D6E-409C-BE32-E72D297353CC}">
              <c16:uniqueId val="{0000000F-EAA7-4B4D-AD92-DDCFC68F97C0}"/>
            </c:ext>
          </c:extLst>
        </c:ser>
        <c:ser>
          <c:idx val="2"/>
          <c:order val="2"/>
          <c:tx>
            <c:strRef>
              <c:f>'Pivart table'!$D$2:$D$3</c:f>
              <c:strCache>
                <c:ptCount val="1"/>
                <c:pt idx="0">
                  <c:v>Debit Card</c:v>
                </c:pt>
              </c:strCache>
            </c:strRef>
          </c:tx>
          <c:spPr>
            <a:solidFill>
              <a:schemeClr val="accent6"/>
            </a:solidFill>
            <a:ln>
              <a:noFill/>
            </a:ln>
            <a:effectLst/>
          </c:spPr>
          <c:invertIfNegative val="0"/>
          <c:cat>
            <c:strRef>
              <c:f>'Pivart table'!$A$4:$A$10</c:f>
              <c:strCache>
                <c:ptCount val="6"/>
                <c:pt idx="0">
                  <c:v>Electronics</c:v>
                </c:pt>
                <c:pt idx="1">
                  <c:v>Fashion</c:v>
                </c:pt>
                <c:pt idx="2">
                  <c:v>Furniture</c:v>
                </c:pt>
                <c:pt idx="3">
                  <c:v>Home &amp; Kitchen</c:v>
                </c:pt>
                <c:pt idx="4">
                  <c:v>Stationery</c:v>
                </c:pt>
                <c:pt idx="5">
                  <c:v>(blank)</c:v>
                </c:pt>
              </c:strCache>
            </c:strRef>
          </c:cat>
          <c:val>
            <c:numRef>
              <c:f>'Pivart table'!$D$4:$D$10</c:f>
              <c:numCache>
                <c:formatCode>General</c:formatCode>
                <c:ptCount val="6"/>
                <c:pt idx="0">
                  <c:v>72</c:v>
                </c:pt>
                <c:pt idx="1">
                  <c:v>40</c:v>
                </c:pt>
                <c:pt idx="2">
                  <c:v>31</c:v>
                </c:pt>
                <c:pt idx="3">
                  <c:v>32</c:v>
                </c:pt>
                <c:pt idx="4">
                  <c:v>43</c:v>
                </c:pt>
              </c:numCache>
            </c:numRef>
          </c:val>
          <c:extLst>
            <c:ext xmlns:c16="http://schemas.microsoft.com/office/drawing/2014/chart" uri="{C3380CC4-5D6E-409C-BE32-E72D297353CC}">
              <c16:uniqueId val="{00000010-EAA7-4B4D-AD92-DDCFC68F97C0}"/>
            </c:ext>
          </c:extLst>
        </c:ser>
        <c:ser>
          <c:idx val="3"/>
          <c:order val="3"/>
          <c:tx>
            <c:strRef>
              <c:f>'Pivart table'!$E$2:$E$3</c:f>
              <c:strCache>
                <c:ptCount val="1"/>
                <c:pt idx="0">
                  <c:v>NA</c:v>
                </c:pt>
              </c:strCache>
            </c:strRef>
          </c:tx>
          <c:spPr>
            <a:solidFill>
              <a:schemeClr val="accent4"/>
            </a:solidFill>
            <a:ln>
              <a:noFill/>
            </a:ln>
            <a:effectLst/>
          </c:spPr>
          <c:invertIfNegative val="0"/>
          <c:cat>
            <c:strRef>
              <c:f>'Pivart table'!$A$4:$A$10</c:f>
              <c:strCache>
                <c:ptCount val="6"/>
                <c:pt idx="0">
                  <c:v>Electronics</c:v>
                </c:pt>
                <c:pt idx="1">
                  <c:v>Fashion</c:v>
                </c:pt>
                <c:pt idx="2">
                  <c:v>Furniture</c:v>
                </c:pt>
                <c:pt idx="3">
                  <c:v>Home &amp; Kitchen</c:v>
                </c:pt>
                <c:pt idx="4">
                  <c:v>Stationery</c:v>
                </c:pt>
                <c:pt idx="5">
                  <c:v>(blank)</c:v>
                </c:pt>
              </c:strCache>
            </c:strRef>
          </c:cat>
          <c:val>
            <c:numRef>
              <c:f>'Pivart table'!$E$4:$E$10</c:f>
              <c:numCache>
                <c:formatCode>General</c:formatCode>
                <c:ptCount val="6"/>
                <c:pt idx="0">
                  <c:v>2</c:v>
                </c:pt>
                <c:pt idx="2">
                  <c:v>1</c:v>
                </c:pt>
              </c:numCache>
            </c:numRef>
          </c:val>
          <c:extLst>
            <c:ext xmlns:c16="http://schemas.microsoft.com/office/drawing/2014/chart" uri="{C3380CC4-5D6E-409C-BE32-E72D297353CC}">
              <c16:uniqueId val="{00000011-EAA7-4B4D-AD92-DDCFC68F97C0}"/>
            </c:ext>
          </c:extLst>
        </c:ser>
        <c:ser>
          <c:idx val="4"/>
          <c:order val="4"/>
          <c:tx>
            <c:strRef>
              <c:f>'Pivart table'!$F$2:$F$3</c:f>
              <c:strCache>
                <c:ptCount val="1"/>
                <c:pt idx="0">
                  <c:v>Net Banking</c:v>
                </c:pt>
              </c:strCache>
            </c:strRef>
          </c:tx>
          <c:spPr>
            <a:solidFill>
              <a:srgbClr val="FF0000"/>
            </a:solidFill>
            <a:ln>
              <a:noFill/>
            </a:ln>
            <a:effectLst/>
          </c:spPr>
          <c:invertIfNegative val="0"/>
          <c:cat>
            <c:strRef>
              <c:f>'Pivart table'!$A$4:$A$10</c:f>
              <c:strCache>
                <c:ptCount val="6"/>
                <c:pt idx="0">
                  <c:v>Electronics</c:v>
                </c:pt>
                <c:pt idx="1">
                  <c:v>Fashion</c:v>
                </c:pt>
                <c:pt idx="2">
                  <c:v>Furniture</c:v>
                </c:pt>
                <c:pt idx="3">
                  <c:v>Home &amp; Kitchen</c:v>
                </c:pt>
                <c:pt idx="4">
                  <c:v>Stationery</c:v>
                </c:pt>
                <c:pt idx="5">
                  <c:v>(blank)</c:v>
                </c:pt>
              </c:strCache>
            </c:strRef>
          </c:cat>
          <c:val>
            <c:numRef>
              <c:f>'Pivart table'!$F$4:$F$10</c:f>
              <c:numCache>
                <c:formatCode>General</c:formatCode>
                <c:ptCount val="6"/>
                <c:pt idx="0">
                  <c:v>49</c:v>
                </c:pt>
                <c:pt idx="1">
                  <c:v>36</c:v>
                </c:pt>
                <c:pt idx="2">
                  <c:v>29</c:v>
                </c:pt>
                <c:pt idx="3">
                  <c:v>32</c:v>
                </c:pt>
                <c:pt idx="4">
                  <c:v>33</c:v>
                </c:pt>
              </c:numCache>
            </c:numRef>
          </c:val>
          <c:extLst>
            <c:ext xmlns:c16="http://schemas.microsoft.com/office/drawing/2014/chart" uri="{C3380CC4-5D6E-409C-BE32-E72D297353CC}">
              <c16:uniqueId val="{00000012-EAA7-4B4D-AD92-DDCFC68F97C0}"/>
            </c:ext>
          </c:extLst>
        </c:ser>
        <c:ser>
          <c:idx val="5"/>
          <c:order val="5"/>
          <c:tx>
            <c:strRef>
              <c:f>'Pivart table'!$G$2:$G$3</c:f>
              <c:strCache>
                <c:ptCount val="1"/>
                <c:pt idx="0">
                  <c:v>UPI</c:v>
                </c:pt>
              </c:strCache>
            </c:strRef>
          </c:tx>
          <c:spPr>
            <a:solidFill>
              <a:schemeClr val="accent5"/>
            </a:solidFill>
            <a:ln>
              <a:noFill/>
            </a:ln>
            <a:effectLst/>
          </c:spPr>
          <c:invertIfNegative val="0"/>
          <c:cat>
            <c:strRef>
              <c:f>'Pivart table'!$A$4:$A$10</c:f>
              <c:strCache>
                <c:ptCount val="6"/>
                <c:pt idx="0">
                  <c:v>Electronics</c:v>
                </c:pt>
                <c:pt idx="1">
                  <c:v>Fashion</c:v>
                </c:pt>
                <c:pt idx="2">
                  <c:v>Furniture</c:v>
                </c:pt>
                <c:pt idx="3">
                  <c:v>Home &amp; Kitchen</c:v>
                </c:pt>
                <c:pt idx="4">
                  <c:v>Stationery</c:v>
                </c:pt>
                <c:pt idx="5">
                  <c:v>(blank)</c:v>
                </c:pt>
              </c:strCache>
            </c:strRef>
          </c:cat>
          <c:val>
            <c:numRef>
              <c:f>'Pivart table'!$G$4:$G$10</c:f>
              <c:numCache>
                <c:formatCode>General</c:formatCode>
                <c:ptCount val="6"/>
                <c:pt idx="0">
                  <c:v>54</c:v>
                </c:pt>
                <c:pt idx="1">
                  <c:v>41</c:v>
                </c:pt>
                <c:pt idx="2">
                  <c:v>32</c:v>
                </c:pt>
                <c:pt idx="3">
                  <c:v>34</c:v>
                </c:pt>
                <c:pt idx="4">
                  <c:v>36</c:v>
                </c:pt>
              </c:numCache>
            </c:numRef>
          </c:val>
          <c:extLst>
            <c:ext xmlns:c16="http://schemas.microsoft.com/office/drawing/2014/chart" uri="{C3380CC4-5D6E-409C-BE32-E72D297353CC}">
              <c16:uniqueId val="{00000003-6DE4-479A-9182-6E9C71B82B36}"/>
            </c:ext>
          </c:extLst>
        </c:ser>
        <c:ser>
          <c:idx val="6"/>
          <c:order val="6"/>
          <c:tx>
            <c:strRef>
              <c:f>'Pivart table'!$H$2:$H$3</c:f>
              <c:strCache>
                <c:ptCount val="1"/>
                <c:pt idx="0">
                  <c:v>UPI </c:v>
                </c:pt>
              </c:strCache>
            </c:strRef>
          </c:tx>
          <c:spPr>
            <a:solidFill>
              <a:schemeClr val="accent1">
                <a:lumMod val="60000"/>
              </a:schemeClr>
            </a:solidFill>
            <a:ln>
              <a:noFill/>
            </a:ln>
            <a:effectLst/>
          </c:spPr>
          <c:invertIfNegative val="0"/>
          <c:cat>
            <c:strRef>
              <c:f>'Pivart table'!$A$4:$A$10</c:f>
              <c:strCache>
                <c:ptCount val="6"/>
                <c:pt idx="0">
                  <c:v>Electronics</c:v>
                </c:pt>
                <c:pt idx="1">
                  <c:v>Fashion</c:v>
                </c:pt>
                <c:pt idx="2">
                  <c:v>Furniture</c:v>
                </c:pt>
                <c:pt idx="3">
                  <c:v>Home &amp; Kitchen</c:v>
                </c:pt>
                <c:pt idx="4">
                  <c:v>Stationery</c:v>
                </c:pt>
                <c:pt idx="5">
                  <c:v>(blank)</c:v>
                </c:pt>
              </c:strCache>
            </c:strRef>
          </c:cat>
          <c:val>
            <c:numRef>
              <c:f>'Pivart table'!$H$4:$H$10</c:f>
              <c:numCache>
                <c:formatCode>General</c:formatCode>
                <c:ptCount val="6"/>
                <c:pt idx="1">
                  <c:v>1</c:v>
                </c:pt>
              </c:numCache>
            </c:numRef>
          </c:val>
          <c:extLst>
            <c:ext xmlns:c16="http://schemas.microsoft.com/office/drawing/2014/chart" uri="{C3380CC4-5D6E-409C-BE32-E72D297353CC}">
              <c16:uniqueId val="{00000004-6DE4-479A-9182-6E9C71B82B36}"/>
            </c:ext>
          </c:extLst>
        </c:ser>
        <c:ser>
          <c:idx val="7"/>
          <c:order val="7"/>
          <c:tx>
            <c:strRef>
              <c:f>'Pivart table'!$I$2:$I$3</c:f>
              <c:strCache>
                <c:ptCount val="1"/>
                <c:pt idx="0">
                  <c:v>(blank)</c:v>
                </c:pt>
              </c:strCache>
            </c:strRef>
          </c:tx>
          <c:spPr>
            <a:solidFill>
              <a:schemeClr val="accent2">
                <a:lumMod val="60000"/>
              </a:schemeClr>
            </a:solidFill>
            <a:ln>
              <a:noFill/>
            </a:ln>
            <a:effectLst/>
          </c:spPr>
          <c:invertIfNegative val="0"/>
          <c:cat>
            <c:strRef>
              <c:f>'Pivart table'!$A$4:$A$10</c:f>
              <c:strCache>
                <c:ptCount val="6"/>
                <c:pt idx="0">
                  <c:v>Electronics</c:v>
                </c:pt>
                <c:pt idx="1">
                  <c:v>Fashion</c:v>
                </c:pt>
                <c:pt idx="2">
                  <c:v>Furniture</c:v>
                </c:pt>
                <c:pt idx="3">
                  <c:v>Home &amp; Kitchen</c:v>
                </c:pt>
                <c:pt idx="4">
                  <c:v>Stationery</c:v>
                </c:pt>
                <c:pt idx="5">
                  <c:v>(blank)</c:v>
                </c:pt>
              </c:strCache>
            </c:strRef>
          </c:cat>
          <c:val>
            <c:numRef>
              <c:f>'Pivart table'!$I$4:$I$10</c:f>
              <c:numCache>
                <c:formatCode>General</c:formatCode>
                <c:ptCount val="6"/>
              </c:numCache>
            </c:numRef>
          </c:val>
          <c:extLst>
            <c:ext xmlns:c16="http://schemas.microsoft.com/office/drawing/2014/chart" uri="{C3380CC4-5D6E-409C-BE32-E72D297353CC}">
              <c16:uniqueId val="{00000005-6DE4-479A-9182-6E9C71B82B36}"/>
            </c:ext>
          </c:extLst>
        </c:ser>
        <c:dLbls>
          <c:showLegendKey val="0"/>
          <c:showVal val="0"/>
          <c:showCatName val="0"/>
          <c:showSerName val="0"/>
          <c:showPercent val="0"/>
          <c:showBubbleSize val="0"/>
        </c:dLbls>
        <c:gapWidth val="150"/>
        <c:overlap val="100"/>
        <c:axId val="76863967"/>
        <c:axId val="1906711696"/>
      </c:barChart>
      <c:catAx>
        <c:axId val="7686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711696"/>
        <c:crosses val="autoZero"/>
        <c:auto val="1"/>
        <c:lblAlgn val="ctr"/>
        <c:lblOffset val="100"/>
        <c:noMultiLvlLbl val="0"/>
      </c:catAx>
      <c:valAx>
        <c:axId val="190671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63967"/>
        <c:crosses val="autoZero"/>
        <c:crossBetween val="between"/>
      </c:valAx>
      <c:spPr>
        <a:noFill/>
        <a:ln>
          <a:noFill/>
        </a:ln>
        <a:effectLst/>
      </c:spPr>
    </c:plotArea>
    <c:legend>
      <c:legendPos val="t"/>
      <c:layout>
        <c:manualLayout>
          <c:xMode val="edge"/>
          <c:yMode val="edge"/>
          <c:x val="3.0464748094833186E-2"/>
          <c:y val="0.13985947353075137"/>
          <c:w val="0.71531741183856223"/>
          <c:h val="0.29432394258557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[E-Commerce.xlsx]Pivart table!PivotTable2</c:name>
    <c:fmtId val="2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tx2"/>
                </a:solidFill>
              </a:rPr>
              <a:t>Cash on Delivery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tx2">
              <a:lumMod val="75000"/>
              <a:lumOff val="25000"/>
            </a:schemeClr>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pivotFmt>
      <c:pivotFmt>
        <c:idx val="77"/>
        <c:spPr>
          <a:solidFill>
            <a:schemeClr val="accent1"/>
          </a:solidFill>
          <a:ln>
            <a:noFill/>
          </a:ln>
          <a:effectLst>
            <a:outerShdw blurRad="317500" algn="ctr" rotWithShape="0">
              <a:prstClr val="black">
                <a:alpha val="25000"/>
              </a:prstClr>
            </a:outerShdw>
          </a:effectLst>
        </c:spPr>
      </c:pivotFmt>
      <c:pivotFmt>
        <c:idx val="7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solidFill>
          <a:ln>
            <a:noFill/>
          </a:ln>
          <a:effectLst>
            <a:outerShdw blurRad="317500" algn="ctr" rotWithShape="0">
              <a:prstClr val="black">
                <a:alpha val="25000"/>
              </a:prstClr>
            </a:outerShdw>
          </a:effectLst>
        </c:spPr>
      </c:pivotFmt>
      <c:pivotFmt>
        <c:idx val="82"/>
        <c:spPr>
          <a:solidFill>
            <a:schemeClr val="accent1"/>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pivotFmt>
      <c:pivotFmt>
        <c:idx val="84"/>
        <c:spPr>
          <a:solidFill>
            <a:schemeClr val="accent1"/>
          </a:solidFill>
          <a:ln>
            <a:noFill/>
          </a:ln>
          <a:effectLst>
            <a:outerShdw blurRad="317500" algn="ctr" rotWithShape="0">
              <a:prstClr val="black">
                <a:alpha val="25000"/>
              </a:prstClr>
            </a:outerShdw>
          </a:effectLst>
        </c:spPr>
      </c:pivotFmt>
      <c:pivotFmt>
        <c:idx val="8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6"/>
        <c:spPr>
          <a:solidFill>
            <a:schemeClr val="accent1"/>
          </a:solidFill>
          <a:ln>
            <a:noFill/>
          </a:ln>
          <a:effectLst>
            <a:outerShdw blurRad="317500" algn="ctr" rotWithShape="0">
              <a:prstClr val="black">
                <a:alpha val="25000"/>
              </a:prstClr>
            </a:outerShdw>
          </a:effectLst>
        </c:spPr>
      </c:pivotFmt>
      <c:pivotFmt>
        <c:idx val="87"/>
        <c:spPr>
          <a:solidFill>
            <a:schemeClr val="accent1"/>
          </a:solidFill>
          <a:ln>
            <a:noFill/>
          </a:ln>
          <a:effectLst>
            <a:outerShdw blurRad="317500" algn="ctr" rotWithShape="0">
              <a:prstClr val="black">
                <a:alpha val="25000"/>
              </a:prstClr>
            </a:outerShdw>
          </a:effectLst>
        </c:spPr>
      </c:pivotFmt>
      <c:pivotFmt>
        <c:idx val="88"/>
        <c:spPr>
          <a:solidFill>
            <a:schemeClr val="accent1"/>
          </a:solidFill>
          <a:ln>
            <a:noFill/>
          </a:ln>
          <a:effectLst>
            <a:outerShdw blurRad="317500" algn="ctr" rotWithShape="0">
              <a:prstClr val="black">
                <a:alpha val="25000"/>
              </a:prstClr>
            </a:outerShdw>
          </a:effectLst>
        </c:spPr>
      </c:pivotFmt>
      <c:pivotFmt>
        <c:idx val="89"/>
        <c:spPr>
          <a:solidFill>
            <a:schemeClr val="accent1"/>
          </a:solidFill>
          <a:ln>
            <a:noFill/>
          </a:ln>
          <a:effectLst>
            <a:outerShdw blurRad="317500" algn="ctr" rotWithShape="0">
              <a:prstClr val="black">
                <a:alpha val="25000"/>
              </a:prstClr>
            </a:outerShdw>
          </a:effectLst>
        </c:spPr>
      </c:pivotFmt>
      <c:pivotFmt>
        <c:idx val="90"/>
        <c:spPr>
          <a:solidFill>
            <a:schemeClr val="accent1"/>
          </a:solidFill>
          <a:ln>
            <a:noFill/>
          </a:ln>
          <a:effectLst>
            <a:outerShdw blurRad="317500" algn="ctr" rotWithShape="0">
              <a:prstClr val="black">
                <a:alpha val="25000"/>
              </a:prstClr>
            </a:outerShdw>
          </a:effectLst>
        </c:spPr>
      </c:pivotFmt>
      <c:pivotFmt>
        <c:idx val="91"/>
        <c:spPr>
          <a:solidFill>
            <a:schemeClr val="accent1"/>
          </a:solidFill>
          <a:ln>
            <a:noFill/>
          </a:ln>
          <a:effectLst>
            <a:outerShdw blurRad="317500" algn="ctr" rotWithShape="0">
              <a:prstClr val="black">
                <a:alpha val="25000"/>
              </a:prstClr>
            </a:outerShdw>
          </a:effectLst>
        </c:spPr>
      </c:pivotFmt>
      <c:pivotFmt>
        <c:idx val="9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3"/>
        <c:spPr>
          <a:solidFill>
            <a:schemeClr val="accent1"/>
          </a:solidFill>
          <a:ln>
            <a:noFill/>
          </a:ln>
          <a:effectLst>
            <a:outerShdw blurRad="317500" algn="ctr" rotWithShape="0">
              <a:prstClr val="black">
                <a:alpha val="25000"/>
              </a:prstClr>
            </a:outerShdw>
          </a:effectLst>
        </c:spPr>
      </c:pivotFmt>
      <c:pivotFmt>
        <c:idx val="94"/>
        <c:spPr>
          <a:solidFill>
            <a:schemeClr val="accent1"/>
          </a:solidFill>
          <a:ln>
            <a:noFill/>
          </a:ln>
          <a:effectLst>
            <a:outerShdw blurRad="317500" algn="ctr" rotWithShape="0">
              <a:prstClr val="black">
                <a:alpha val="25000"/>
              </a:prstClr>
            </a:outerShdw>
          </a:effectLst>
        </c:spPr>
      </c:pivotFmt>
      <c:pivotFmt>
        <c:idx val="95"/>
        <c:spPr>
          <a:solidFill>
            <a:schemeClr val="accent1"/>
          </a:solidFill>
          <a:ln>
            <a:noFill/>
          </a:ln>
          <a:effectLst>
            <a:outerShdw blurRad="317500" algn="ctr" rotWithShape="0">
              <a:prstClr val="black">
                <a:alpha val="25000"/>
              </a:prstClr>
            </a:outerShdw>
          </a:effectLst>
        </c:spPr>
      </c:pivotFmt>
      <c:pivotFmt>
        <c:idx val="96"/>
        <c:spPr>
          <a:solidFill>
            <a:schemeClr val="accent1"/>
          </a:solidFill>
          <a:ln>
            <a:noFill/>
          </a:ln>
          <a:effectLst>
            <a:outerShdw blurRad="317500" algn="ctr" rotWithShape="0">
              <a:prstClr val="black">
                <a:alpha val="25000"/>
              </a:prstClr>
            </a:outerShdw>
          </a:effectLst>
        </c:spPr>
      </c:pivotFmt>
      <c:pivotFmt>
        <c:idx val="97"/>
        <c:spPr>
          <a:solidFill>
            <a:schemeClr val="accent1"/>
          </a:solidFill>
          <a:ln>
            <a:noFill/>
          </a:ln>
          <a:effectLst>
            <a:outerShdw blurRad="317500" algn="ctr" rotWithShape="0">
              <a:prstClr val="black">
                <a:alpha val="25000"/>
              </a:prstClr>
            </a:outerShdw>
          </a:effectLst>
        </c:spPr>
      </c:pivotFmt>
      <c:pivotFmt>
        <c:idx val="98"/>
        <c:spPr>
          <a:solidFill>
            <a:schemeClr val="accent1"/>
          </a:solidFill>
          <a:ln>
            <a:noFill/>
          </a:ln>
          <a:effectLst>
            <a:outerShdw blurRad="317500" algn="ctr" rotWithShape="0">
              <a:prstClr val="black">
                <a:alpha val="25000"/>
              </a:prstClr>
            </a:outerShdw>
          </a:effectLst>
        </c:spPr>
      </c:pivotFmt>
      <c:pivotFmt>
        <c:idx val="9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0"/>
        <c:spPr>
          <a:solidFill>
            <a:schemeClr val="accent1"/>
          </a:solidFill>
          <a:ln>
            <a:noFill/>
          </a:ln>
          <a:effectLst>
            <a:outerShdw blurRad="317500" algn="ctr" rotWithShape="0">
              <a:prstClr val="black">
                <a:alpha val="25000"/>
              </a:prstClr>
            </a:outerShdw>
          </a:effectLst>
        </c:spPr>
      </c:pivotFmt>
      <c:pivotFmt>
        <c:idx val="101"/>
        <c:spPr>
          <a:solidFill>
            <a:schemeClr val="accent1"/>
          </a:solidFill>
          <a:ln>
            <a:noFill/>
          </a:ln>
          <a:effectLst>
            <a:outerShdw blurRad="317500" algn="ctr" rotWithShape="0">
              <a:prstClr val="black">
                <a:alpha val="25000"/>
              </a:prstClr>
            </a:outerShdw>
          </a:effectLst>
        </c:spPr>
      </c:pivotFmt>
      <c:pivotFmt>
        <c:idx val="102"/>
        <c:spPr>
          <a:solidFill>
            <a:schemeClr val="accent1"/>
          </a:solidFill>
          <a:ln>
            <a:noFill/>
          </a:ln>
          <a:effectLst>
            <a:outerShdw blurRad="317500" algn="ctr" rotWithShape="0">
              <a:prstClr val="black">
                <a:alpha val="25000"/>
              </a:prstClr>
            </a:outerShdw>
          </a:effectLst>
        </c:spPr>
      </c:pivotFmt>
      <c:pivotFmt>
        <c:idx val="103"/>
        <c:spPr>
          <a:solidFill>
            <a:schemeClr val="accent1"/>
          </a:solidFill>
          <a:ln>
            <a:noFill/>
          </a:ln>
          <a:effectLst>
            <a:outerShdw blurRad="317500" algn="ctr" rotWithShape="0">
              <a:prstClr val="black">
                <a:alpha val="25000"/>
              </a:prstClr>
            </a:outerShdw>
          </a:effectLst>
        </c:spPr>
      </c:pivotFmt>
      <c:pivotFmt>
        <c:idx val="104"/>
        <c:spPr>
          <a:solidFill>
            <a:schemeClr val="accent1"/>
          </a:solidFill>
          <a:ln>
            <a:noFill/>
          </a:ln>
          <a:effectLst>
            <a:outerShdw blurRad="317500" algn="ctr" rotWithShape="0">
              <a:prstClr val="black">
                <a:alpha val="25000"/>
              </a:prstClr>
            </a:outerShdw>
          </a:effectLst>
        </c:spPr>
      </c:pivotFmt>
      <c:pivotFmt>
        <c:idx val="105"/>
        <c:spPr>
          <a:solidFill>
            <a:schemeClr val="accent1"/>
          </a:solidFill>
          <a:ln>
            <a:noFill/>
          </a:ln>
          <a:effectLst>
            <a:outerShdw blurRad="317500" algn="ctr" rotWithShape="0">
              <a:prstClr val="black">
                <a:alpha val="25000"/>
              </a:prstClr>
            </a:outerShdw>
          </a:effectLst>
        </c:spPr>
      </c:pivotFmt>
      <c:pivotFmt>
        <c:idx val="10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7"/>
        <c:spPr>
          <a:solidFill>
            <a:schemeClr val="accent1"/>
          </a:solidFill>
          <a:ln>
            <a:noFill/>
          </a:ln>
          <a:effectLst>
            <a:outerShdw blurRad="317500" algn="ctr" rotWithShape="0">
              <a:prstClr val="black">
                <a:alpha val="25000"/>
              </a:prstClr>
            </a:outerShdw>
          </a:effectLst>
        </c:spPr>
      </c:pivotFmt>
      <c:pivotFmt>
        <c:idx val="108"/>
        <c:spPr>
          <a:solidFill>
            <a:schemeClr val="accent1"/>
          </a:solidFill>
          <a:ln>
            <a:noFill/>
          </a:ln>
          <a:effectLst>
            <a:outerShdw blurRad="317500" algn="ctr" rotWithShape="0">
              <a:prstClr val="black">
                <a:alpha val="25000"/>
              </a:prstClr>
            </a:outerShdw>
          </a:effectLst>
        </c:spPr>
      </c:pivotFmt>
      <c:pivotFmt>
        <c:idx val="109"/>
        <c:spPr>
          <a:solidFill>
            <a:schemeClr val="accent1"/>
          </a:solidFill>
          <a:ln>
            <a:noFill/>
          </a:ln>
          <a:effectLst>
            <a:outerShdw blurRad="317500" algn="ctr" rotWithShape="0">
              <a:prstClr val="black">
                <a:alpha val="25000"/>
              </a:prstClr>
            </a:outerShdw>
          </a:effectLst>
        </c:spPr>
      </c:pivotFmt>
      <c:pivotFmt>
        <c:idx val="110"/>
        <c:spPr>
          <a:solidFill>
            <a:schemeClr val="accent1"/>
          </a:solidFill>
          <a:ln>
            <a:noFill/>
          </a:ln>
          <a:effectLst>
            <a:outerShdw blurRad="317500" algn="ctr" rotWithShape="0">
              <a:prstClr val="black">
                <a:alpha val="25000"/>
              </a:prstClr>
            </a:outerShdw>
          </a:effectLst>
        </c:spPr>
      </c:pivotFmt>
      <c:pivotFmt>
        <c:idx val="111"/>
        <c:spPr>
          <a:solidFill>
            <a:schemeClr val="accent1"/>
          </a:solidFill>
          <a:ln>
            <a:noFill/>
          </a:ln>
          <a:effectLst>
            <a:outerShdw blurRad="317500" algn="ctr" rotWithShape="0">
              <a:prstClr val="black">
                <a:alpha val="25000"/>
              </a:prstClr>
            </a:outerShdw>
          </a:effectLst>
        </c:spPr>
      </c:pivotFmt>
      <c:pivotFmt>
        <c:idx val="112"/>
        <c:spPr>
          <a:solidFill>
            <a:schemeClr val="accent1"/>
          </a:solidFill>
          <a:ln>
            <a:noFill/>
          </a:ln>
          <a:effectLst>
            <a:outerShdw blurRad="317500" algn="ctr" rotWithShape="0">
              <a:prstClr val="black">
                <a:alpha val="25000"/>
              </a:prstClr>
            </a:outerShdw>
          </a:effectLst>
        </c:spPr>
      </c:pivotFmt>
      <c:pivotFmt>
        <c:idx val="1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4"/>
        <c:spPr>
          <a:solidFill>
            <a:schemeClr val="accent1"/>
          </a:solidFill>
          <a:ln>
            <a:noFill/>
          </a:ln>
          <a:effectLst>
            <a:outerShdw blurRad="317500" algn="ctr" rotWithShape="0">
              <a:prstClr val="black">
                <a:alpha val="25000"/>
              </a:prstClr>
            </a:outerShdw>
          </a:effectLst>
        </c:spPr>
      </c:pivotFmt>
      <c:pivotFmt>
        <c:idx val="115"/>
        <c:spPr>
          <a:solidFill>
            <a:schemeClr val="accent1"/>
          </a:solidFill>
          <a:ln>
            <a:noFill/>
          </a:ln>
          <a:effectLst>
            <a:outerShdw blurRad="317500" algn="ctr" rotWithShape="0">
              <a:prstClr val="black">
                <a:alpha val="25000"/>
              </a:prstClr>
            </a:outerShdw>
          </a:effectLst>
        </c:spPr>
      </c:pivotFmt>
      <c:pivotFmt>
        <c:idx val="116"/>
        <c:spPr>
          <a:solidFill>
            <a:schemeClr val="accent1"/>
          </a:solidFill>
          <a:ln>
            <a:noFill/>
          </a:ln>
          <a:effectLst>
            <a:outerShdw blurRad="317500" algn="ctr" rotWithShape="0">
              <a:prstClr val="black">
                <a:alpha val="25000"/>
              </a:prstClr>
            </a:outerShdw>
          </a:effectLst>
        </c:spPr>
      </c:pivotFmt>
      <c:pivotFmt>
        <c:idx val="117"/>
        <c:spPr>
          <a:solidFill>
            <a:schemeClr val="accent1"/>
          </a:solidFill>
          <a:ln>
            <a:noFill/>
          </a:ln>
          <a:effectLst>
            <a:outerShdw blurRad="317500" algn="ctr" rotWithShape="0">
              <a:prstClr val="black">
                <a:alpha val="25000"/>
              </a:prstClr>
            </a:outerShdw>
          </a:effectLst>
        </c:spPr>
      </c:pivotFmt>
      <c:pivotFmt>
        <c:idx val="118"/>
        <c:spPr>
          <a:solidFill>
            <a:schemeClr val="accent1"/>
          </a:solidFill>
          <a:ln>
            <a:noFill/>
          </a:ln>
          <a:effectLst>
            <a:outerShdw blurRad="317500" algn="ctr" rotWithShape="0">
              <a:prstClr val="black">
                <a:alpha val="25000"/>
              </a:prstClr>
            </a:outerShdw>
          </a:effectLst>
        </c:spPr>
      </c:pivotFmt>
      <c:pivotFmt>
        <c:idx val="11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'Pivart table'!$B$2:$B$3</c:f>
              <c:strCache>
                <c:ptCount val="1"/>
                <c:pt idx="0">
                  <c:v>Cash on Delivery</c:v>
                </c:pt>
              </c:strCache>
            </c:strRef>
          </c:tx>
          <c:dPt>
            <c:idx val="0"/>
            <c:bubble3D val="0"/>
            <c:spPr>
              <a:solidFill>
                <a:schemeClr val="tx2">
                  <a:lumMod val="75000"/>
                  <a:lumOff val="2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DCB-4EF4-BF27-6EE8607010E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DCB-4EF4-BF27-6EE8607010E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DCB-4EF4-BF27-6EE8607010E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DCB-4EF4-BF27-6EE8607010E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DCB-4EF4-BF27-6EE8607010E4}"/>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DCB-4EF4-BF27-6EE8607010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'Pivart table'!$A$4:$A$10</c:f>
              <c:strCache>
                <c:ptCount val="6"/>
                <c:pt idx="0">
                  <c:v>Electronics</c:v>
                </c:pt>
                <c:pt idx="1">
                  <c:v>Fashion</c:v>
                </c:pt>
                <c:pt idx="2">
                  <c:v>Furniture</c:v>
                </c:pt>
                <c:pt idx="3">
                  <c:v>Home &amp; Kitchen</c:v>
                </c:pt>
                <c:pt idx="4">
                  <c:v>Stationery</c:v>
                </c:pt>
                <c:pt idx="5">
                  <c:v>(blank)</c:v>
                </c:pt>
              </c:strCache>
            </c:strRef>
          </c:cat>
          <c:val>
            <c:numRef>
              <c:f>'Pivart table'!$B$4:$B$10</c:f>
              <c:numCache>
                <c:formatCode>General</c:formatCode>
                <c:ptCount val="6"/>
                <c:pt idx="0">
                  <c:v>61</c:v>
                </c:pt>
                <c:pt idx="1">
                  <c:v>41</c:v>
                </c:pt>
                <c:pt idx="2">
                  <c:v>27</c:v>
                </c:pt>
                <c:pt idx="3">
                  <c:v>32</c:v>
                </c:pt>
                <c:pt idx="4">
                  <c:v>27</c:v>
                </c:pt>
              </c:numCache>
            </c:numRef>
          </c:val>
          <c:extLst>
            <c:ext xmlns:c16="http://schemas.microsoft.com/office/drawing/2014/chart" uri="{C3380CC4-5D6E-409C-BE32-E72D297353CC}">
              <c16:uniqueId val="{0000000C-EDCB-4EF4-BF27-6EE8607010E4}"/>
            </c:ext>
          </c:extLst>
        </c:ser>
        <c:ser>
          <c:idx val="1"/>
          <c:order val="1"/>
          <c:tx>
            <c:strRef>
              <c:f>'Pivart table'!$C$2:$C$3</c:f>
              <c:strCache>
                <c:ptCount val="1"/>
                <c:pt idx="0">
                  <c:v>Credit Card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BF1-4E72-A09F-D7B37BF5669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7BF1-4E72-A09F-D7B37BF5669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7BF1-4E72-A09F-D7B37BF5669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7BF1-4E72-A09F-D7B37BF5669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7BF1-4E72-A09F-D7B37BF5669D}"/>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7BF1-4E72-A09F-D7B37BF566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'Pivart table'!$A$4:$A$10</c:f>
              <c:strCache>
                <c:ptCount val="6"/>
                <c:pt idx="0">
                  <c:v>Electronics</c:v>
                </c:pt>
                <c:pt idx="1">
                  <c:v>Fashion</c:v>
                </c:pt>
                <c:pt idx="2">
                  <c:v>Furniture</c:v>
                </c:pt>
                <c:pt idx="3">
                  <c:v>Home &amp; Kitchen</c:v>
                </c:pt>
                <c:pt idx="4">
                  <c:v>Stationery</c:v>
                </c:pt>
                <c:pt idx="5">
                  <c:v>(blank)</c:v>
                </c:pt>
              </c:strCache>
            </c:strRef>
          </c:cat>
          <c:val>
            <c:numRef>
              <c:f>'Pivart table'!$C$4:$C$10</c:f>
              <c:numCache>
                <c:formatCode>General</c:formatCode>
                <c:ptCount val="6"/>
                <c:pt idx="0">
                  <c:v>68</c:v>
                </c:pt>
                <c:pt idx="1">
                  <c:v>33</c:v>
                </c:pt>
                <c:pt idx="2">
                  <c:v>38</c:v>
                </c:pt>
                <c:pt idx="3">
                  <c:v>32</c:v>
                </c:pt>
                <c:pt idx="4">
                  <c:v>38</c:v>
                </c:pt>
              </c:numCache>
            </c:numRef>
          </c:val>
          <c:extLst>
            <c:ext xmlns:c16="http://schemas.microsoft.com/office/drawing/2014/chart" uri="{C3380CC4-5D6E-409C-BE32-E72D297353CC}">
              <c16:uniqueId val="{0000006D-18B9-4FCF-A698-8E573127A6D8}"/>
            </c:ext>
          </c:extLst>
        </c:ser>
        <c:ser>
          <c:idx val="2"/>
          <c:order val="2"/>
          <c:tx>
            <c:strRef>
              <c:f>'Pivart table'!$D$2:$D$3</c:f>
              <c:strCache>
                <c:ptCount val="1"/>
                <c:pt idx="0">
                  <c:v>Debit Card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7BF1-4E72-A09F-D7B37BF5669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7BF1-4E72-A09F-D7B37BF5669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7BF1-4E72-A09F-D7B37BF5669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7BF1-4E72-A09F-D7B37BF5669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7BF1-4E72-A09F-D7B37BF5669D}"/>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7BF1-4E72-A09F-D7B37BF566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'Pivart table'!$A$4:$A$10</c:f>
              <c:strCache>
                <c:ptCount val="6"/>
                <c:pt idx="0">
                  <c:v>Electronics</c:v>
                </c:pt>
                <c:pt idx="1">
                  <c:v>Fashion</c:v>
                </c:pt>
                <c:pt idx="2">
                  <c:v>Furniture</c:v>
                </c:pt>
                <c:pt idx="3">
                  <c:v>Home &amp; Kitchen</c:v>
                </c:pt>
                <c:pt idx="4">
                  <c:v>Stationery</c:v>
                </c:pt>
                <c:pt idx="5">
                  <c:v>(blank)</c:v>
                </c:pt>
              </c:strCache>
            </c:strRef>
          </c:cat>
          <c:val>
            <c:numRef>
              <c:f>'Pivart table'!$D$4:$D$10</c:f>
              <c:numCache>
                <c:formatCode>General</c:formatCode>
                <c:ptCount val="6"/>
                <c:pt idx="0">
                  <c:v>72</c:v>
                </c:pt>
                <c:pt idx="1">
                  <c:v>40</c:v>
                </c:pt>
                <c:pt idx="2">
                  <c:v>31</c:v>
                </c:pt>
                <c:pt idx="3">
                  <c:v>32</c:v>
                </c:pt>
                <c:pt idx="4">
                  <c:v>43</c:v>
                </c:pt>
              </c:numCache>
            </c:numRef>
          </c:val>
          <c:extLst>
            <c:ext xmlns:c16="http://schemas.microsoft.com/office/drawing/2014/chart" uri="{C3380CC4-5D6E-409C-BE32-E72D297353CC}">
              <c16:uniqueId val="{0000006E-18B9-4FCF-A698-8E573127A6D8}"/>
            </c:ext>
          </c:extLst>
        </c:ser>
        <c:ser>
          <c:idx val="3"/>
          <c:order val="3"/>
          <c:tx>
            <c:strRef>
              <c:f>'Pivart table'!$E$2:$E$3</c:f>
              <c:strCache>
                <c:ptCount val="1"/>
                <c:pt idx="0">
                  <c:v>NA</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7BF1-4E72-A09F-D7B37BF5669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7BF1-4E72-A09F-D7B37BF5669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7BF1-4E72-A09F-D7B37BF5669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7BF1-4E72-A09F-D7B37BF5669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7BF1-4E72-A09F-D7B37BF5669D}"/>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7BF1-4E72-A09F-D7B37BF566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'Pivart table'!$A$4:$A$10</c:f>
              <c:strCache>
                <c:ptCount val="6"/>
                <c:pt idx="0">
                  <c:v>Electronics</c:v>
                </c:pt>
                <c:pt idx="1">
                  <c:v>Fashion</c:v>
                </c:pt>
                <c:pt idx="2">
                  <c:v>Furniture</c:v>
                </c:pt>
                <c:pt idx="3">
                  <c:v>Home &amp; Kitchen</c:v>
                </c:pt>
                <c:pt idx="4">
                  <c:v>Stationery</c:v>
                </c:pt>
                <c:pt idx="5">
                  <c:v>(blank)</c:v>
                </c:pt>
              </c:strCache>
            </c:strRef>
          </c:cat>
          <c:val>
            <c:numRef>
              <c:f>'Pivart table'!$E$4:$E$10</c:f>
              <c:numCache>
                <c:formatCode>General</c:formatCode>
                <c:ptCount val="6"/>
                <c:pt idx="0">
                  <c:v>2</c:v>
                </c:pt>
                <c:pt idx="2">
                  <c:v>1</c:v>
                </c:pt>
              </c:numCache>
            </c:numRef>
          </c:val>
          <c:extLst>
            <c:ext xmlns:c16="http://schemas.microsoft.com/office/drawing/2014/chart" uri="{C3380CC4-5D6E-409C-BE32-E72D297353CC}">
              <c16:uniqueId val="{0000006F-18B9-4FCF-A698-8E573127A6D8}"/>
            </c:ext>
          </c:extLst>
        </c:ser>
        <c:ser>
          <c:idx val="4"/>
          <c:order val="4"/>
          <c:tx>
            <c:strRef>
              <c:f>'Pivart table'!$F$2:$F$3</c:f>
              <c:strCache>
                <c:ptCount val="1"/>
                <c:pt idx="0">
                  <c:v>Net Banking</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7BF1-4E72-A09F-D7B37BF5669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7BF1-4E72-A09F-D7B37BF5669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7BF1-4E72-A09F-D7B37BF5669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7BF1-4E72-A09F-D7B37BF5669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7BF1-4E72-A09F-D7B37BF5669D}"/>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7BF1-4E72-A09F-D7B37BF566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'Pivart table'!$A$4:$A$10</c:f>
              <c:strCache>
                <c:ptCount val="6"/>
                <c:pt idx="0">
                  <c:v>Electronics</c:v>
                </c:pt>
                <c:pt idx="1">
                  <c:v>Fashion</c:v>
                </c:pt>
                <c:pt idx="2">
                  <c:v>Furniture</c:v>
                </c:pt>
                <c:pt idx="3">
                  <c:v>Home &amp; Kitchen</c:v>
                </c:pt>
                <c:pt idx="4">
                  <c:v>Stationery</c:v>
                </c:pt>
                <c:pt idx="5">
                  <c:v>(blank)</c:v>
                </c:pt>
              </c:strCache>
            </c:strRef>
          </c:cat>
          <c:val>
            <c:numRef>
              <c:f>'Pivart table'!$F$4:$F$10</c:f>
              <c:numCache>
                <c:formatCode>General</c:formatCode>
                <c:ptCount val="6"/>
                <c:pt idx="0">
                  <c:v>49</c:v>
                </c:pt>
                <c:pt idx="1">
                  <c:v>36</c:v>
                </c:pt>
                <c:pt idx="2">
                  <c:v>29</c:v>
                </c:pt>
                <c:pt idx="3">
                  <c:v>32</c:v>
                </c:pt>
                <c:pt idx="4">
                  <c:v>33</c:v>
                </c:pt>
              </c:numCache>
            </c:numRef>
          </c:val>
          <c:extLst>
            <c:ext xmlns:c16="http://schemas.microsoft.com/office/drawing/2014/chart" uri="{C3380CC4-5D6E-409C-BE32-E72D297353CC}">
              <c16:uniqueId val="{00000070-18B9-4FCF-A698-8E573127A6D8}"/>
            </c:ext>
          </c:extLst>
        </c:ser>
        <c:ser>
          <c:idx val="5"/>
          <c:order val="5"/>
          <c:tx>
            <c:strRef>
              <c:f>'Pivart table'!$G$2:$G$3</c:f>
              <c:strCache>
                <c:ptCount val="1"/>
                <c:pt idx="0">
                  <c:v>UPI</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4419-480A-A66D-09819793B64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4419-480A-A66D-09819793B64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4419-480A-A66D-09819793B64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3-4419-480A-A66D-09819793B64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5-4419-480A-A66D-09819793B64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7-4419-480A-A66D-09819793B6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'Pivart table'!$A$4:$A$10</c:f>
              <c:strCache>
                <c:ptCount val="6"/>
                <c:pt idx="0">
                  <c:v>Electronics</c:v>
                </c:pt>
                <c:pt idx="1">
                  <c:v>Fashion</c:v>
                </c:pt>
                <c:pt idx="2">
                  <c:v>Furniture</c:v>
                </c:pt>
                <c:pt idx="3">
                  <c:v>Home &amp; Kitchen</c:v>
                </c:pt>
                <c:pt idx="4">
                  <c:v>Stationery</c:v>
                </c:pt>
                <c:pt idx="5">
                  <c:v>(blank)</c:v>
                </c:pt>
              </c:strCache>
            </c:strRef>
          </c:cat>
          <c:val>
            <c:numRef>
              <c:f>'Pivart table'!$G$4:$G$10</c:f>
              <c:numCache>
                <c:formatCode>General</c:formatCode>
                <c:ptCount val="6"/>
                <c:pt idx="0">
                  <c:v>54</c:v>
                </c:pt>
                <c:pt idx="1">
                  <c:v>41</c:v>
                </c:pt>
                <c:pt idx="2">
                  <c:v>32</c:v>
                </c:pt>
                <c:pt idx="3">
                  <c:v>34</c:v>
                </c:pt>
                <c:pt idx="4">
                  <c:v>36</c:v>
                </c:pt>
              </c:numCache>
            </c:numRef>
          </c:val>
          <c:extLst>
            <c:ext xmlns:c16="http://schemas.microsoft.com/office/drawing/2014/chart" uri="{C3380CC4-5D6E-409C-BE32-E72D297353CC}">
              <c16:uniqueId val="{00000061-7BF1-4E72-A09F-D7B37BF5669D}"/>
            </c:ext>
          </c:extLst>
        </c:ser>
        <c:ser>
          <c:idx val="6"/>
          <c:order val="6"/>
          <c:tx>
            <c:strRef>
              <c:f>'Pivart table'!$H$2:$H$3</c:f>
              <c:strCache>
                <c:ptCount val="1"/>
                <c:pt idx="0">
                  <c:v>UPI </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9-4419-480A-A66D-09819793B64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B-4419-480A-A66D-09819793B64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D-4419-480A-A66D-09819793B64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F-4419-480A-A66D-09819793B64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1-4419-480A-A66D-09819793B64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3-4419-480A-A66D-09819793B6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'Pivart table'!$A$4:$A$10</c:f>
              <c:strCache>
                <c:ptCount val="6"/>
                <c:pt idx="0">
                  <c:v>Electronics</c:v>
                </c:pt>
                <c:pt idx="1">
                  <c:v>Fashion</c:v>
                </c:pt>
                <c:pt idx="2">
                  <c:v>Furniture</c:v>
                </c:pt>
                <c:pt idx="3">
                  <c:v>Home &amp; Kitchen</c:v>
                </c:pt>
                <c:pt idx="4">
                  <c:v>Stationery</c:v>
                </c:pt>
                <c:pt idx="5">
                  <c:v>(blank)</c:v>
                </c:pt>
              </c:strCache>
            </c:strRef>
          </c:cat>
          <c:val>
            <c:numRef>
              <c:f>'Pivart table'!$H$4:$H$10</c:f>
              <c:numCache>
                <c:formatCode>General</c:formatCode>
                <c:ptCount val="6"/>
                <c:pt idx="1">
                  <c:v>1</c:v>
                </c:pt>
              </c:numCache>
            </c:numRef>
          </c:val>
          <c:extLst>
            <c:ext xmlns:c16="http://schemas.microsoft.com/office/drawing/2014/chart" uri="{C3380CC4-5D6E-409C-BE32-E72D297353CC}">
              <c16:uniqueId val="{00000062-7BF1-4E72-A09F-D7B37BF5669D}"/>
            </c:ext>
          </c:extLst>
        </c:ser>
        <c:ser>
          <c:idx val="7"/>
          <c:order val="7"/>
          <c:tx>
            <c:strRef>
              <c:f>'Pivart table'!$I$2:$I$3</c:f>
              <c:strCache>
                <c:ptCount val="1"/>
                <c:pt idx="0">
                  <c:v>(blank)</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5-4419-480A-A66D-09819793B64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7-4419-480A-A66D-09819793B64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9-4419-480A-A66D-09819793B64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B-4419-480A-A66D-09819793B64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D-4419-480A-A66D-09819793B64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F-4419-480A-A66D-09819793B6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'Pivart table'!$A$4:$A$10</c:f>
              <c:strCache>
                <c:ptCount val="6"/>
                <c:pt idx="0">
                  <c:v>Electronics</c:v>
                </c:pt>
                <c:pt idx="1">
                  <c:v>Fashion</c:v>
                </c:pt>
                <c:pt idx="2">
                  <c:v>Furniture</c:v>
                </c:pt>
                <c:pt idx="3">
                  <c:v>Home &amp; Kitchen</c:v>
                </c:pt>
                <c:pt idx="4">
                  <c:v>Stationery</c:v>
                </c:pt>
                <c:pt idx="5">
                  <c:v>(blank)</c:v>
                </c:pt>
              </c:strCache>
            </c:strRef>
          </c:cat>
          <c:val>
            <c:numRef>
              <c:f>'Pivart table'!$I$4:$I$10</c:f>
              <c:numCache>
                <c:formatCode>General</c:formatCode>
                <c:ptCount val="6"/>
              </c:numCache>
            </c:numRef>
          </c:val>
          <c:extLst>
            <c:ext xmlns:c16="http://schemas.microsoft.com/office/drawing/2014/chart" uri="{C3380CC4-5D6E-409C-BE32-E72D297353CC}">
              <c16:uniqueId val="{00000063-7BF1-4E72-A09F-D7B37BF5669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[E-Commerce.xlsx]Pivart table!PivotTable5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2"/>
                </a:solidFill>
              </a:rPr>
              <a:t>Gender</a:t>
            </a:r>
            <a:r>
              <a:rPr lang="en-IN" baseline="0">
                <a:solidFill>
                  <a:schemeClr val="tx2"/>
                </a:solidFill>
              </a:rPr>
              <a:t> Wise Orders</a:t>
            </a:r>
            <a:endParaRPr lang="en-IN">
              <a:solidFill>
                <a:schemeClr val="tx2"/>
              </a:solidFill>
            </a:endParaRPr>
          </a:p>
        </c:rich>
      </c:tx>
      <c:layout>
        <c:manualLayout>
          <c:xMode val="edge"/>
          <c:yMode val="edge"/>
          <c:x val="8.1026947603089233E-2"/>
          <c:y val="0.110082327712489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5386697742424"/>
          <c:y val="0.27520581928122306"/>
          <c:w val="0.63941400001447624"/>
          <c:h val="0.48196210047482757"/>
        </c:manualLayout>
      </c:layout>
      <c:barChart>
        <c:barDir val="col"/>
        <c:grouping val="clustered"/>
        <c:varyColors val="0"/>
        <c:ser>
          <c:idx val="0"/>
          <c:order val="0"/>
          <c:tx>
            <c:strRef>
              <c:f>'Pivart table'!$B$30:$B$31</c:f>
              <c:strCache>
                <c:ptCount val="1"/>
                <c:pt idx="0">
                  <c:v>Cancelled</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'Pivart table'!$A$32:$A$34</c:f>
              <c:strCache>
                <c:ptCount val="2"/>
                <c:pt idx="0">
                  <c:v>Female</c:v>
                </c:pt>
                <c:pt idx="1">
                  <c:v>Male</c:v>
                </c:pt>
              </c:strCache>
            </c:strRef>
          </c:cat>
          <c:val>
            <c:numRef>
              <c:f>'Pivart table'!$B$32:$B$34</c:f>
              <c:numCache>
                <c:formatCode>General</c:formatCode>
                <c:ptCount val="2"/>
                <c:pt idx="0">
                  <c:v>8</c:v>
                </c:pt>
                <c:pt idx="1">
                  <c:v>9</c:v>
                </c:pt>
              </c:numCache>
            </c:numRef>
          </c:val>
          <c:extLst>
            <c:ext xmlns:c16="http://schemas.microsoft.com/office/drawing/2014/chart" uri="{C3380CC4-5D6E-409C-BE32-E72D297353CC}">
              <c16:uniqueId val="{00000000-4F20-4417-91EC-023C45F6B2AC}"/>
            </c:ext>
          </c:extLst>
        </c:ser>
        <c:ser>
          <c:idx val="1"/>
          <c:order val="1"/>
          <c:tx>
            <c:strRef>
              <c:f>'Pivart table'!$C$30:$C$31</c:f>
              <c:strCache>
                <c:ptCount val="1"/>
                <c:pt idx="0">
                  <c:v>Delivered</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'Pivart table'!$A$32:$A$34</c:f>
              <c:strCache>
                <c:ptCount val="2"/>
                <c:pt idx="0">
                  <c:v>Female</c:v>
                </c:pt>
                <c:pt idx="1">
                  <c:v>Male</c:v>
                </c:pt>
              </c:strCache>
            </c:strRef>
          </c:cat>
          <c:val>
            <c:numRef>
              <c:f>'Pivart table'!$C$32:$C$34</c:f>
              <c:numCache>
                <c:formatCode>General</c:formatCode>
                <c:ptCount val="2"/>
                <c:pt idx="0">
                  <c:v>22</c:v>
                </c:pt>
                <c:pt idx="1">
                  <c:v>26</c:v>
                </c:pt>
              </c:numCache>
            </c:numRef>
          </c:val>
          <c:extLst>
            <c:ext xmlns:c16="http://schemas.microsoft.com/office/drawing/2014/chart" uri="{C3380CC4-5D6E-409C-BE32-E72D297353CC}">
              <c16:uniqueId val="{00000009-B964-4DF1-8E3F-61C27DF4F8C8}"/>
            </c:ext>
          </c:extLst>
        </c:ser>
        <c:ser>
          <c:idx val="2"/>
          <c:order val="2"/>
          <c:tx>
            <c:strRef>
              <c:f>'Pivart table'!$D$30:$D$31</c:f>
              <c:strCache>
                <c:ptCount val="1"/>
                <c:pt idx="0">
                  <c:v>Returned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'Pivart table'!$A$32:$A$34</c:f>
              <c:strCache>
                <c:ptCount val="2"/>
                <c:pt idx="0">
                  <c:v>Female</c:v>
                </c:pt>
                <c:pt idx="1">
                  <c:v>Male</c:v>
                </c:pt>
              </c:strCache>
            </c:strRef>
          </c:cat>
          <c:val>
            <c:numRef>
              <c:f>'Pivart table'!$D$32:$D$34</c:f>
              <c:numCache>
                <c:formatCode>General</c:formatCode>
                <c:ptCount val="2"/>
                <c:pt idx="0">
                  <c:v>6</c:v>
                </c:pt>
                <c:pt idx="1">
                  <c:v>7</c:v>
                </c:pt>
              </c:numCache>
            </c:numRef>
          </c:val>
          <c:extLst>
            <c:ext xmlns:c16="http://schemas.microsoft.com/office/drawing/2014/chart" uri="{C3380CC4-5D6E-409C-BE32-E72D297353CC}">
              <c16:uniqueId val="{0000000A-B964-4DF1-8E3F-61C27DF4F8C8}"/>
            </c:ext>
          </c:extLst>
        </c:ser>
        <c:ser>
          <c:idx val="3"/>
          <c:order val="3"/>
          <c:tx>
            <c:strRef>
              <c:f>'Pivart table'!$E$30:$E$31</c:f>
              <c:strCache>
                <c:ptCount val="1"/>
                <c:pt idx="0">
                  <c:v>Shipped</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'Pivart table'!$A$32:$A$34</c:f>
              <c:strCache>
                <c:ptCount val="2"/>
                <c:pt idx="0">
                  <c:v>Female</c:v>
                </c:pt>
                <c:pt idx="1">
                  <c:v>Male</c:v>
                </c:pt>
              </c:strCache>
            </c:strRef>
          </c:cat>
          <c:val>
            <c:numRef>
              <c:f>'Pivart table'!$E$32:$E$34</c:f>
              <c:numCache>
                <c:formatCode>General</c:formatCode>
                <c:ptCount val="2"/>
                <c:pt idx="0">
                  <c:v>4</c:v>
                </c:pt>
                <c:pt idx="1">
                  <c:v>4</c:v>
                </c:pt>
              </c:numCache>
            </c:numRef>
          </c:val>
          <c:extLst>
            <c:ext xmlns:c16="http://schemas.microsoft.com/office/drawing/2014/chart" uri="{C3380CC4-5D6E-409C-BE32-E72D297353CC}">
              <c16:uniqueId val="{00000001-45BF-42DD-B669-21E1C320BD88}"/>
            </c:ext>
          </c:extLst>
        </c:ser>
        <c:dLbls>
          <c:dLblPos val="outEnd"/>
          <c:showLegendKey val="0"/>
          <c:showVal val="1"/>
          <c:showCatName val="0"/>
          <c:showSerName val="0"/>
          <c:showPercent val="0"/>
          <c:showBubbleSize val="0"/>
        </c:dLbls>
        <c:gapWidth val="219"/>
        <c:overlap val="-27"/>
        <c:axId val="1859486784"/>
        <c:axId val="1859152976"/>
      </c:barChart>
      <c:catAx>
        <c:axId val="185948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52976"/>
        <c:crosses val="autoZero"/>
        <c:auto val="1"/>
        <c:lblAlgn val="ctr"/>
        <c:lblOffset val="100"/>
        <c:noMultiLvlLbl val="0"/>
      </c:catAx>
      <c:valAx>
        <c:axId val="185915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8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2.png"/><Relationship Id="rId18" Type="http://schemas.openxmlformats.org/officeDocument/2006/relationships/image" Target="../media/image17.svg"/><Relationship Id="rId26" Type="http://schemas.openxmlformats.org/officeDocument/2006/relationships/chart" Target="../charts/chart2.xml"/><Relationship Id="rId3" Type="http://schemas.openxmlformats.org/officeDocument/2006/relationships/image" Target="../media/image2.png"/><Relationship Id="rId21" Type="http://schemas.openxmlformats.org/officeDocument/2006/relationships/image" Target="../media/image20.png"/><Relationship Id="rId34" Type="http://schemas.openxmlformats.org/officeDocument/2006/relationships/image" Target="../media/image29.svg"/><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image" Target="../media/image16.png"/><Relationship Id="rId25" Type="http://schemas.openxmlformats.org/officeDocument/2006/relationships/chart" Target="../charts/chart1.xml"/><Relationship Id="rId33" Type="http://schemas.openxmlformats.org/officeDocument/2006/relationships/image" Target="../media/image28.png"/><Relationship Id="rId2" Type="http://schemas.openxmlformats.org/officeDocument/2006/relationships/hyperlink" Target="https://shopping.blogsailing.com/9452" TargetMode="External"/><Relationship Id="rId16" Type="http://schemas.openxmlformats.org/officeDocument/2006/relationships/image" Target="../media/image15.svg"/><Relationship Id="rId20" Type="http://schemas.openxmlformats.org/officeDocument/2006/relationships/image" Target="../media/image19.svg"/><Relationship Id="rId29" Type="http://schemas.openxmlformats.org/officeDocument/2006/relationships/image" Target="../media/image24.png"/><Relationship Id="rId1" Type="http://schemas.openxmlformats.org/officeDocument/2006/relationships/image" Target="../media/image1.jpeg"/><Relationship Id="rId6" Type="http://schemas.openxmlformats.org/officeDocument/2006/relationships/image" Target="../media/image5.svg"/><Relationship Id="rId11" Type="http://schemas.openxmlformats.org/officeDocument/2006/relationships/image" Target="../media/image10.png"/><Relationship Id="rId24" Type="http://schemas.openxmlformats.org/officeDocument/2006/relationships/image" Target="../media/image23.svg"/><Relationship Id="rId32" Type="http://schemas.openxmlformats.org/officeDocument/2006/relationships/image" Target="../media/image27.svg"/><Relationship Id="rId5" Type="http://schemas.openxmlformats.org/officeDocument/2006/relationships/image" Target="../media/image4.png"/><Relationship Id="rId15" Type="http://schemas.openxmlformats.org/officeDocument/2006/relationships/image" Target="../media/image14.png"/><Relationship Id="rId23" Type="http://schemas.openxmlformats.org/officeDocument/2006/relationships/image" Target="../media/image22.png"/><Relationship Id="rId28" Type="http://schemas.openxmlformats.org/officeDocument/2006/relationships/chart" Target="../charts/chart4.xml"/><Relationship Id="rId10" Type="http://schemas.openxmlformats.org/officeDocument/2006/relationships/image" Target="../media/image9.svg"/><Relationship Id="rId19" Type="http://schemas.openxmlformats.org/officeDocument/2006/relationships/image" Target="../media/image18.png"/><Relationship Id="rId31" Type="http://schemas.openxmlformats.org/officeDocument/2006/relationships/image" Target="../media/image26.pn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image" Target="../media/image13.svg"/><Relationship Id="rId22" Type="http://schemas.openxmlformats.org/officeDocument/2006/relationships/image" Target="../media/image21.svg"/><Relationship Id="rId27" Type="http://schemas.openxmlformats.org/officeDocument/2006/relationships/chart" Target="../charts/chart3.xml"/><Relationship Id="rId30" Type="http://schemas.openxmlformats.org/officeDocument/2006/relationships/image" Target="../media/image25.svg"/><Relationship Id="rId8" Type="http://schemas.openxmlformats.org/officeDocument/2006/relationships/image" Target="../media/image7.svg"/></Relationships>
</file>

<file path=xl/drawings/_rels/drawing2.xml.rels><?xml version="1.0" encoding="UTF-8" standalone="yes"?>
<Relationships xmlns="http://schemas.openxmlformats.org/package/2006/relationships"><Relationship Id="rId2" Type="http://schemas.openxmlformats.org/officeDocument/2006/relationships/image" Target="../media/image25.svg"/><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7122</xdr:rowOff>
    </xdr:from>
    <xdr:to>
      <xdr:col>22</xdr:col>
      <xdr:colOff>484261</xdr:colOff>
      <xdr:row>38</xdr:row>
      <xdr:rowOff>0</xdr:rowOff>
    </xdr:to>
    <xdr:sp macro="" textlink="">
      <xdr:nvSpPr>
        <xdr:cNvPr id="2" name="Rectangle 1">
          <a:extLst>
            <a:ext uri="{FF2B5EF4-FFF2-40B4-BE49-F238E27FC236}">
              <a16:creationId xmlns:a16="http://schemas.microsoft.com/office/drawing/2014/main" id="{EE495EC5-9C96-FAF5-FFAA-8EF997D283AE}"/>
            </a:ext>
          </a:extLst>
        </xdr:cNvPr>
        <xdr:cNvSpPr/>
      </xdr:nvSpPr>
      <xdr:spPr>
        <a:xfrm>
          <a:off x="0" y="7122"/>
          <a:ext cx="13951009" cy="7028915"/>
        </a:xfrm>
        <a:prstGeom prst="rect">
          <a:avLst/>
        </a:prstGeom>
        <a:solidFill>
          <a:schemeClr val="bg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r"/>
          <a:r>
            <a:rPr lang="en-IN" sz="1100" u="sng">
              <a:effectLst>
                <a:glow rad="127000">
                  <a:schemeClr val="tx1"/>
                </a:glow>
              </a:effectLst>
            </a:rPr>
            <a:t>                                                                                                         </a:t>
          </a:r>
        </a:p>
      </xdr:txBody>
    </xdr:sp>
    <xdr:clientData/>
  </xdr:twoCellAnchor>
  <xdr:twoCellAnchor>
    <xdr:from>
      <xdr:col>0</xdr:col>
      <xdr:colOff>99060</xdr:colOff>
      <xdr:row>0</xdr:row>
      <xdr:rowOff>76201</xdr:rowOff>
    </xdr:from>
    <xdr:to>
      <xdr:col>3</xdr:col>
      <xdr:colOff>160020</xdr:colOff>
      <xdr:row>37</xdr:row>
      <xdr:rowOff>149552</xdr:rowOff>
    </xdr:to>
    <xdr:sp macro="" textlink="">
      <xdr:nvSpPr>
        <xdr:cNvPr id="3" name="TextBox 2">
          <a:extLst>
            <a:ext uri="{FF2B5EF4-FFF2-40B4-BE49-F238E27FC236}">
              <a16:creationId xmlns:a16="http://schemas.microsoft.com/office/drawing/2014/main" id="{F624C3C2-8E42-F3EE-A09C-3A0AE73E67E0}"/>
            </a:ext>
          </a:extLst>
        </xdr:cNvPr>
        <xdr:cNvSpPr txBox="1"/>
      </xdr:nvSpPr>
      <xdr:spPr>
        <a:xfrm>
          <a:off x="99060" y="76201"/>
          <a:ext cx="1891184" cy="692423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p>
        <a:p>
          <a:endParaRPr lang="en-IN" sz="1600" b="1"/>
        </a:p>
        <a:p>
          <a:r>
            <a:rPr lang="en-IN" sz="1600" b="1"/>
            <a:t>                   </a:t>
          </a:r>
        </a:p>
        <a:p>
          <a:r>
            <a:rPr lang="en-IN" sz="1600" b="1" baseline="0"/>
            <a:t>       </a:t>
          </a:r>
          <a:r>
            <a:rPr lang="en-IN" sz="1600" b="1">
              <a:solidFill>
                <a:schemeClr val="bg2"/>
              </a:solidFill>
            </a:rPr>
            <a:t>E-COMMERCE</a:t>
          </a:r>
        </a:p>
        <a:p>
          <a:pPr lvl="0"/>
          <a:r>
            <a:rPr lang="en-IN" sz="1600" b="1">
              <a:solidFill>
                <a:schemeClr val="tx2"/>
              </a:solidFill>
            </a:rPr>
            <a:t>                 </a:t>
          </a:r>
          <a:r>
            <a:rPr lang="en-IN" sz="1600" b="1">
              <a:solidFill>
                <a:schemeClr val="accent4"/>
              </a:solidFill>
            </a:rPr>
            <a:t>SMART</a:t>
          </a:r>
        </a:p>
        <a:p>
          <a:pPr lvl="0"/>
          <a:r>
            <a:rPr lang="en-IN" sz="1600" b="1"/>
            <a:t>        </a:t>
          </a:r>
          <a:r>
            <a:rPr lang="en-IN" sz="1600" b="1" u="none">
              <a:solidFill>
                <a:schemeClr val="bg1"/>
              </a:solidFill>
            </a:rPr>
            <a:t>DASHBOARD</a:t>
          </a:r>
        </a:p>
        <a:p>
          <a:pPr lvl="0"/>
          <a:r>
            <a:rPr lang="en-IN" sz="1800" b="1" baseline="0">
              <a:solidFill>
                <a:schemeClr val="bg2">
                  <a:lumMod val="75000"/>
                </a:schemeClr>
              </a:solidFill>
            </a:rPr>
            <a:t>   _________________</a:t>
          </a:r>
        </a:p>
        <a:p>
          <a:pPr lvl="0"/>
          <a:endParaRPr lang="en-IN" sz="1200" b="1" baseline="0">
            <a:solidFill>
              <a:schemeClr val="bg1"/>
            </a:solidFill>
          </a:endParaRPr>
        </a:p>
        <a:p>
          <a:pPr lvl="0"/>
          <a:r>
            <a:rPr lang="en-IN" sz="1200" b="1" baseline="0">
              <a:solidFill>
                <a:schemeClr val="bg1"/>
              </a:solidFill>
            </a:rPr>
            <a:t>         Dashboard Overview</a:t>
          </a:r>
        </a:p>
        <a:p>
          <a:pPr lvl="0"/>
          <a:endParaRPr lang="en-IN" sz="1200" b="1" baseline="0">
            <a:solidFill>
              <a:schemeClr val="bg1"/>
            </a:solidFill>
          </a:endParaRPr>
        </a:p>
        <a:p>
          <a:pPr lvl="0"/>
          <a:r>
            <a:rPr lang="en-IN" sz="1200" b="1" baseline="0">
              <a:solidFill>
                <a:schemeClr val="bg1"/>
              </a:solidFill>
            </a:rPr>
            <a:t>         product &amp; orders</a:t>
          </a:r>
        </a:p>
        <a:p>
          <a:pPr lvl="0"/>
          <a:endParaRPr lang="en-IN" sz="1200" b="1" baseline="0">
            <a:solidFill>
              <a:schemeClr val="bg1"/>
            </a:solidFill>
          </a:endParaRPr>
        </a:p>
        <a:p>
          <a:pPr lvl="0"/>
          <a:r>
            <a:rPr lang="en-IN" sz="1200" b="1" baseline="0">
              <a:solidFill>
                <a:schemeClr val="bg1"/>
              </a:solidFill>
            </a:rPr>
            <a:t>          Payments</a:t>
          </a:r>
        </a:p>
        <a:p>
          <a:pPr lvl="0"/>
          <a:endParaRPr lang="en-IN" sz="1200" b="1" baseline="0">
            <a:solidFill>
              <a:schemeClr val="bg1"/>
            </a:solidFill>
          </a:endParaRPr>
        </a:p>
        <a:p>
          <a:pPr lvl="0"/>
          <a:r>
            <a:rPr lang="en-IN" sz="1200" b="1" baseline="0">
              <a:solidFill>
                <a:schemeClr val="bg1"/>
              </a:solidFill>
            </a:rPr>
            <a:t>          Cusromers</a:t>
          </a:r>
        </a:p>
        <a:p>
          <a:pPr lvl="0"/>
          <a:endParaRPr lang="en-IN" sz="1200" b="1" baseline="0">
            <a:solidFill>
              <a:schemeClr val="bg1"/>
            </a:solidFill>
          </a:endParaRPr>
        </a:p>
        <a:p>
          <a:pPr lvl="0"/>
          <a:r>
            <a:rPr lang="en-IN" sz="1200" b="1" baseline="0">
              <a:solidFill>
                <a:schemeClr val="bg1"/>
              </a:solidFill>
            </a:rPr>
            <a:t>          Geograpy</a:t>
          </a:r>
        </a:p>
        <a:p>
          <a:pPr lvl="0"/>
          <a:endParaRPr lang="en-IN" sz="1200" b="1" baseline="0">
            <a:solidFill>
              <a:schemeClr val="bg1"/>
            </a:solidFill>
          </a:endParaRPr>
        </a:p>
        <a:p>
          <a:pPr lvl="0"/>
          <a:r>
            <a:rPr lang="en-IN" sz="1200" b="1" baseline="0">
              <a:solidFill>
                <a:schemeClr val="bg1"/>
              </a:solidFill>
            </a:rPr>
            <a:t>          Insights</a:t>
          </a:r>
          <a:endParaRPr lang="en-IN" sz="1200" b="1">
            <a:solidFill>
              <a:schemeClr val="bg1"/>
            </a:solidFill>
          </a:endParaRPr>
        </a:p>
      </xdr:txBody>
    </xdr:sp>
    <xdr:clientData/>
  </xdr:twoCellAnchor>
  <xdr:twoCellAnchor editAs="oneCell">
    <xdr:from>
      <xdr:col>1</xdr:col>
      <xdr:colOff>250170</xdr:colOff>
      <xdr:row>2</xdr:row>
      <xdr:rowOff>76200</xdr:rowOff>
    </xdr:from>
    <xdr:to>
      <xdr:col>2</xdr:col>
      <xdr:colOff>121920</xdr:colOff>
      <xdr:row>5</xdr:row>
      <xdr:rowOff>73350</xdr:rowOff>
    </xdr:to>
    <xdr:pic>
      <xdr:nvPicPr>
        <xdr:cNvPr id="5" name="Graphic 4">
          <a:extLst>
            <a:ext uri="{FF2B5EF4-FFF2-40B4-BE49-F238E27FC236}">
              <a16:creationId xmlns:a16="http://schemas.microsoft.com/office/drawing/2014/main" id="{00B64E53-2505-BD45-9CA1-FADFD5529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xdr:blipFill>
      <xdr:spPr>
        <a:xfrm>
          <a:off x="859770" y="441960"/>
          <a:ext cx="481350" cy="545790"/>
        </a:xfrm>
        <a:prstGeom prst="rect">
          <a:avLst/>
        </a:prstGeom>
        <a:ln>
          <a:noFill/>
        </a:ln>
        <a:effectLst>
          <a:softEdge rad="112500"/>
        </a:effectLst>
      </xdr:spPr>
    </xdr:pic>
    <xdr:clientData/>
  </xdr:twoCellAnchor>
  <xdr:twoCellAnchor editAs="oneCell">
    <xdr:from>
      <xdr:col>0</xdr:col>
      <xdr:colOff>137160</xdr:colOff>
      <xdr:row>10</xdr:row>
      <xdr:rowOff>167640</xdr:rowOff>
    </xdr:from>
    <xdr:to>
      <xdr:col>0</xdr:col>
      <xdr:colOff>411480</xdr:colOff>
      <xdr:row>12</xdr:row>
      <xdr:rowOff>76200</xdr:rowOff>
    </xdr:to>
    <xdr:pic>
      <xdr:nvPicPr>
        <xdr:cNvPr id="8" name="Graphic 7" descr="Work from home Wi-Fi with solid fill">
          <a:extLst>
            <a:ext uri="{FF2B5EF4-FFF2-40B4-BE49-F238E27FC236}">
              <a16:creationId xmlns:a16="http://schemas.microsoft.com/office/drawing/2014/main" id="{ACEE6E8B-7E12-E01F-D797-E3DD17B9D8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137160" y="1996440"/>
          <a:ext cx="274320" cy="274320"/>
        </a:xfrm>
        <a:prstGeom prst="rect">
          <a:avLst/>
        </a:prstGeom>
      </xdr:spPr>
    </xdr:pic>
    <xdr:clientData/>
  </xdr:twoCellAnchor>
  <xdr:twoCellAnchor editAs="oneCell">
    <xdr:from>
      <xdr:col>0</xdr:col>
      <xdr:colOff>121920</xdr:colOff>
      <xdr:row>13</xdr:row>
      <xdr:rowOff>68580</xdr:rowOff>
    </xdr:from>
    <xdr:to>
      <xdr:col>0</xdr:col>
      <xdr:colOff>381000</xdr:colOff>
      <xdr:row>14</xdr:row>
      <xdr:rowOff>129540</xdr:rowOff>
    </xdr:to>
    <xdr:pic>
      <xdr:nvPicPr>
        <xdr:cNvPr id="10" name="Graphic 9" descr="Cube with solid fill">
          <a:extLst>
            <a:ext uri="{FF2B5EF4-FFF2-40B4-BE49-F238E27FC236}">
              <a16:creationId xmlns:a16="http://schemas.microsoft.com/office/drawing/2014/main" id="{78BD161E-5598-F520-55AA-A190394B3DA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1920" y="2446020"/>
          <a:ext cx="259080" cy="243840"/>
        </a:xfrm>
        <a:prstGeom prst="rect">
          <a:avLst/>
        </a:prstGeom>
      </xdr:spPr>
    </xdr:pic>
    <xdr:clientData/>
  </xdr:twoCellAnchor>
  <xdr:twoCellAnchor editAs="oneCell">
    <xdr:from>
      <xdr:col>0</xdr:col>
      <xdr:colOff>137160</xdr:colOff>
      <xdr:row>15</xdr:row>
      <xdr:rowOff>60960</xdr:rowOff>
    </xdr:from>
    <xdr:to>
      <xdr:col>0</xdr:col>
      <xdr:colOff>358140</xdr:colOff>
      <xdr:row>16</xdr:row>
      <xdr:rowOff>99060</xdr:rowOff>
    </xdr:to>
    <xdr:pic>
      <xdr:nvPicPr>
        <xdr:cNvPr id="12" name="Graphic 11" descr="Transfer1 with solid fill">
          <a:extLst>
            <a:ext uri="{FF2B5EF4-FFF2-40B4-BE49-F238E27FC236}">
              <a16:creationId xmlns:a16="http://schemas.microsoft.com/office/drawing/2014/main" id="{2C96DC6C-E711-C0FD-2056-33BA60262A8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37160" y="2804160"/>
          <a:ext cx="220980" cy="220980"/>
        </a:xfrm>
        <a:prstGeom prst="rect">
          <a:avLst/>
        </a:prstGeom>
      </xdr:spPr>
    </xdr:pic>
    <xdr:clientData/>
  </xdr:twoCellAnchor>
  <xdr:twoCellAnchor editAs="oneCell">
    <xdr:from>
      <xdr:col>0</xdr:col>
      <xdr:colOff>99060</xdr:colOff>
      <xdr:row>19</xdr:row>
      <xdr:rowOff>22860</xdr:rowOff>
    </xdr:from>
    <xdr:to>
      <xdr:col>0</xdr:col>
      <xdr:colOff>396240</xdr:colOff>
      <xdr:row>20</xdr:row>
      <xdr:rowOff>137160</xdr:rowOff>
    </xdr:to>
    <xdr:pic>
      <xdr:nvPicPr>
        <xdr:cNvPr id="14" name="Graphic 13" descr="Marker with solid fill">
          <a:extLst>
            <a:ext uri="{FF2B5EF4-FFF2-40B4-BE49-F238E27FC236}">
              <a16:creationId xmlns:a16="http://schemas.microsoft.com/office/drawing/2014/main" id="{568DCCA2-D1D0-564D-15FC-BE58ED761FB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99060" y="3497580"/>
          <a:ext cx="297180" cy="297180"/>
        </a:xfrm>
        <a:prstGeom prst="rect">
          <a:avLst/>
        </a:prstGeom>
      </xdr:spPr>
    </xdr:pic>
    <xdr:clientData/>
  </xdr:twoCellAnchor>
  <xdr:twoCellAnchor editAs="oneCell">
    <xdr:from>
      <xdr:col>0</xdr:col>
      <xdr:colOff>137160</xdr:colOff>
      <xdr:row>21</xdr:row>
      <xdr:rowOff>53340</xdr:rowOff>
    </xdr:from>
    <xdr:to>
      <xdr:col>0</xdr:col>
      <xdr:colOff>403860</xdr:colOff>
      <xdr:row>22</xdr:row>
      <xdr:rowOff>137160</xdr:rowOff>
    </xdr:to>
    <xdr:pic>
      <xdr:nvPicPr>
        <xdr:cNvPr id="16" name="Graphic 15" descr="Lightbulb with solid fill">
          <a:extLst>
            <a:ext uri="{FF2B5EF4-FFF2-40B4-BE49-F238E27FC236}">
              <a16:creationId xmlns:a16="http://schemas.microsoft.com/office/drawing/2014/main" id="{E3ED439B-84CE-3AFC-4BA8-819CAB72336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137160" y="3893820"/>
          <a:ext cx="266700" cy="266700"/>
        </a:xfrm>
        <a:prstGeom prst="rect">
          <a:avLst/>
        </a:prstGeom>
      </xdr:spPr>
    </xdr:pic>
    <xdr:clientData/>
  </xdr:twoCellAnchor>
  <xdr:twoCellAnchor editAs="oneCell">
    <xdr:from>
      <xdr:col>0</xdr:col>
      <xdr:colOff>129540</xdr:colOff>
      <xdr:row>17</xdr:row>
      <xdr:rowOff>22860</xdr:rowOff>
    </xdr:from>
    <xdr:to>
      <xdr:col>0</xdr:col>
      <xdr:colOff>403860</xdr:colOff>
      <xdr:row>18</xdr:row>
      <xdr:rowOff>114300</xdr:rowOff>
    </xdr:to>
    <xdr:pic>
      <xdr:nvPicPr>
        <xdr:cNvPr id="18" name="Graphic 17" descr="User with solid fill">
          <a:extLst>
            <a:ext uri="{FF2B5EF4-FFF2-40B4-BE49-F238E27FC236}">
              <a16:creationId xmlns:a16="http://schemas.microsoft.com/office/drawing/2014/main" id="{D7D3B7AA-4819-0787-E56D-656A2F07FAA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9540" y="3131820"/>
          <a:ext cx="274320" cy="274320"/>
        </a:xfrm>
        <a:prstGeom prst="rect">
          <a:avLst/>
        </a:prstGeom>
      </xdr:spPr>
    </xdr:pic>
    <xdr:clientData/>
  </xdr:twoCellAnchor>
  <xdr:twoCellAnchor>
    <xdr:from>
      <xdr:col>3</xdr:col>
      <xdr:colOff>381000</xdr:colOff>
      <xdr:row>6</xdr:row>
      <xdr:rowOff>91440</xdr:rowOff>
    </xdr:from>
    <xdr:to>
      <xdr:col>6</xdr:col>
      <xdr:colOff>213360</xdr:colOff>
      <xdr:row>11</xdr:row>
      <xdr:rowOff>121920</xdr:rowOff>
    </xdr:to>
    <xdr:sp macro="" textlink="">
      <xdr:nvSpPr>
        <xdr:cNvPr id="19" name="TextBox 18">
          <a:extLst>
            <a:ext uri="{FF2B5EF4-FFF2-40B4-BE49-F238E27FC236}">
              <a16:creationId xmlns:a16="http://schemas.microsoft.com/office/drawing/2014/main" id="{0ECA6699-8F1A-D3FC-4809-0AB3178CE8B6}"/>
            </a:ext>
          </a:extLst>
        </xdr:cNvPr>
        <xdr:cNvSpPr txBox="1"/>
      </xdr:nvSpPr>
      <xdr:spPr>
        <a:xfrm>
          <a:off x="2202180" y="1188720"/>
          <a:ext cx="166116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             </a:t>
          </a:r>
          <a:r>
            <a:rPr lang="en-IN" sz="1200" b="1">
              <a:solidFill>
                <a:schemeClr val="tx2"/>
              </a:solidFill>
            </a:rPr>
            <a:t>TOTAL</a:t>
          </a:r>
          <a:r>
            <a:rPr lang="en-IN" sz="1200" b="1" baseline="0">
              <a:solidFill>
                <a:schemeClr val="tx2"/>
              </a:solidFill>
            </a:rPr>
            <a:t> ORDERS</a:t>
          </a:r>
          <a:r>
            <a:rPr lang="en-IN" sz="1600" b="0" baseline="0">
              <a:solidFill>
                <a:schemeClr val="tx2"/>
              </a:solidFill>
            </a:rPr>
            <a:t>                            </a:t>
          </a:r>
        </a:p>
        <a:p>
          <a:r>
            <a:rPr lang="en-IN" sz="1600" b="0" i="0" u="none" strike="noStrike" baseline="0">
              <a:solidFill>
                <a:schemeClr val="tx1"/>
              </a:solidFill>
              <a:effectLst/>
              <a:latin typeface="+mn-lt"/>
              <a:ea typeface="+mn-ea"/>
              <a:cs typeface="+mn-cs"/>
            </a:rPr>
            <a:t>              </a:t>
          </a:r>
          <a:r>
            <a:rPr lang="en-IN" sz="1600" b="0" i="0" u="none" strike="noStrike">
              <a:solidFill>
                <a:schemeClr val="tx1"/>
              </a:solidFill>
              <a:effectLst/>
              <a:latin typeface="+mn-lt"/>
              <a:ea typeface="+mn-ea"/>
              <a:cs typeface="+mn-cs"/>
            </a:rPr>
            <a:t>995</a:t>
          </a:r>
          <a:r>
            <a:rPr lang="en-IN" sz="1600" b="0">
              <a:solidFill>
                <a:schemeClr val="tx1"/>
              </a:solidFill>
              <a:effectLst/>
            </a:rPr>
            <a:t> </a:t>
          </a:r>
        </a:p>
        <a:p>
          <a:r>
            <a:rPr lang="en-IN" sz="1100" b="0">
              <a:solidFill>
                <a:schemeClr val="tx1"/>
              </a:solidFill>
              <a:effectLst/>
            </a:rPr>
            <a:t>              100% of</a:t>
          </a:r>
          <a:r>
            <a:rPr lang="en-IN" sz="1100" b="0" baseline="0">
              <a:solidFill>
                <a:schemeClr val="tx1"/>
              </a:solidFill>
              <a:effectLst/>
            </a:rPr>
            <a:t> Total</a:t>
          </a:r>
          <a:endParaRPr lang="en-IN" sz="1100" b="0">
            <a:solidFill>
              <a:schemeClr val="tx1"/>
            </a:solidFill>
          </a:endParaRPr>
        </a:p>
      </xdr:txBody>
    </xdr:sp>
    <xdr:clientData/>
  </xdr:twoCellAnchor>
  <xdr:twoCellAnchor editAs="oneCell">
    <xdr:from>
      <xdr:col>3</xdr:col>
      <xdr:colOff>426720</xdr:colOff>
      <xdr:row>6</xdr:row>
      <xdr:rowOff>152400</xdr:rowOff>
    </xdr:from>
    <xdr:to>
      <xdr:col>4</xdr:col>
      <xdr:colOff>175260</xdr:colOff>
      <xdr:row>8</xdr:row>
      <xdr:rowOff>114300</xdr:rowOff>
    </xdr:to>
    <xdr:pic>
      <xdr:nvPicPr>
        <xdr:cNvPr id="21" name="Graphic 20" descr="Clipboard Partially Checked with solid fill">
          <a:extLst>
            <a:ext uri="{FF2B5EF4-FFF2-40B4-BE49-F238E27FC236}">
              <a16:creationId xmlns:a16="http://schemas.microsoft.com/office/drawing/2014/main" id="{A9FE302D-CBE9-A42C-1927-BD2576CEAFE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47900" y="1249680"/>
          <a:ext cx="358140" cy="327660"/>
        </a:xfrm>
        <a:prstGeom prst="rect">
          <a:avLst/>
        </a:prstGeom>
      </xdr:spPr>
    </xdr:pic>
    <xdr:clientData/>
  </xdr:twoCellAnchor>
  <xdr:twoCellAnchor>
    <xdr:from>
      <xdr:col>6</xdr:col>
      <xdr:colOff>320040</xdr:colOff>
      <xdr:row>6</xdr:row>
      <xdr:rowOff>99060</xdr:rowOff>
    </xdr:from>
    <xdr:to>
      <xdr:col>9</xdr:col>
      <xdr:colOff>205740</xdr:colOff>
      <xdr:row>11</xdr:row>
      <xdr:rowOff>106680</xdr:rowOff>
    </xdr:to>
    <xdr:sp macro="" textlink="">
      <xdr:nvSpPr>
        <xdr:cNvPr id="22" name="TextBox 21">
          <a:extLst>
            <a:ext uri="{FF2B5EF4-FFF2-40B4-BE49-F238E27FC236}">
              <a16:creationId xmlns:a16="http://schemas.microsoft.com/office/drawing/2014/main" id="{8F06ABBE-A8B9-FDB9-684E-9578348ED5FF}"/>
            </a:ext>
          </a:extLst>
        </xdr:cNvPr>
        <xdr:cNvSpPr txBox="1"/>
      </xdr:nvSpPr>
      <xdr:spPr>
        <a:xfrm>
          <a:off x="3970020" y="1196340"/>
          <a:ext cx="1714500" cy="92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     </a:t>
          </a:r>
          <a:r>
            <a:rPr lang="en-IN" sz="1200" b="1"/>
            <a:t> </a:t>
          </a:r>
          <a:r>
            <a:rPr lang="en-IN" sz="1200" b="1">
              <a:solidFill>
                <a:schemeClr val="accent6"/>
              </a:solidFill>
            </a:rPr>
            <a:t>DELIVERED ORDERS</a:t>
          </a:r>
        </a:p>
        <a:p>
          <a:r>
            <a:rPr lang="en-IN" sz="1600" b="1" i="0" u="none" strike="noStrike">
              <a:solidFill>
                <a:schemeClr val="dk1"/>
              </a:solidFill>
              <a:effectLst/>
              <a:latin typeface="+mn-lt"/>
              <a:ea typeface="+mn-ea"/>
              <a:cs typeface="+mn-cs"/>
            </a:rPr>
            <a:t>          </a:t>
          </a:r>
          <a:r>
            <a:rPr lang="en-IN" sz="1600" b="1" i="0" u="none" strike="noStrike" baseline="0">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563</a:t>
          </a:r>
          <a:r>
            <a:rPr lang="en-IN" sz="1600" b="1">
              <a:effectLst/>
            </a:rPr>
            <a:t> </a:t>
          </a:r>
        </a:p>
        <a:p>
          <a:r>
            <a:rPr lang="en-IN" sz="1100" b="0">
              <a:effectLst/>
            </a:rPr>
            <a:t>          56.6% of Total</a:t>
          </a:r>
          <a:endParaRPr lang="en-IN" sz="1100" b="0"/>
        </a:p>
      </xdr:txBody>
    </xdr:sp>
    <xdr:clientData/>
  </xdr:twoCellAnchor>
  <xdr:twoCellAnchor editAs="oneCell">
    <xdr:from>
      <xdr:col>6</xdr:col>
      <xdr:colOff>350520</xdr:colOff>
      <xdr:row>6</xdr:row>
      <xdr:rowOff>154502</xdr:rowOff>
    </xdr:from>
    <xdr:to>
      <xdr:col>6</xdr:col>
      <xdr:colOff>541020</xdr:colOff>
      <xdr:row>9</xdr:row>
      <xdr:rowOff>0</xdr:rowOff>
    </xdr:to>
    <xdr:pic>
      <xdr:nvPicPr>
        <xdr:cNvPr id="24" name="Graphic 23" descr="Checkmark with solid fill">
          <a:extLst>
            <a:ext uri="{FF2B5EF4-FFF2-40B4-BE49-F238E27FC236}">
              <a16:creationId xmlns:a16="http://schemas.microsoft.com/office/drawing/2014/main" id="{9EC29F2C-8BD9-54F9-EAD5-D0DEBAA0DFC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000500" y="1251782"/>
          <a:ext cx="190500" cy="394138"/>
        </a:xfrm>
        <a:prstGeom prst="rect">
          <a:avLst/>
        </a:prstGeom>
      </xdr:spPr>
    </xdr:pic>
    <xdr:clientData/>
  </xdr:twoCellAnchor>
  <xdr:twoCellAnchor>
    <xdr:from>
      <xdr:col>9</xdr:col>
      <xdr:colOff>358140</xdr:colOff>
      <xdr:row>6</xdr:row>
      <xdr:rowOff>106680</xdr:rowOff>
    </xdr:from>
    <xdr:to>
      <xdr:col>12</xdr:col>
      <xdr:colOff>464820</xdr:colOff>
      <xdr:row>11</xdr:row>
      <xdr:rowOff>91440</xdr:rowOff>
    </xdr:to>
    <xdr:sp macro="" textlink="">
      <xdr:nvSpPr>
        <xdr:cNvPr id="25" name="TextBox 24">
          <a:extLst>
            <a:ext uri="{FF2B5EF4-FFF2-40B4-BE49-F238E27FC236}">
              <a16:creationId xmlns:a16="http://schemas.microsoft.com/office/drawing/2014/main" id="{C84A2F9C-C49B-8CDF-51D8-FBC9EEEBC60A}"/>
            </a:ext>
          </a:extLst>
        </xdr:cNvPr>
        <xdr:cNvSpPr txBox="1"/>
      </xdr:nvSpPr>
      <xdr:spPr>
        <a:xfrm>
          <a:off x="5836920" y="1203960"/>
          <a:ext cx="1935480"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1100"/>
            <a:t>              </a:t>
          </a:r>
          <a:r>
            <a:rPr lang="en-IN" sz="1200" b="1">
              <a:solidFill>
                <a:schemeClr val="accent2"/>
              </a:solidFill>
            </a:rPr>
            <a:t>CANCELLED ORDERS</a:t>
          </a:r>
        </a:p>
        <a:p>
          <a:pPr lvl="0" algn="l"/>
          <a:r>
            <a:rPr lang="en-IN" sz="1200" b="1"/>
            <a:t>                         </a:t>
          </a:r>
          <a:r>
            <a:rPr lang="en-IN" sz="1600" b="1" i="0" u="none" strike="noStrike">
              <a:solidFill>
                <a:schemeClr val="dk1"/>
              </a:solidFill>
              <a:effectLst/>
              <a:latin typeface="+mn-lt"/>
              <a:ea typeface="+mn-ea"/>
              <a:cs typeface="+mn-cs"/>
            </a:rPr>
            <a:t>146</a:t>
          </a:r>
          <a:r>
            <a:rPr lang="en-IN" sz="1600" b="1">
              <a:effectLst/>
            </a:rPr>
            <a:t> </a:t>
          </a:r>
          <a:endParaRPr lang="en-IN" sz="1100" b="0" i="0" u="none" strike="noStrike">
            <a:solidFill>
              <a:schemeClr val="dk1"/>
            </a:solidFill>
            <a:effectLst/>
            <a:latin typeface="+mn-lt"/>
            <a:ea typeface="+mn-ea"/>
            <a:cs typeface="+mn-cs"/>
          </a:endParaRPr>
        </a:p>
        <a:p>
          <a:pPr lvl="0" algn="l"/>
          <a:r>
            <a:rPr lang="en-IN" sz="1100" b="0" i="0" u="none" strike="noStrike">
              <a:solidFill>
                <a:schemeClr val="dk1"/>
              </a:solidFill>
              <a:effectLst/>
              <a:latin typeface="+mn-lt"/>
              <a:ea typeface="+mn-ea"/>
              <a:cs typeface="+mn-cs"/>
            </a:rPr>
            <a:t>                 14.66%</a:t>
          </a:r>
          <a:r>
            <a:rPr lang="en-IN" sz="1100" b="0" i="0" u="none" strike="noStrike" baseline="0">
              <a:solidFill>
                <a:schemeClr val="dk1"/>
              </a:solidFill>
              <a:effectLst/>
              <a:latin typeface="+mn-lt"/>
              <a:ea typeface="+mn-ea"/>
              <a:cs typeface="+mn-cs"/>
            </a:rPr>
            <a:t> of Total</a:t>
          </a:r>
          <a:endParaRPr lang="en-IN" sz="1600" b="1"/>
        </a:p>
      </xdr:txBody>
    </xdr:sp>
    <xdr:clientData/>
  </xdr:twoCellAnchor>
  <xdr:twoCellAnchor>
    <xdr:from>
      <xdr:col>9</xdr:col>
      <xdr:colOff>409575</xdr:colOff>
      <xdr:row>7</xdr:row>
      <xdr:rowOff>36195</xdr:rowOff>
    </xdr:from>
    <xdr:to>
      <xdr:col>10</xdr:col>
      <xdr:colOff>45720</xdr:colOff>
      <xdr:row>8</xdr:row>
      <xdr:rowOff>144780</xdr:rowOff>
    </xdr:to>
    <xdr:sp macro="" textlink="">
      <xdr:nvSpPr>
        <xdr:cNvPr id="28" name="Graphic 26" descr="Close with solid fill">
          <a:extLst>
            <a:ext uri="{FF2B5EF4-FFF2-40B4-BE49-F238E27FC236}">
              <a16:creationId xmlns:a16="http://schemas.microsoft.com/office/drawing/2014/main" id="{5CFE71ED-DBBC-1758-BEF1-289141173E48}"/>
            </a:ext>
          </a:extLst>
        </xdr:cNvPr>
        <xdr:cNvSpPr/>
      </xdr:nvSpPr>
      <xdr:spPr>
        <a:xfrm>
          <a:off x="5888355" y="1316355"/>
          <a:ext cx="245745" cy="291465"/>
        </a:xfrm>
        <a:custGeom>
          <a:avLst/>
          <a:gdLst>
            <a:gd name="csX0" fmla="*/ 674370 w 674370"/>
            <a:gd name="csY0" fmla="*/ 80963 h 674370"/>
            <a:gd name="csX1" fmla="*/ 593408 w 674370"/>
            <a:gd name="csY1" fmla="*/ 0 h 674370"/>
            <a:gd name="csX2" fmla="*/ 337185 w 674370"/>
            <a:gd name="csY2" fmla="*/ 256223 h 674370"/>
            <a:gd name="csX3" fmla="*/ 80963 w 674370"/>
            <a:gd name="csY3" fmla="*/ 0 h 674370"/>
            <a:gd name="csX4" fmla="*/ 0 w 674370"/>
            <a:gd name="csY4" fmla="*/ 80963 h 674370"/>
            <a:gd name="csX5" fmla="*/ 256223 w 674370"/>
            <a:gd name="csY5" fmla="*/ 337185 h 674370"/>
            <a:gd name="csX6" fmla="*/ 0 w 674370"/>
            <a:gd name="csY6" fmla="*/ 593408 h 674370"/>
            <a:gd name="csX7" fmla="*/ 80963 w 674370"/>
            <a:gd name="csY7" fmla="*/ 674370 h 674370"/>
            <a:gd name="csX8" fmla="*/ 337185 w 674370"/>
            <a:gd name="csY8" fmla="*/ 418148 h 674370"/>
            <a:gd name="csX9" fmla="*/ 593408 w 674370"/>
            <a:gd name="csY9" fmla="*/ 674370 h 674370"/>
            <a:gd name="csX10" fmla="*/ 674370 w 674370"/>
            <a:gd name="csY10" fmla="*/ 593408 h 674370"/>
            <a:gd name="csX11" fmla="*/ 418148 w 674370"/>
            <a:gd name="csY11" fmla="*/ 337185 h 67437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674370" h="674370">
              <a:moveTo>
                <a:pt x="674370" y="80963"/>
              </a:moveTo>
              <a:lnTo>
                <a:pt x="593408" y="0"/>
              </a:lnTo>
              <a:lnTo>
                <a:pt x="337185" y="256223"/>
              </a:lnTo>
              <a:lnTo>
                <a:pt x="80963" y="0"/>
              </a:lnTo>
              <a:lnTo>
                <a:pt x="0" y="80963"/>
              </a:lnTo>
              <a:lnTo>
                <a:pt x="256223" y="337185"/>
              </a:lnTo>
              <a:lnTo>
                <a:pt x="0" y="593408"/>
              </a:lnTo>
              <a:lnTo>
                <a:pt x="80963" y="674370"/>
              </a:lnTo>
              <a:lnTo>
                <a:pt x="337185" y="418148"/>
              </a:lnTo>
              <a:lnTo>
                <a:pt x="593408" y="674370"/>
              </a:lnTo>
              <a:lnTo>
                <a:pt x="674370" y="593408"/>
              </a:lnTo>
              <a:lnTo>
                <a:pt x="418148" y="337185"/>
              </a:lnTo>
              <a:close/>
            </a:path>
          </a:pathLst>
        </a:custGeom>
        <a:solidFill>
          <a:schemeClr val="accent2"/>
        </a:solidFill>
        <a:ln>
          <a:noFill/>
        </a:ln>
      </xdr:spPr>
      <xdr:style>
        <a:lnRef idx="2">
          <a:schemeClr val="accent2">
            <a:shade val="15000"/>
          </a:schemeClr>
        </a:lnRef>
        <a:fillRef idx="1">
          <a:schemeClr val="accent2"/>
        </a:fillRef>
        <a:effectRef idx="0">
          <a:schemeClr val="accent2"/>
        </a:effectRef>
        <a:fontRef idx="minor">
          <a:schemeClr val="lt1"/>
        </a:fontRef>
      </xdr:style>
    </xdr:sp>
    <xdr:clientData/>
  </xdr:twoCellAnchor>
  <xdr:twoCellAnchor>
    <xdr:from>
      <xdr:col>12</xdr:col>
      <xdr:colOff>586740</xdr:colOff>
      <xdr:row>6</xdr:row>
      <xdr:rowOff>114300</xdr:rowOff>
    </xdr:from>
    <xdr:to>
      <xdr:col>16</xdr:col>
      <xdr:colOff>30480</xdr:colOff>
      <xdr:row>11</xdr:row>
      <xdr:rowOff>76200</xdr:rowOff>
    </xdr:to>
    <xdr:sp macro="" textlink="">
      <xdr:nvSpPr>
        <xdr:cNvPr id="4" name="TextBox 3">
          <a:extLst>
            <a:ext uri="{FF2B5EF4-FFF2-40B4-BE49-F238E27FC236}">
              <a16:creationId xmlns:a16="http://schemas.microsoft.com/office/drawing/2014/main" id="{3A94029D-7156-3BC0-2FAC-5F33AB2BC1BE}"/>
            </a:ext>
          </a:extLst>
        </xdr:cNvPr>
        <xdr:cNvSpPr txBox="1"/>
      </xdr:nvSpPr>
      <xdr:spPr>
        <a:xfrm>
          <a:off x="7894320" y="1211580"/>
          <a:ext cx="188214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5"/>
              </a:solidFill>
            </a:rPr>
            <a:t>             </a:t>
          </a:r>
          <a:r>
            <a:rPr lang="en-IN" sz="1200" b="1">
              <a:solidFill>
                <a:schemeClr val="accent5"/>
              </a:solidFill>
            </a:rPr>
            <a:t>RETURNED ORDERS</a:t>
          </a:r>
        </a:p>
        <a:p>
          <a:r>
            <a:rPr lang="en-IN" sz="1600" b="1"/>
            <a:t>                    </a:t>
          </a:r>
          <a:r>
            <a:rPr lang="en-IN" sz="1600" b="1" i="0" u="none" strike="noStrike">
              <a:solidFill>
                <a:schemeClr val="dk1"/>
              </a:solidFill>
              <a:effectLst/>
              <a:latin typeface="+mn-lt"/>
              <a:ea typeface="+mn-ea"/>
              <a:cs typeface="+mn-cs"/>
            </a:rPr>
            <a:t>139</a:t>
          </a:r>
          <a:r>
            <a:rPr lang="en-IN" sz="1600" b="1">
              <a:effectLst/>
            </a:rPr>
            <a:t> </a:t>
          </a:r>
          <a:endParaRPr lang="en-IN" sz="1100" b="0" i="0" u="none" strike="noStrike">
            <a:solidFill>
              <a:schemeClr val="dk1"/>
            </a:solidFill>
            <a:effectLst/>
            <a:latin typeface="+mn-lt"/>
            <a:ea typeface="+mn-ea"/>
            <a:cs typeface="+mn-cs"/>
          </a:endParaRPr>
        </a:p>
        <a:p>
          <a:r>
            <a:rPr lang="en-IN" sz="1100" b="0" i="0" u="none" strike="noStrike">
              <a:solidFill>
                <a:schemeClr val="dk1"/>
              </a:solidFill>
              <a:effectLst/>
              <a:latin typeface="+mn-lt"/>
              <a:ea typeface="+mn-ea"/>
              <a:cs typeface="+mn-cs"/>
            </a:rPr>
            <a:t>                     13.96%</a:t>
          </a:r>
          <a:r>
            <a:rPr lang="en-IN" sz="1100" b="0" i="0" u="none" strike="noStrike" baseline="0">
              <a:solidFill>
                <a:schemeClr val="dk1"/>
              </a:solidFill>
              <a:effectLst/>
              <a:latin typeface="+mn-lt"/>
              <a:ea typeface="+mn-ea"/>
              <a:cs typeface="+mn-cs"/>
            </a:rPr>
            <a:t> of Total</a:t>
          </a:r>
          <a:endParaRPr lang="en-IN" sz="1600" b="1"/>
        </a:p>
      </xdr:txBody>
    </xdr:sp>
    <xdr:clientData/>
  </xdr:twoCellAnchor>
  <xdr:twoCellAnchor editAs="oneCell">
    <xdr:from>
      <xdr:col>13</xdr:col>
      <xdr:colOff>15240</xdr:colOff>
      <xdr:row>6</xdr:row>
      <xdr:rowOff>152400</xdr:rowOff>
    </xdr:from>
    <xdr:to>
      <xdr:col>13</xdr:col>
      <xdr:colOff>426720</xdr:colOff>
      <xdr:row>9</xdr:row>
      <xdr:rowOff>68580</xdr:rowOff>
    </xdr:to>
    <xdr:pic>
      <xdr:nvPicPr>
        <xdr:cNvPr id="7" name="Graphic 6" descr="Repeat with solid fill">
          <a:extLst>
            <a:ext uri="{FF2B5EF4-FFF2-40B4-BE49-F238E27FC236}">
              <a16:creationId xmlns:a16="http://schemas.microsoft.com/office/drawing/2014/main" id="{D00B7CDB-512D-687D-13C5-C57EB4F4BFA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932420" y="1249680"/>
          <a:ext cx="411480" cy="464820"/>
        </a:xfrm>
        <a:prstGeom prst="rect">
          <a:avLst/>
        </a:prstGeom>
      </xdr:spPr>
    </xdr:pic>
    <xdr:clientData/>
  </xdr:twoCellAnchor>
  <xdr:twoCellAnchor>
    <xdr:from>
      <xdr:col>16</xdr:col>
      <xdr:colOff>175260</xdr:colOff>
      <xdr:row>6</xdr:row>
      <xdr:rowOff>121920</xdr:rowOff>
    </xdr:from>
    <xdr:to>
      <xdr:col>19</xdr:col>
      <xdr:colOff>152400</xdr:colOff>
      <xdr:row>11</xdr:row>
      <xdr:rowOff>106680</xdr:rowOff>
    </xdr:to>
    <xdr:sp macro="" textlink="">
      <xdr:nvSpPr>
        <xdr:cNvPr id="9" name="TextBox 8">
          <a:extLst>
            <a:ext uri="{FF2B5EF4-FFF2-40B4-BE49-F238E27FC236}">
              <a16:creationId xmlns:a16="http://schemas.microsoft.com/office/drawing/2014/main" id="{B5A5872C-47F1-D63E-DB56-9D4E73E8AA90}"/>
            </a:ext>
          </a:extLst>
        </xdr:cNvPr>
        <xdr:cNvSpPr txBox="1"/>
      </xdr:nvSpPr>
      <xdr:spPr>
        <a:xfrm>
          <a:off x="9921240" y="1219200"/>
          <a:ext cx="1805940"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a:t>
          </a:r>
          <a:r>
            <a:rPr lang="en-IN" sz="1200" b="1">
              <a:solidFill>
                <a:schemeClr val="accent4"/>
              </a:solidFill>
            </a:rPr>
            <a:t>SHIPPED ORDERS</a:t>
          </a:r>
        </a:p>
        <a:p>
          <a:r>
            <a:rPr lang="en-IN" sz="1600" b="1"/>
            <a:t>                     </a:t>
          </a:r>
          <a:r>
            <a:rPr lang="en-IN" sz="1600" b="1" i="0" u="none" strike="noStrike">
              <a:solidFill>
                <a:schemeClr val="dk1"/>
              </a:solidFill>
              <a:effectLst/>
              <a:latin typeface="+mn-lt"/>
              <a:ea typeface="+mn-ea"/>
              <a:cs typeface="+mn-cs"/>
            </a:rPr>
            <a:t>147</a:t>
          </a:r>
        </a:p>
        <a:p>
          <a:r>
            <a:rPr lang="en-IN" sz="1100" b="0" i="0" u="none" strike="noStrike">
              <a:solidFill>
                <a:schemeClr val="dk1"/>
              </a:solidFill>
              <a:effectLst/>
              <a:latin typeface="+mn-lt"/>
              <a:ea typeface="+mn-ea"/>
              <a:cs typeface="+mn-cs"/>
            </a:rPr>
            <a:t>                14.77%</a:t>
          </a:r>
          <a:r>
            <a:rPr lang="en-IN" sz="1100" b="0" i="0" u="none" strike="noStrike" baseline="0">
              <a:solidFill>
                <a:schemeClr val="dk1"/>
              </a:solidFill>
              <a:effectLst/>
              <a:latin typeface="+mn-lt"/>
              <a:ea typeface="+mn-ea"/>
              <a:cs typeface="+mn-cs"/>
            </a:rPr>
            <a:t> of Total</a:t>
          </a:r>
          <a:r>
            <a:rPr lang="en-IN" sz="1100" b="0">
              <a:effectLst/>
            </a:rPr>
            <a:t> </a:t>
          </a:r>
          <a:endParaRPr lang="en-IN" sz="1100" b="0" i="0" u="none" strike="noStrike">
            <a:solidFill>
              <a:schemeClr val="dk1"/>
            </a:solidFill>
            <a:effectLst/>
            <a:latin typeface="+mn-lt"/>
            <a:ea typeface="+mn-ea"/>
            <a:cs typeface="+mn-cs"/>
          </a:endParaRPr>
        </a:p>
        <a:p>
          <a:r>
            <a:rPr lang="en-IN" sz="1600" b="1">
              <a:effectLst/>
            </a:rPr>
            <a:t>   </a:t>
          </a:r>
          <a:endParaRPr lang="en-IN" sz="1600" b="1"/>
        </a:p>
      </xdr:txBody>
    </xdr:sp>
    <xdr:clientData/>
  </xdr:twoCellAnchor>
  <xdr:twoCellAnchor editAs="oneCell">
    <xdr:from>
      <xdr:col>16</xdr:col>
      <xdr:colOff>251460</xdr:colOff>
      <xdr:row>6</xdr:row>
      <xdr:rowOff>160020</xdr:rowOff>
    </xdr:from>
    <xdr:to>
      <xdr:col>17</xdr:col>
      <xdr:colOff>45720</xdr:colOff>
      <xdr:row>9</xdr:row>
      <xdr:rowOff>22860</xdr:rowOff>
    </xdr:to>
    <xdr:pic>
      <xdr:nvPicPr>
        <xdr:cNvPr id="13" name="Graphic 12" descr="Truck with solid fill">
          <a:extLst>
            <a:ext uri="{FF2B5EF4-FFF2-40B4-BE49-F238E27FC236}">
              <a16:creationId xmlns:a16="http://schemas.microsoft.com/office/drawing/2014/main" id="{8BA0CF2E-B2D1-F1AC-2BDA-148EA504ED6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997440" y="1257300"/>
          <a:ext cx="403860" cy="411480"/>
        </a:xfrm>
        <a:prstGeom prst="rect">
          <a:avLst/>
        </a:prstGeom>
      </xdr:spPr>
    </xdr:pic>
    <xdr:clientData/>
  </xdr:twoCellAnchor>
  <xdr:twoCellAnchor>
    <xdr:from>
      <xdr:col>19</xdr:col>
      <xdr:colOff>281940</xdr:colOff>
      <xdr:row>6</xdr:row>
      <xdr:rowOff>144780</xdr:rowOff>
    </xdr:from>
    <xdr:to>
      <xdr:col>22</xdr:col>
      <xdr:colOff>434411</xdr:colOff>
      <xdr:row>11</xdr:row>
      <xdr:rowOff>83820</xdr:rowOff>
    </xdr:to>
    <xdr:sp macro="" textlink="">
      <xdr:nvSpPr>
        <xdr:cNvPr id="15" name="TextBox 14">
          <a:extLst>
            <a:ext uri="{FF2B5EF4-FFF2-40B4-BE49-F238E27FC236}">
              <a16:creationId xmlns:a16="http://schemas.microsoft.com/office/drawing/2014/main" id="{7802E4EC-F1B4-5432-D96C-EF78D29290ED}"/>
            </a:ext>
          </a:extLst>
        </xdr:cNvPr>
        <xdr:cNvSpPr txBox="1"/>
      </xdr:nvSpPr>
      <xdr:spPr>
        <a:xfrm>
          <a:off x="11911342" y="1255733"/>
          <a:ext cx="1989817" cy="8648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200" b="1">
              <a:solidFill>
                <a:srgbClr val="C00000"/>
              </a:solidFill>
            </a:rPr>
            <a:t>BACKPACK</a:t>
          </a:r>
          <a:r>
            <a:rPr lang="en-IN" sz="1200" b="1" baseline="0">
              <a:solidFill>
                <a:srgbClr val="C00000"/>
              </a:solidFill>
            </a:rPr>
            <a:t> TOTAL</a:t>
          </a:r>
        </a:p>
        <a:p>
          <a:r>
            <a:rPr lang="en-IN" sz="1600" b="1" baseline="0"/>
            <a:t>                          </a:t>
          </a:r>
          <a:r>
            <a:rPr lang="en-IN" sz="1600" b="0" i="0" u="none" strike="noStrike">
              <a:solidFill>
                <a:schemeClr val="dk1"/>
              </a:solidFill>
              <a:effectLst/>
              <a:latin typeface="+mn-lt"/>
              <a:ea typeface="+mn-ea"/>
              <a:cs typeface="+mn-cs"/>
            </a:rPr>
            <a:t>50</a:t>
          </a:r>
          <a:r>
            <a:rPr lang="en-IN" sz="1600">
              <a:effectLst/>
            </a:rPr>
            <a:t> </a:t>
          </a:r>
          <a:endParaRPr lang="en-IN" sz="1100" b="0" i="0" u="none" strike="noStrike">
            <a:solidFill>
              <a:schemeClr val="dk1"/>
            </a:solidFill>
            <a:effectLst/>
            <a:latin typeface="+mn-lt"/>
            <a:ea typeface="+mn-ea"/>
            <a:cs typeface="+mn-cs"/>
          </a:endParaRPr>
        </a:p>
        <a:p>
          <a:r>
            <a:rPr lang="en-IN" sz="1100" b="0" i="0" u="none" strike="noStrike">
              <a:solidFill>
                <a:schemeClr val="dk1"/>
              </a:solidFill>
              <a:effectLst/>
              <a:latin typeface="+mn-lt"/>
              <a:ea typeface="+mn-ea"/>
              <a:cs typeface="+mn-cs"/>
            </a:rPr>
            <a:t>                        100%</a:t>
          </a:r>
          <a:r>
            <a:rPr lang="en-IN" sz="1100" b="0" i="0" u="none" strike="noStrike" baseline="0">
              <a:solidFill>
                <a:schemeClr val="dk1"/>
              </a:solidFill>
              <a:effectLst/>
              <a:latin typeface="+mn-lt"/>
              <a:ea typeface="+mn-ea"/>
              <a:cs typeface="+mn-cs"/>
            </a:rPr>
            <a:t> of Total</a:t>
          </a:r>
          <a:endParaRPr lang="en-IN" sz="1600" b="1"/>
        </a:p>
      </xdr:txBody>
    </xdr:sp>
    <xdr:clientData/>
  </xdr:twoCellAnchor>
  <xdr:twoCellAnchor editAs="oneCell">
    <xdr:from>
      <xdr:col>19</xdr:col>
      <xdr:colOff>342900</xdr:colOff>
      <xdr:row>6</xdr:row>
      <xdr:rowOff>160020</xdr:rowOff>
    </xdr:from>
    <xdr:to>
      <xdr:col>20</xdr:col>
      <xdr:colOff>281940</xdr:colOff>
      <xdr:row>9</xdr:row>
      <xdr:rowOff>106680</xdr:rowOff>
    </xdr:to>
    <xdr:pic>
      <xdr:nvPicPr>
        <xdr:cNvPr id="20" name="Graphic 19" descr="Backpack with solid fill">
          <a:extLst>
            <a:ext uri="{FF2B5EF4-FFF2-40B4-BE49-F238E27FC236}">
              <a16:creationId xmlns:a16="http://schemas.microsoft.com/office/drawing/2014/main" id="{70237114-BC0A-45FD-518E-60B4BDC4804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917680" y="1257300"/>
          <a:ext cx="548640" cy="495300"/>
        </a:xfrm>
        <a:prstGeom prst="rect">
          <a:avLst/>
        </a:prstGeom>
      </xdr:spPr>
    </xdr:pic>
    <xdr:clientData/>
  </xdr:twoCellAnchor>
  <xdr:twoCellAnchor>
    <xdr:from>
      <xdr:col>3</xdr:col>
      <xdr:colOff>327660</xdr:colOff>
      <xdr:row>12</xdr:row>
      <xdr:rowOff>68580</xdr:rowOff>
    </xdr:from>
    <xdr:to>
      <xdr:col>9</xdr:col>
      <xdr:colOff>175260</xdr:colOff>
      <xdr:row>24</xdr:row>
      <xdr:rowOff>22860</xdr:rowOff>
    </xdr:to>
    <xdr:graphicFrame macro="">
      <xdr:nvGraphicFramePr>
        <xdr:cNvPr id="23" name="Chart 22">
          <a:extLst>
            <a:ext uri="{FF2B5EF4-FFF2-40B4-BE49-F238E27FC236}">
              <a16:creationId xmlns:a16="http://schemas.microsoft.com/office/drawing/2014/main" id="{0C6B4CE2-D53C-49E8-8A94-B2CB0F914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9</xdr:col>
      <xdr:colOff>327660</xdr:colOff>
      <xdr:row>12</xdr:row>
      <xdr:rowOff>83127</xdr:rowOff>
    </xdr:from>
    <xdr:to>
      <xdr:col>15</xdr:col>
      <xdr:colOff>408709</xdr:colOff>
      <xdr:row>24</xdr:row>
      <xdr:rowOff>20782</xdr:rowOff>
    </xdr:to>
    <xdr:graphicFrame macro="">
      <xdr:nvGraphicFramePr>
        <xdr:cNvPr id="26" name="Chart 25">
          <a:extLst>
            <a:ext uri="{FF2B5EF4-FFF2-40B4-BE49-F238E27FC236}">
              <a16:creationId xmlns:a16="http://schemas.microsoft.com/office/drawing/2014/main" id="{54AB26F3-4C77-4BAA-B922-827CD2CB2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15</xdr:col>
      <xdr:colOff>598206</xdr:colOff>
      <xdr:row>12</xdr:row>
      <xdr:rowOff>105986</xdr:rowOff>
    </xdr:from>
    <xdr:to>
      <xdr:col>22</xdr:col>
      <xdr:colOff>49850</xdr:colOff>
      <xdr:row>23</xdr:row>
      <xdr:rowOff>185158</xdr:rowOff>
    </xdr:to>
    <xdr:graphicFrame macro="">
      <xdr:nvGraphicFramePr>
        <xdr:cNvPr id="27" name="Chart 26">
          <a:extLst>
            <a:ext uri="{FF2B5EF4-FFF2-40B4-BE49-F238E27FC236}">
              <a16:creationId xmlns:a16="http://schemas.microsoft.com/office/drawing/2014/main" id="{682A009E-5228-4B0D-ADBA-1EAED08C5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xdr:col>
      <xdr:colOff>320468</xdr:colOff>
      <xdr:row>25</xdr:row>
      <xdr:rowOff>14243</xdr:rowOff>
    </xdr:from>
    <xdr:to>
      <xdr:col>9</xdr:col>
      <xdr:colOff>99701</xdr:colOff>
      <xdr:row>37</xdr:row>
      <xdr:rowOff>99700</xdr:rowOff>
    </xdr:to>
    <xdr:graphicFrame macro="">
      <xdr:nvGraphicFramePr>
        <xdr:cNvPr id="29" name="Chart 28">
          <a:extLst>
            <a:ext uri="{FF2B5EF4-FFF2-40B4-BE49-F238E27FC236}">
              <a16:creationId xmlns:a16="http://schemas.microsoft.com/office/drawing/2014/main" id="{9472CDC2-73C1-4F77-9214-67902EEAC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10</xdr:col>
      <xdr:colOff>161688</xdr:colOff>
      <xdr:row>24</xdr:row>
      <xdr:rowOff>92176</xdr:rowOff>
    </xdr:from>
    <xdr:to>
      <xdr:col>19</xdr:col>
      <xdr:colOff>597477</xdr:colOff>
      <xdr:row>37</xdr:row>
      <xdr:rowOff>17158</xdr:rowOff>
    </xdr:to>
    <xdr:sp macro="" textlink="">
      <xdr:nvSpPr>
        <xdr:cNvPr id="6" name="TextBox 5">
          <a:extLst>
            <a:ext uri="{FF2B5EF4-FFF2-40B4-BE49-F238E27FC236}">
              <a16:creationId xmlns:a16="http://schemas.microsoft.com/office/drawing/2014/main" id="{E6C37EE4-1B28-9274-9BA5-6731C2125AD6}"/>
            </a:ext>
          </a:extLst>
        </xdr:cNvPr>
        <xdr:cNvSpPr txBox="1"/>
      </xdr:nvSpPr>
      <xdr:spPr>
        <a:xfrm>
          <a:off x="6223052" y="4456358"/>
          <a:ext cx="5891016" cy="2288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solidFill>
            </a:rPr>
            <a:t>KEY INSIGHT</a:t>
          </a:r>
        </a:p>
        <a:p>
          <a:endParaRPr lang="en-IN" sz="1400" b="1">
            <a:solidFill>
              <a:schemeClr val="tx2"/>
            </a:solidFill>
          </a:endParaRPr>
        </a:p>
        <a:p>
          <a:r>
            <a:rPr lang="en-IN" sz="1100" b="1">
              <a:solidFill>
                <a:schemeClr val="tx1"/>
              </a:solidFill>
            </a:rPr>
            <a:t>     56.6% orders are delivered successfully Cancelled</a:t>
          </a:r>
          <a:r>
            <a:rPr lang="en-IN" sz="1100" b="1" baseline="0">
              <a:solidFill>
                <a:schemeClr val="tx1"/>
              </a:solidFill>
            </a:rPr>
            <a:t> orders are 14.66% of total</a:t>
          </a:r>
          <a:r>
            <a:rPr lang="en-IN" sz="1100" b="1" baseline="0">
              <a:solidFill>
                <a:schemeClr val="tx2"/>
              </a:solidFill>
            </a:rPr>
            <a:t>.</a:t>
          </a:r>
        </a:p>
        <a:p>
          <a:r>
            <a:rPr lang="en-IN" sz="1100" b="1">
              <a:solidFill>
                <a:schemeClr val="tx2"/>
              </a:solidFill>
            </a:rPr>
            <a:t>          </a:t>
          </a:r>
        </a:p>
        <a:p>
          <a:r>
            <a:rPr lang="en-IN" sz="1100" b="1">
              <a:solidFill>
                <a:schemeClr val="tx2"/>
              </a:solidFill>
            </a:rPr>
            <a:t>          </a:t>
          </a:r>
          <a:r>
            <a:rPr lang="en-IN" sz="1100" b="1">
              <a:solidFill>
                <a:schemeClr val="tx1"/>
              </a:solidFill>
            </a:rPr>
            <a:t>Guna</a:t>
          </a:r>
          <a:r>
            <a:rPr lang="en-IN" sz="1100" b="1" baseline="0">
              <a:solidFill>
                <a:schemeClr val="tx1"/>
              </a:solidFill>
            </a:rPr>
            <a:t> and Delhi have the highest number of backpack orders.</a:t>
          </a:r>
        </a:p>
        <a:p>
          <a:endParaRPr lang="en-IN" sz="1100" b="1" baseline="0">
            <a:solidFill>
              <a:schemeClr val="tx1"/>
            </a:solidFill>
          </a:endParaRPr>
        </a:p>
        <a:p>
          <a:r>
            <a:rPr lang="en-IN" sz="1100" b="1" baseline="0">
              <a:solidFill>
                <a:schemeClr val="tx1"/>
              </a:solidFill>
            </a:rPr>
            <a:t>             Debit Card is the most used payment mode (21.90%, followed by credi card</a:t>
          </a:r>
        </a:p>
        <a:p>
          <a:endParaRPr lang="en-IN" sz="1100" b="1">
            <a:solidFill>
              <a:schemeClr val="tx1"/>
            </a:solidFill>
          </a:endParaRPr>
        </a:p>
        <a:p>
          <a:r>
            <a:rPr lang="en-IN" sz="1100" b="1">
              <a:solidFill>
                <a:schemeClr val="tx1"/>
              </a:solidFill>
            </a:rPr>
            <a:t>       Male</a:t>
          </a:r>
          <a:r>
            <a:rPr lang="en-IN" sz="1100" b="1" baseline="0">
              <a:solidFill>
                <a:schemeClr val="tx1"/>
              </a:solidFill>
            </a:rPr>
            <a:t> audio orders are higher (46) compared to female (40).</a:t>
          </a:r>
          <a:endParaRPr lang="en-IN" sz="1100" b="1">
            <a:solidFill>
              <a:schemeClr val="tx1"/>
            </a:solidFill>
          </a:endParaRPr>
        </a:p>
      </xdr:txBody>
    </xdr:sp>
    <xdr:clientData/>
  </xdr:twoCellAnchor>
  <xdr:twoCellAnchor editAs="oneCell">
    <xdr:from>
      <xdr:col>10</xdr:col>
      <xdr:colOff>214616</xdr:colOff>
      <xdr:row>26</xdr:row>
      <xdr:rowOff>65469</xdr:rowOff>
    </xdr:from>
    <xdr:to>
      <xdr:col>10</xdr:col>
      <xdr:colOff>405116</xdr:colOff>
      <xdr:row>28</xdr:row>
      <xdr:rowOff>92809</xdr:rowOff>
    </xdr:to>
    <xdr:pic>
      <xdr:nvPicPr>
        <xdr:cNvPr id="30" name="Graphic 29" descr="Checkmark with solid fill">
          <a:extLst>
            <a:ext uri="{FF2B5EF4-FFF2-40B4-BE49-F238E27FC236}">
              <a16:creationId xmlns:a16="http://schemas.microsoft.com/office/drawing/2014/main" id="{93EFA66D-DA94-4445-AE6A-F0345F64C3D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275980" y="4793333"/>
          <a:ext cx="190500" cy="391021"/>
        </a:xfrm>
        <a:prstGeom prst="rect">
          <a:avLst/>
        </a:prstGeom>
      </xdr:spPr>
    </xdr:pic>
    <xdr:clientData/>
  </xdr:twoCellAnchor>
  <xdr:twoCellAnchor editAs="oneCell">
    <xdr:from>
      <xdr:col>10</xdr:col>
      <xdr:colOff>200373</xdr:colOff>
      <xdr:row>28</xdr:row>
      <xdr:rowOff>65470</xdr:rowOff>
    </xdr:from>
    <xdr:to>
      <xdr:col>10</xdr:col>
      <xdr:colOff>489694</xdr:colOff>
      <xdr:row>29</xdr:row>
      <xdr:rowOff>171692</xdr:rowOff>
    </xdr:to>
    <xdr:pic>
      <xdr:nvPicPr>
        <xdr:cNvPr id="32" name="Graphic 1" descr="City with solid fill">
          <a:extLst>
            <a:ext uri="{FF2B5EF4-FFF2-40B4-BE49-F238E27FC236}">
              <a16:creationId xmlns:a16="http://schemas.microsoft.com/office/drawing/2014/main" id="{718BA9AF-0ECB-A9FF-071B-0852683E84FC}"/>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6261737" y="5157015"/>
          <a:ext cx="289321" cy="288063"/>
        </a:xfrm>
        <a:prstGeom prst="rect">
          <a:avLst/>
        </a:prstGeom>
      </xdr:spPr>
    </xdr:pic>
    <xdr:clientData/>
  </xdr:twoCellAnchor>
  <xdr:twoCellAnchor editAs="oneCell">
    <xdr:from>
      <xdr:col>10</xdr:col>
      <xdr:colOff>167273</xdr:colOff>
      <xdr:row>30</xdr:row>
      <xdr:rowOff>34475</xdr:rowOff>
    </xdr:from>
    <xdr:to>
      <xdr:col>10</xdr:col>
      <xdr:colOff>552644</xdr:colOff>
      <xdr:row>32</xdr:row>
      <xdr:rowOff>5988</xdr:rowOff>
    </xdr:to>
    <xdr:pic>
      <xdr:nvPicPr>
        <xdr:cNvPr id="34" name="Graphic 33" descr="Credit card with solid fill">
          <a:extLst>
            <a:ext uri="{FF2B5EF4-FFF2-40B4-BE49-F238E27FC236}">
              <a16:creationId xmlns:a16="http://schemas.microsoft.com/office/drawing/2014/main" id="{8430518B-EF79-E4C8-C163-6D12B1425D61}"/>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6228637" y="5489702"/>
          <a:ext cx="385371" cy="335195"/>
        </a:xfrm>
        <a:prstGeom prst="rect">
          <a:avLst/>
        </a:prstGeom>
      </xdr:spPr>
    </xdr:pic>
    <xdr:clientData/>
  </xdr:twoCellAnchor>
  <xdr:twoCellAnchor editAs="oneCell">
    <xdr:from>
      <xdr:col>10</xdr:col>
      <xdr:colOff>138788</xdr:colOff>
      <xdr:row>31</xdr:row>
      <xdr:rowOff>175122</xdr:rowOff>
    </xdr:from>
    <xdr:to>
      <xdr:col>10</xdr:col>
      <xdr:colOff>445012</xdr:colOff>
      <xdr:row>34</xdr:row>
      <xdr:rowOff>7524</xdr:rowOff>
    </xdr:to>
    <xdr:pic>
      <xdr:nvPicPr>
        <xdr:cNvPr id="36" name="Graphic 35" descr="Man and woman with solid fill">
          <a:extLst>
            <a:ext uri="{FF2B5EF4-FFF2-40B4-BE49-F238E27FC236}">
              <a16:creationId xmlns:a16="http://schemas.microsoft.com/office/drawing/2014/main" id="{FDBDC119-A5FA-1FB4-AC03-A541721D13BD}"/>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6200152" y="5812190"/>
          <a:ext cx="306224" cy="377925"/>
        </a:xfrm>
        <a:prstGeom prst="rect">
          <a:avLst/>
        </a:prstGeom>
      </xdr:spPr>
    </xdr:pic>
    <xdr:clientData/>
  </xdr:twoCellAnchor>
  <xdr:twoCellAnchor editAs="oneCell">
    <xdr:from>
      <xdr:col>3</xdr:col>
      <xdr:colOff>306225</xdr:colOff>
      <xdr:row>0</xdr:row>
      <xdr:rowOff>49851</xdr:rowOff>
    </xdr:from>
    <xdr:to>
      <xdr:col>10</xdr:col>
      <xdr:colOff>142431</xdr:colOff>
      <xdr:row>5</xdr:row>
      <xdr:rowOff>177895</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42ACDF80-60CA-459B-9DAD-45AD70141CF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36449" y="49851"/>
              <a:ext cx="4123346" cy="1053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203608</xdr:colOff>
      <xdr:row>0</xdr:row>
      <xdr:rowOff>64093</xdr:rowOff>
    </xdr:from>
    <xdr:to>
      <xdr:col>16</xdr:col>
      <xdr:colOff>84216</xdr:colOff>
      <xdr:row>5</xdr:row>
      <xdr:rowOff>163795</xdr:rowOff>
    </xdr:to>
    <mc:AlternateContent xmlns:mc="http://schemas.openxmlformats.org/markup-compatibility/2006" xmlns:a14="http://schemas.microsoft.com/office/drawing/2010/main">
      <mc:Choice Requires="a14">
        <xdr:graphicFrame macro="">
          <xdr:nvGraphicFramePr>
            <xdr:cNvPr id="31" name="State">
              <a:extLst>
                <a:ext uri="{FF2B5EF4-FFF2-40B4-BE49-F238E27FC236}">
                  <a16:creationId xmlns:a16="http://schemas.microsoft.com/office/drawing/2014/main" id="{A14B3AC8-863A-49DC-A3C1-1ED11B42EB6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320972" y="64093"/>
              <a:ext cx="3555300" cy="1025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256374</xdr:colOff>
      <xdr:row>0</xdr:row>
      <xdr:rowOff>78337</xdr:rowOff>
    </xdr:from>
    <xdr:to>
      <xdr:col>21</xdr:col>
      <xdr:colOff>224485</xdr:colOff>
      <xdr:row>5</xdr:row>
      <xdr:rowOff>59723</xdr:rowOff>
    </xdr:to>
    <mc:AlternateContent xmlns:mc="http://schemas.openxmlformats.org/markup-compatibility/2006" xmlns:a14="http://schemas.microsoft.com/office/drawing/2010/main">
      <mc:Choice Requires="a14">
        <xdr:graphicFrame macro="">
          <xdr:nvGraphicFramePr>
            <xdr:cNvPr id="33" name="Order_Status">
              <a:extLst>
                <a:ext uri="{FF2B5EF4-FFF2-40B4-BE49-F238E27FC236}">
                  <a16:creationId xmlns:a16="http://schemas.microsoft.com/office/drawing/2014/main" id="{2FCCFA9F-2040-4D38-B5CE-FA6B5F222B90}"/>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0048430" y="78337"/>
              <a:ext cx="3030354" cy="907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0.04312</cdr:x>
      <cdr:y>0.05208</cdr:y>
    </cdr:from>
    <cdr:to>
      <cdr:x>0.12526</cdr:x>
      <cdr:y>0.1875</cdr:y>
    </cdr:to>
    <cdr:pic>
      <cdr:nvPicPr>
        <cdr:cNvPr id="3" name="Graphic 2" descr="City with solid fill">
          <a:extLst xmlns:a="http://schemas.openxmlformats.org/drawingml/2006/main">
            <a:ext uri="{FF2B5EF4-FFF2-40B4-BE49-F238E27FC236}">
              <a16:creationId xmlns:a16="http://schemas.microsoft.com/office/drawing/2014/main" id="{B2D15309-73C3-4290-D47E-EF97FA82BED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60020" y="114300"/>
          <a:ext cx="304800" cy="297180"/>
        </a:xfrm>
        <a:prstGeom xmlns:a="http://schemas.openxmlformats.org/drawingml/2006/main" prst="rect">
          <a:avLst/>
        </a:prstGeom>
      </cdr:spPr>
    </cdr:pic>
  </cdr:relSizeAnchor>
</c:userShape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E19B5DE-7DA4-4B65-BBFA-CFBE47837730}"/>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Singh" refreshedDate="46250.794595370367" createdVersion="8" refreshedVersion="8" minRefreshableVersion="3" recordCount="1000" xr:uid="{244CB404-388D-4BB6-89D6-F8E15BCAE0F1}">
  <cacheSource type="worksheet">
    <worksheetSource ref="A1:T1001" sheet="Clean data"/>
  </cacheSource>
  <cacheFields count="20">
    <cacheField name="Order_ID" numFmtId="0">
      <sharedItems containsBlank="1"/>
    </cacheField>
    <cacheField name="Order_Date" numFmtId="14">
      <sharedItems containsDate="1" containsMixedTypes="1" minDate="2024-01-01T00:00:00" maxDate="2026-01-01T00:00:00"/>
    </cacheField>
    <cacheField name="Customer_ID" numFmtId="0">
      <sharedItems containsBlank="1"/>
    </cacheField>
    <cacheField name="Customer_Name" numFmtId="0">
      <sharedItems containsBlank="1"/>
    </cacheField>
    <cacheField name="Gender" numFmtId="0">
      <sharedItems containsBlank="1" count="3">
        <s v="Male"/>
        <s v="Female"/>
        <m/>
      </sharedItems>
    </cacheField>
    <cacheField name="Age" numFmtId="0">
      <sharedItems containsString="0" containsBlank="1" containsNumber="1" containsInteger="1" minValue="15" maxValue="75"/>
    </cacheField>
    <cacheField name="City" numFmtId="0">
      <sharedItems containsBlank="1" count="19">
        <s v="Indore"/>
        <s v="Surat"/>
        <s v="Guna"/>
        <s v="Chennai"/>
        <s v="Delhi"/>
        <s v="Pune"/>
        <s v="Kota"/>
        <s v="Kolkata"/>
        <s v="Hyderabad"/>
        <s v="Lucknow"/>
        <s v="Jaipur"/>
        <s v="Bhopal"/>
        <s v="Bengaluru"/>
        <s v="Mumbai"/>
        <s v="Ahmedabad"/>
        <s v="Kanpur"/>
        <s v="NA"/>
        <s v="Bhopal "/>
        <m/>
      </sharedItems>
    </cacheField>
    <cacheField name="State" numFmtId="0">
      <sharedItems containsBlank="1" count="11">
        <s v="Madhya Pradesh"/>
        <s v="Gujarat"/>
        <s v="Tamil Nadu"/>
        <s v="Delhi"/>
        <s v="Maharashtra"/>
        <s v="Rajasthan"/>
        <s v="West Bengal"/>
        <s v="Telangana"/>
        <s v="Uttar Pradesh"/>
        <s v="Karnataka"/>
        <m/>
      </sharedItems>
    </cacheField>
    <cacheField name="Product_ID" numFmtId="0">
      <sharedItems containsBlank="1"/>
    </cacheField>
    <cacheField name="Product_Name" numFmtId="0">
      <sharedItems containsBlank="1" count="26">
        <s v="Keyboard"/>
        <s v="Calculator"/>
        <s v="Notebook Set"/>
        <s v="USB Pen Drive 64GB"/>
        <s v="Desk Organizer"/>
        <s v="Power Bank"/>
        <s v="Wireless Mouse"/>
        <s v="Women Kurti"/>
        <s v="Backpack"/>
        <s v="Men T-Shirt"/>
        <s v="Water Bottle"/>
        <s v="Office Chair"/>
        <s v="Ball Pen Pack"/>
        <s v="Study Table"/>
        <s v="Wall Clock"/>
        <s v="Sports Shoes"/>
        <s v="Bookshelf"/>
        <s v="Bedsheet"/>
        <s v="Lunch Box"/>
        <s v="Bluetooth Speaker"/>
        <s v="Bedside Table"/>
        <s v="Smart Watch"/>
        <s v="Earbuds"/>
        <s v="Laptop Stand"/>
        <s v="Wireless Mouse "/>
        <m/>
      </sharedItems>
    </cacheField>
    <cacheField name="Category" numFmtId="0">
      <sharedItems containsBlank="1" count="6">
        <s v="Electronics"/>
        <s v="Stationery"/>
        <s v="Fashion"/>
        <s v="Home &amp; Kitchen"/>
        <s v="Furniture"/>
        <m/>
      </sharedItems>
    </cacheField>
    <cacheField name="Sub_Category" numFmtId="0">
      <sharedItems containsBlank="1" count="18">
        <s v="Computer Accessories"/>
        <s v="Office Supplies"/>
        <s v="Paper Products"/>
        <s v="Storage"/>
        <s v="Mobile Accessories"/>
        <s v="Clothing"/>
        <s v="Bags"/>
        <s v="Kitchen Accessories"/>
        <s v="Office Furniture"/>
        <s v="Writing Supplies"/>
        <s v="Home Decor"/>
        <s v="Footwear"/>
        <s v="Storage Furniture"/>
        <s v="Home Furnishing"/>
        <s v="Audio"/>
        <s v="Home Furniture"/>
        <s v="Wearables"/>
        <m/>
      </sharedItems>
    </cacheField>
    <cacheField name="Quantity" numFmtId="0">
      <sharedItems containsString="0" containsBlank="1" containsNumber="1" containsInteger="1" minValue="0" maxValue="5" count="7">
        <n v="5"/>
        <n v="4"/>
        <n v="2"/>
        <n v="3"/>
        <n v="1"/>
        <n v="0"/>
        <m/>
      </sharedItems>
    </cacheField>
    <cacheField name="Sales_Amount" numFmtId="0">
      <sharedItems containsBlank="1" containsMixedTypes="1" containsNumber="1" minValue="119.4" maxValue="30870.25" count="496">
        <n v="5196"/>
        <n v="2157.6"/>
        <n v="1516.2"/>
        <n v="1328.1"/>
        <n v="1257.9000000000001"/>
        <n v="2398.4"/>
        <n v="1917.6"/>
        <n v="5316.2"/>
        <n v="2558.4"/>
        <n v="359.4"/>
        <n v="599"/>
        <n v="3995"/>
        <n v="2236.8000000000002"/>
        <n v="1887.9"/>
        <n v="4476.8"/>
        <n v="18522.150000000001"/>
        <n v="169.15"/>
        <n v="4047.3"/>
        <n v="27495"/>
        <n v="1918.8"/>
        <n v="3056.6"/>
        <n v="4495.5"/>
        <n v="9898.2000000000007"/>
        <n v="1527.45"/>
        <n v="2338.1999999999998"/>
        <n v="2621.25"/>
        <n v="3498.6"/>
        <n v="13996.5"/>
        <n v="4077.45"/>
        <n v="599.25"/>
        <n v="2516.4"/>
        <n v="2208.3000000000002"/>
        <n v="24745.5"/>
        <n v="3117.6"/>
        <n v="3196.8"/>
        <n v="2697.3"/>
        <n v="3507.3"/>
        <n v="1188.3"/>
        <n v="30870.25"/>
        <n v="2398.8000000000002"/>
        <n v="959.4"/>
        <n v="20896.2"/>
        <n v="2796.5"/>
        <n v="1874.25"/>
        <n v="7596.2"/>
        <n v="12745.75"/>
        <n v="7998"/>
        <n v="1799.1"/>
        <n v="1818.6"/>
        <n v="2545.75"/>
        <n v="2517.1999999999998"/>
        <n v="1118.4000000000001"/>
        <n v="2096.5"/>
        <n v="358.2"/>
        <n v="2998.8"/>
        <n v="14995"/>
        <n v="417.9"/>
        <n v="10196.6"/>
        <n v="995"/>
        <n v="11997"/>
        <n v="2970.75"/>
        <n v="7122.15"/>
        <n v="1437.6"/>
        <n v="9496.2000000000007"/>
        <n v="7196"/>
        <n v="3999"/>
        <n v="2157.3000000000002"/>
        <n v="696.5"/>
        <s v="NA"/>
        <n v="4248.3"/>
        <n v="2877.6"/>
        <n v="4317.3"/>
        <n v="974.25"/>
        <n v="2995"/>
        <n v="4936.2"/>
        <n v="2695.5"/>
        <n v="4557.1499999999996"/>
        <n v="3599.1"/>
        <n v="2697"/>
        <n v="2399.1999999999998"/>
        <n v="3897"/>
        <n v="18696.599999999999"/>
        <n v="2446.5"/>
        <n v="11870.25"/>
        <n v="5397.3"/>
        <n v="5097.45"/>
        <n v="7996"/>
        <n v="149.25"/>
        <n v="1992.15"/>
        <n v="1596"/>
        <n v="1349.25"/>
        <n v="5036.3999999999996"/>
        <n v="1124.25"/>
        <n v="5524.15"/>
        <n v="477.6"/>
        <n v="1499.25"/>
        <n v="449.25"/>
        <n v="1398"/>
        <n v="4047.75"/>
        <n v="4498.2"/>
        <n v="957.6"/>
        <n v="719.2"/>
        <n v="1349.1"/>
        <n v="1119.2"/>
        <n v="3598.2"/>
        <n v="945.25"/>
        <n v="13495.5"/>
        <n v="10398.4"/>
        <n v="4496.25"/>
        <n v="2238.6"/>
        <n v="2878.2"/>
        <n v="1259.0999999999999"/>
        <n v="8997.75"/>
        <n v="2698.5"/>
        <n v="1618.2"/>
        <n v="1039.2"/>
        <n v="854.05"/>
        <n v="339.15"/>
        <n v="5622.75"/>
        <n v="1948.5"/>
        <n v="14996.25"/>
        <n v="5596"/>
        <n v="4196.5"/>
        <n v="899.4"/>
        <n v="2097"/>
        <n v="3396.6"/>
        <n v="1678.8"/>
        <n v="1077.3"/>
        <n v="8496.6"/>
        <n v="8495.75"/>
        <n v="5997"/>
        <n v="6795.75"/>
        <n v="1436.4"/>
        <n v="13197.6"/>
        <n v="4798.8"/>
        <n v="719.1"/>
        <n v="5756.8"/>
        <n v="779.4"/>
        <n v="10620.75"/>
        <n v="4197"/>
        <n v="2158.1999999999998"/>
        <n v="4676.3999999999996"/>
        <n v="1749.3"/>
        <n v="567.15"/>
        <n v="1678.6"/>
        <n v="4998"/>
        <n v="5397"/>
        <n v="3418.1"/>
        <n v="1259.3"/>
        <n v="6746.25"/>
        <n v="9348.2999999999993"/>
        <n v="3596"/>
        <n v="318.39999999999998"/>
        <n v="638.4"/>
        <n v="1798"/>
        <n v="1348.5"/>
        <n v="5945.75"/>
        <n v="5998.5"/>
        <n v="3146.5"/>
        <n v="3371.25"/>
        <n v="1438.8"/>
        <n v="699"/>
        <n v="4497"/>
        <n v="5247.9"/>
        <n v="5499"/>
        <n v="1439.1"/>
        <n v="2158.8000000000002"/>
        <n v="3597"/>
        <n v="1438.2"/>
        <n v="2796"/>
        <n v="1958.6"/>
        <n v="1899.05"/>
        <n v="1677.9"/>
        <n v="2876.4"/>
        <n v="3836.8"/>
        <n v="2997"/>
        <n v="2427.3000000000002"/>
        <n v="837.9"/>
        <n v="1797"/>
        <n v="6645.25"/>
        <n v="15196.2"/>
        <n v="4197.8999999999996"/>
        <n v="1258.2"/>
        <n v="718.2"/>
        <n v="1358.3"/>
        <n v="3796.2"/>
        <n v="1198.5"/>
        <n v="1957.2"/>
        <n v="7195.5"/>
        <n v="557.20000000000005"/>
        <n v="4399.2"/>
        <n v="1258.5999999999999"/>
        <n v="5395.5"/>
        <n v="11996"/>
        <n v="7647.45"/>
        <n v="569.04999999999995"/>
        <n v="5096.6000000000004"/>
        <n v="2396"/>
        <n v="3837.6"/>
        <n v="238.8"/>
        <n v="6747.3"/>
        <n v="629.1"/>
        <n v="6798.3"/>
        <n v="2037.45"/>
        <n v="4674.1499999999996"/>
        <n v="899"/>
        <n v="2468.1"/>
        <n v="1598"/>
        <n v="3998.4"/>
        <n v="12495"/>
        <n v="5598.6"/>
        <n v="2398"/>
        <n v="7497"/>
        <n v="978.6"/>
        <n v="3495"/>
        <n v="897.75"/>
        <n v="2699.1"/>
        <n v="4796.8"/>
        <n v="1137.1500000000001"/>
        <n v="838.8"/>
        <n v="899.25"/>
        <n v="6296.5"/>
        <n v="2397"/>
        <n v="14847.3"/>
        <n v="5246.25"/>
        <n v="5998"/>
        <n v="7595.25"/>
        <n v="6499"/>
        <n v="1139.05"/>
        <n v="278.60000000000002"/>
        <n v="2249.25"/>
        <n v="1699.15"/>
        <n v="1169.0999999999999"/>
        <n v="629.29999999999995"/>
        <n v="3849.3"/>
        <n v="7196.4"/>
        <n v="2716.6"/>
        <n v="1396.5"/>
        <n v="9495.25"/>
        <n v="1017.45"/>
        <n v="597"/>
        <n v="4896.5"/>
        <n v="2598"/>
        <n v="2656.2"/>
        <n v="479.4"/>
        <n v="2937.9"/>
        <n v="19246.5"/>
        <n v="2548.3000000000002"/>
        <n v="1499.4"/>
        <n v="3299.4"/>
        <n v="4587.45"/>
        <n v="2556.8000000000002"/>
        <n v="4317.6000000000004"/>
        <n v="3058.3"/>
        <n v="1599"/>
        <n v="1528.3"/>
        <n v="719.4"/>
        <n v="1999.2"/>
        <n v="959.2"/>
        <n v="378.1"/>
        <n v="958.8"/>
        <n v="2374.0500000000002"/>
        <n v="4797"/>
        <n v="2518.1999999999998"/>
        <n v="3597.75"/>
        <n v="27620.75"/>
        <n v="4748.1000000000004"/>
        <n v="1598.4"/>
        <n v="3996"/>
        <n v="189.05"/>
        <n v="279.3"/>
        <n v="6396"/>
        <n v="5695.25"/>
        <n v="3372.75"/>
        <n v="6396.8"/>
        <n v="1359.15"/>
        <n v="3417.15"/>
        <n v="4477.2"/>
        <n v="15397.2"/>
        <n v="9596.7999999999993"/>
        <n v="1999"/>
        <n v="8248.5"/>
        <n v="2547.4499999999998"/>
        <n v="1518.1"/>
        <n v="14396.4"/>
        <n v="3748.5"/>
        <n v="2845.25"/>
        <n v="6116.6"/>
        <n v="558.6"/>
        <n v="1018.3"/>
        <n v="5398.2"/>
        <n v="2399.4"/>
        <n v="1619.1"/>
        <n v="895.5"/>
        <n v="4745.25"/>
        <n v="4995"/>
        <n v="12998"/>
        <n v="598.5"/>
        <n v="22746.5"/>
        <n v="5246.5"/>
        <n v="1998"/>
        <n v="1198.8"/>
        <n v="3196"/>
        <n v="5996"/>
        <n v="2022.75"/>
        <n v="1467.9"/>
        <n v="4495"/>
        <n v="4796"/>
        <n v="2078.4"/>
        <n v="5997.6"/>
        <n v="12372.75"/>
        <n v="1078.2"/>
        <n v="2124.15"/>
        <n v="3036.2"/>
        <n v="2878.4"/>
        <n v="2922.75"/>
        <n v="6295.5"/>
        <n v="7996.8"/>
        <n v="21996"/>
        <n v="2518.6"/>
        <n v="2999"/>
        <n v="9996"/>
        <n v="3236.4"/>
        <n v="1356.6"/>
        <n v="2996.25"/>
        <n v="12796.8"/>
        <n v="1708.1"/>
        <n v="2798.6"/>
        <n v="899.1"/>
        <n v="3777.3"/>
        <n v="8746.5"/>
        <n v="3998"/>
        <n v="16995.75"/>
        <n v="2876.8"/>
        <n v="3820.75"/>
        <n v="1439.2"/>
        <n v="6372.45"/>
        <n v="3596.4"/>
        <n v="6495"/>
        <n v="5436.6"/>
        <n v="4270.25"/>
        <n v="3799.05"/>
        <n v="17596.8"/>
        <n v="419.4"/>
        <n v="2276.1999999999998"/>
        <n v="539.1"/>
        <n v="1572.75"/>
        <n v="979.3"/>
        <n v="539.4"/>
        <n v="2246.25"/>
        <n v="2376.6"/>
        <n v="8997"/>
        <n v="3567.45"/>
        <n v="2797.2"/>
        <n v="5199.2"/>
        <n v="4497.75"/>
        <n v="9597.6"/>
        <n v="5621.25"/>
        <n v="16497"/>
        <n v="8798.4"/>
        <n v="7598.1"/>
        <n v="11698.2"/>
        <n v="1798.2"/>
        <n v="379.05"/>
        <n v="1049.25"/>
        <n v="4416.6000000000004"/>
        <n v="15996"/>
        <n v="909.3"/>
        <n v="3357.9"/>
        <n v="4198.6000000000004"/>
        <n v="799"/>
        <n v="6836.2"/>
        <n v="5756.4"/>
        <n v="809.1"/>
        <n v="6174.05"/>
        <n v="1276.8"/>
        <n v="9098.6"/>
        <n v="7496.25"/>
        <n v="1887.3"/>
        <n v="949.05"/>
        <n v="3198.4"/>
        <n v="3199.2"/>
        <n v="4556.2"/>
        <n v="1707.15"/>
        <n v="1677.6"/>
        <n v="2562.15"/>
        <n v="2799.3"/>
        <n v="849.15"/>
        <n v="1898.1"/>
        <n v="1078.8"/>
        <n v="5596.5"/>
        <n v="799.2"/>
        <n v="2249.1"/>
        <n v="1529.15"/>
        <n v="12348.1"/>
        <n v="3777.9"/>
        <n v="10448.1"/>
        <n v="2156.4"/>
        <n v="1197"/>
        <n v="5224.05"/>
        <n v="559.20000000000005"/>
        <n v="479.2"/>
        <n v="1617.3"/>
        <n v="1347.75"/>
        <n v="3399.15"/>
        <n v="19995"/>
        <n v="1797.75"/>
        <n v="2698.2"/>
        <n v="2098.6"/>
        <n v="2798"/>
        <n v="4156.8"/>
        <n v="13647.9"/>
        <n v="3038.1"/>
        <n v="2277.15"/>
        <n v="3320.25"/>
        <n v="10998"/>
        <n v="5697.15"/>
        <n v="3822.45"/>
        <n v="25996"/>
        <n v="11396.2"/>
        <n v="26120.25"/>
        <n v="489.3"/>
        <n v="2237.1999999999998"/>
        <n v="18995.25"/>
        <n v="298.5"/>
        <n v="4197.2"/>
        <n v="3595.5"/>
        <n v="1104.1500000000001"/>
        <n v="3395.75"/>
        <n v="759.05"/>
        <n v="764.15"/>
        <n v="1278.4000000000001"/>
        <n v="679.15"/>
        <n v="3899.4"/>
        <n v="3987.15"/>
        <n v="1234.05"/>
        <n v="537.29999999999995"/>
        <n v="3917.2"/>
        <n v="5520.75"/>
        <n v="674.25"/>
        <n v="11048.3"/>
        <n v="4546.5"/>
        <n v="6076.2"/>
        <n v="8996.4"/>
        <n v="2848.1"/>
        <n v="20621.25"/>
        <n v="1499"/>
        <n v="845.75"/>
        <n v="3147.9"/>
        <n v="1399"/>
        <n v="15597.6"/>
        <n v="3057.45"/>
        <n v="5095.75"/>
        <n v="839.4"/>
        <n v="3795.25"/>
        <n v="359.1"/>
        <n v="4871.25"/>
        <n v="3637.2"/>
        <n v="1798.8"/>
        <n v="1995"/>
        <n v="8095.5"/>
        <n v="1496.25"/>
        <n v="509.15"/>
        <n v="2378.3000000000002"/>
        <n v="5696.2"/>
        <n v="507.45"/>
        <n v="798"/>
        <n v="5127.1499999999996"/>
        <n v="758.1"/>
        <n v="1558.8"/>
        <n v="1498.5"/>
        <n v="2397.6"/>
        <n v="7495"/>
        <n v="1199"/>
        <n v="1398.6"/>
        <n v="839.3"/>
        <n v="1695.75"/>
        <n v="1677.2"/>
        <n v="1117.2"/>
        <n v="3416.2"/>
        <n v="2098.5"/>
        <n v="559.29999999999995"/>
        <n v="2517.9"/>
        <n v="1782.45"/>
        <n v="5098.3"/>
        <n v="1118.5999999999999"/>
        <n v="1916.8"/>
        <n v="5849.1"/>
        <n v="4245.75"/>
        <n v="5845.5"/>
        <n v="6796.6"/>
        <n v="22096.6"/>
        <n v="1519.05"/>
        <n v="119.4"/>
        <n v="1798.5"/>
        <m/>
      </sharedItems>
    </cacheField>
    <cacheField name="Cost_Price" numFmtId="0">
      <sharedItems containsString="0" containsBlank="1" containsNumber="1" containsInteger="1" minValue="90" maxValue="25500"/>
    </cacheField>
    <cacheField name="Discount_Percent" numFmtId="0">
      <sharedItems containsString="0" containsBlank="1" containsNumber="1" containsInteger="1" minValue="0" maxValue="60" count="10">
        <n v="20"/>
        <n v="40"/>
        <n v="5"/>
        <n v="30"/>
        <n v="0"/>
        <n v="15"/>
        <n v="10"/>
        <n v="25"/>
        <n v="60"/>
        <m/>
      </sharedItems>
    </cacheField>
    <cacheField name="Payment_Mode" numFmtId="0">
      <sharedItems containsBlank="1" count="8">
        <s v="Cash on Delivery"/>
        <s v="Credit Card"/>
        <s v="Net Banking"/>
        <s v="UPI"/>
        <s v="Debit Card"/>
        <s v="NA"/>
        <s v="UPI "/>
        <m/>
      </sharedItems>
    </cacheField>
    <cacheField name="Order_Status" numFmtId="0">
      <sharedItems containsBlank="1" count="5">
        <s v="Returned"/>
        <s v="Delivered"/>
        <s v="Shipped"/>
        <s v="Cancelled"/>
        <m/>
      </sharedItems>
    </cacheField>
    <cacheField name="Delivery_Date" numFmtId="14">
      <sharedItems containsDate="1" containsBlank="1" containsMixedTypes="1" minDate="2024-01-07T00:00:00" maxDate="2026-01-11T00:00:00"/>
    </cacheField>
    <cacheField name="Rating" numFmtId="0">
      <sharedItems containsBlank="1" containsMixedTypes="1" containsNumber="1" containsInteger="1" minValue="2" maxValue="6"/>
    </cacheField>
  </cacheFields>
  <extLst>
    <ext xmlns:x14="http://schemas.microsoft.com/office/spreadsheetml/2009/9/main" uri="{725AE2AE-9491-48be-B2B4-4EB974FC3084}">
      <x14:pivotCacheDefinition pivotCacheId="1616010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d v="2024-05-09T00:00:00"/>
    <s v="C0141"/>
    <s v="Vivaan Sharma"/>
    <x v="0"/>
    <n v="39"/>
    <x v="0"/>
    <x v="0"/>
    <s v="P102"/>
    <x v="0"/>
    <x v="0"/>
    <x v="0"/>
    <x v="0"/>
    <x v="0"/>
    <n v="3950"/>
    <x v="0"/>
    <x v="0"/>
    <x v="0"/>
    <d v="2024-05-18T00:00:00"/>
    <n v="3"/>
  </r>
  <r>
    <s v="ORD00002"/>
    <d v="2024-01-13T00:00:00"/>
    <s v="C0294"/>
    <s v="Akash Patel"/>
    <x v="0"/>
    <n v="30"/>
    <x v="1"/>
    <x v="1"/>
    <s v="P304"/>
    <x v="1"/>
    <x v="1"/>
    <x v="1"/>
    <x v="1"/>
    <x v="1"/>
    <n v="2080"/>
    <x v="1"/>
    <x v="1"/>
    <x v="1"/>
    <d v="2024-01-15T00:00:00"/>
    <n v="4"/>
  </r>
  <r>
    <s v="ORD00003"/>
    <d v="2025-05-04T00:00:00"/>
    <s v="C0059"/>
    <s v="Mohit Patel"/>
    <x v="0"/>
    <n v="41"/>
    <x v="2"/>
    <x v="0"/>
    <s v="P301"/>
    <x v="2"/>
    <x v="1"/>
    <x v="2"/>
    <x v="1"/>
    <x v="2"/>
    <n v="840"/>
    <x v="2"/>
    <x v="2"/>
    <x v="0"/>
    <d v="2025-05-16T00:00:00"/>
    <n v="2"/>
  </r>
  <r>
    <s v="ORD00004"/>
    <d v="2024-06-04T00:00:00"/>
    <s v="C0077"/>
    <s v="Aman Singh"/>
    <x v="0"/>
    <n v="18"/>
    <x v="1"/>
    <x v="1"/>
    <s v="P103"/>
    <x v="3"/>
    <x v="0"/>
    <x v="3"/>
    <x v="2"/>
    <x v="3"/>
    <n v="820"/>
    <x v="2"/>
    <x v="2"/>
    <x v="2"/>
    <d v="2024-06-12T00:00:00"/>
    <n v="4"/>
  </r>
  <r>
    <s v="ORD00005"/>
    <d v="2025-06-19T00:00:00"/>
    <s v="C0195"/>
    <s v="Kunal Joshi"/>
    <x v="0"/>
    <n v="37"/>
    <x v="3"/>
    <x v="2"/>
    <s v="P303"/>
    <x v="4"/>
    <x v="1"/>
    <x v="1"/>
    <x v="3"/>
    <x v="4"/>
    <n v="990"/>
    <x v="3"/>
    <x v="1"/>
    <x v="3"/>
    <s v="NA"/>
    <s v="NA"/>
  </r>
  <r>
    <s v="ORD00006"/>
    <d v="2025-09-27T00:00:00"/>
    <s v="C0031"/>
    <s v="Rahul Mehta"/>
    <x v="0"/>
    <n v="42"/>
    <x v="4"/>
    <x v="3"/>
    <s v="P107"/>
    <x v="5"/>
    <x v="0"/>
    <x v="4"/>
    <x v="2"/>
    <x v="5"/>
    <n v="1840"/>
    <x v="0"/>
    <x v="3"/>
    <x v="1"/>
    <d v="2025-10-02T00:00:00"/>
    <n v="3"/>
  </r>
  <r>
    <s v="ORD00007"/>
    <d v="2025-07-19T00:00:00"/>
    <s v="C0039"/>
    <s v="Suman Mehta"/>
    <x v="1"/>
    <n v="27"/>
    <x v="5"/>
    <x v="4"/>
    <s v="P101"/>
    <x v="6"/>
    <x v="0"/>
    <x v="0"/>
    <x v="1"/>
    <x v="6"/>
    <n v="1880"/>
    <x v="1"/>
    <x v="2"/>
    <x v="1"/>
    <d v="2025-07-25T00:00:00"/>
    <n v="2"/>
  </r>
  <r>
    <s v="ORD00008"/>
    <d v="2024-08-25T00:00:00"/>
    <s v="C0148"/>
    <s v="Aman Solanki"/>
    <x v="0"/>
    <n v="27"/>
    <x v="1"/>
    <x v="1"/>
    <s v="P503"/>
    <x v="7"/>
    <x v="2"/>
    <x v="5"/>
    <x v="1"/>
    <x v="7"/>
    <n v="3160"/>
    <x v="2"/>
    <x v="0"/>
    <x v="1"/>
    <d v="2024-09-06T00:00:00"/>
    <n v="4"/>
  </r>
  <r>
    <s v="ORD00009"/>
    <d v="2025-03-11T00:00:00"/>
    <s v="C0059"/>
    <s v="Mohit Patel"/>
    <x v="0"/>
    <n v="41"/>
    <x v="6"/>
    <x v="5"/>
    <s v="P501"/>
    <x v="8"/>
    <x v="2"/>
    <x v="6"/>
    <x v="2"/>
    <x v="8"/>
    <n v="1860"/>
    <x v="0"/>
    <x v="0"/>
    <x v="1"/>
    <d v="2025-03-13T00:00:00"/>
    <n v="3"/>
  </r>
  <r>
    <s v="ORD00010"/>
    <d v="2024-11-10T00:00:00"/>
    <s v="C0292"/>
    <s v="Kunal Verma"/>
    <x v="0"/>
    <n v="30"/>
    <x v="1"/>
    <x v="1"/>
    <s v="P303"/>
    <x v="4"/>
    <x v="1"/>
    <x v="1"/>
    <x v="4"/>
    <x v="9"/>
    <n v="330"/>
    <x v="1"/>
    <x v="1"/>
    <x v="0"/>
    <d v="2024-11-18T00:00:00"/>
    <n v="4"/>
  </r>
  <r>
    <s v="ORD00011"/>
    <d v="2025-05-27T00:00:00"/>
    <s v="C0277"/>
    <s v="Mohit Yadav"/>
    <x v="0"/>
    <n v="34"/>
    <x v="7"/>
    <x v="6"/>
    <s v="P303"/>
    <x v="4"/>
    <x v="1"/>
    <x v="1"/>
    <x v="4"/>
    <x v="10"/>
    <n v="330"/>
    <x v="4"/>
    <x v="4"/>
    <x v="0"/>
    <d v="2025-06-03T00:00:00"/>
    <n v="4"/>
  </r>
  <r>
    <s v="ORD00012"/>
    <d v="2024-01-27T00:00:00"/>
    <s v="C0047"/>
    <s v="Suman Patel"/>
    <x v="1"/>
    <n v="45"/>
    <x v="6"/>
    <x v="5"/>
    <s v="P502"/>
    <x v="9"/>
    <x v="2"/>
    <x v="5"/>
    <x v="0"/>
    <x v="11"/>
    <n v="2100"/>
    <x v="4"/>
    <x v="1"/>
    <x v="3"/>
    <s v="NA"/>
    <s v="NA"/>
  </r>
  <r>
    <s v="ORD00013"/>
    <d v="2024-02-11T00:00:00"/>
    <s v="C0090"/>
    <s v="Vivaan Jain"/>
    <x v="0"/>
    <n v="39"/>
    <x v="7"/>
    <x v="6"/>
    <s v="P401"/>
    <x v="10"/>
    <x v="3"/>
    <x v="7"/>
    <x v="1"/>
    <x v="12"/>
    <n v="1480"/>
    <x v="0"/>
    <x v="0"/>
    <x v="3"/>
    <s v="NA"/>
    <s v="NA"/>
  </r>
  <r>
    <s v="ORD00014"/>
    <d v="2025-03-22T00:00:00"/>
    <s v="C0252"/>
    <s v="Rahul Khan"/>
    <x v="0"/>
    <n v="56"/>
    <x v="2"/>
    <x v="0"/>
    <s v="P304"/>
    <x v="1"/>
    <x v="1"/>
    <x v="1"/>
    <x v="3"/>
    <x v="13"/>
    <n v="1560"/>
    <x v="3"/>
    <x v="1"/>
    <x v="1"/>
    <d v="2025-04-03T00:00:00"/>
    <n v="3"/>
  </r>
  <r>
    <s v="ORD00015"/>
    <d v="2024-06-13T00:00:00"/>
    <s v="C0169"/>
    <s v="Vivaan Verma"/>
    <x v="0"/>
    <n v="56"/>
    <x v="8"/>
    <x v="7"/>
    <s v="P503"/>
    <x v="7"/>
    <x v="2"/>
    <x v="5"/>
    <x v="1"/>
    <x v="14"/>
    <n v="3160"/>
    <x v="0"/>
    <x v="4"/>
    <x v="2"/>
    <d v="2024-06-23T00:00:00"/>
    <n v="2"/>
  </r>
  <r>
    <s v="ORD00016"/>
    <d v="2025-04-10T00:00:00"/>
    <s v="C0046"/>
    <s v="Vivaan Verma"/>
    <x v="0"/>
    <n v="27"/>
    <x v="9"/>
    <x v="8"/>
    <s v="P201"/>
    <x v="11"/>
    <x v="4"/>
    <x v="8"/>
    <x v="3"/>
    <x v="15"/>
    <n v="15300"/>
    <x v="2"/>
    <x v="4"/>
    <x v="2"/>
    <d v="2025-04-20T00:00:00"/>
    <n v="2"/>
  </r>
  <r>
    <s v="ORD00017"/>
    <d v="2025-11-04T00:00:00"/>
    <s v="C0278"/>
    <s v="NA"/>
    <x v="1"/>
    <n v="56"/>
    <x v="3"/>
    <x v="2"/>
    <s v="P302"/>
    <x v="12"/>
    <x v="1"/>
    <x v="9"/>
    <x v="4"/>
    <x v="16"/>
    <n v="90"/>
    <x v="5"/>
    <x v="2"/>
    <x v="1"/>
    <d v="2025-11-15T00:00:00"/>
    <n v="5"/>
  </r>
  <r>
    <s v="ORD00018"/>
    <d v="2025-10-02T00:00:00"/>
    <s v="C0227"/>
    <s v="Anjali Gupta"/>
    <x v="1"/>
    <n v="42"/>
    <x v="0"/>
    <x v="0"/>
    <s v="P107"/>
    <x v="5"/>
    <x v="0"/>
    <x v="4"/>
    <x v="3"/>
    <x v="17"/>
    <n v="2760"/>
    <x v="6"/>
    <x v="1"/>
    <x v="1"/>
    <d v="2025-10-11T00:00:00"/>
    <n v="3"/>
  </r>
  <r>
    <s v="ORD00019"/>
    <d v="2024-01-30T00:00:00"/>
    <s v="C0123"/>
    <s v="Aarav Mehta"/>
    <x v="0"/>
    <n v="57"/>
    <x v="5"/>
    <x v="4"/>
    <s v="P202"/>
    <x v="13"/>
    <x v="4"/>
    <x v="8"/>
    <x v="0"/>
    <x v="18"/>
    <n v="21500"/>
    <x v="4"/>
    <x v="2"/>
    <x v="1"/>
    <d v="2024-02-02T00:00:00"/>
    <n v="4"/>
  </r>
  <r>
    <s v="ORD00020"/>
    <d v="2024-04-26T00:00:00"/>
    <s v="C0237"/>
    <s v="Aditya Joshi"/>
    <x v="0"/>
    <n v="45"/>
    <x v="4"/>
    <x v="3"/>
    <s v="P501"/>
    <x v="8"/>
    <x v="2"/>
    <x v="6"/>
    <x v="2"/>
    <x v="19"/>
    <n v="1860"/>
    <x v="1"/>
    <x v="1"/>
    <x v="3"/>
    <s v="NA"/>
    <s v="NA"/>
  </r>
  <r>
    <s v="ORD00021"/>
    <d v="2025-12-23T00:00:00"/>
    <s v="C0140"/>
    <s v="Suman Jain"/>
    <x v="1"/>
    <n v="35"/>
    <x v="8"/>
    <x v="7"/>
    <s v="P304"/>
    <x v="1"/>
    <x v="1"/>
    <x v="1"/>
    <x v="1"/>
    <x v="20"/>
    <n v="2080"/>
    <x v="5"/>
    <x v="4"/>
    <x v="3"/>
    <s v="NA"/>
    <s v="NA"/>
  </r>
  <r>
    <s v="ORD00022"/>
    <d v="2024-05-28T00:00:00"/>
    <s v="C0197"/>
    <s v="Aarav Sharma"/>
    <x v="0"/>
    <n v="33"/>
    <x v="10"/>
    <x v="5"/>
    <s v="P404"/>
    <x v="14"/>
    <x v="3"/>
    <x v="10"/>
    <x v="0"/>
    <x v="21"/>
    <n v="3050"/>
    <x v="6"/>
    <x v="3"/>
    <x v="1"/>
    <d v="2024-06-05T00:00:00"/>
    <n v="4"/>
  </r>
  <r>
    <s v="ORD00023"/>
    <d v="2025-06-03T00:00:00"/>
    <s v="C0137"/>
    <s v="Mohit Joshi"/>
    <x v="0"/>
    <n v="58"/>
    <x v="11"/>
    <x v="0"/>
    <s v="P202"/>
    <x v="13"/>
    <x v="4"/>
    <x v="8"/>
    <x v="3"/>
    <x v="22"/>
    <n v="12900"/>
    <x v="1"/>
    <x v="0"/>
    <x v="1"/>
    <d v="2025-06-13T00:00:00"/>
    <n v="5"/>
  </r>
  <r>
    <s v="ORD00024"/>
    <d v="2024-12-19T00:00:00"/>
    <s v="C0171"/>
    <s v="Kavita Khan"/>
    <x v="1"/>
    <n v="50"/>
    <x v="12"/>
    <x v="9"/>
    <s v="P303"/>
    <x v="4"/>
    <x v="1"/>
    <x v="1"/>
    <x v="3"/>
    <x v="23"/>
    <n v="990"/>
    <x v="5"/>
    <x v="0"/>
    <x v="3"/>
    <s v="NA"/>
    <s v="NA"/>
  </r>
  <r>
    <s v="ORD00025"/>
    <d v="2025-01-27T00:00:00"/>
    <s v="C0120"/>
    <s v="Kunal Gupta"/>
    <x v="0"/>
    <n v="43"/>
    <x v="8"/>
    <x v="7"/>
    <s v="P102"/>
    <x v="0"/>
    <x v="0"/>
    <x v="0"/>
    <x v="3"/>
    <x v="24"/>
    <n v="2370"/>
    <x v="1"/>
    <x v="4"/>
    <x v="1"/>
    <d v="2025-02-08T00:00:00"/>
    <n v="3"/>
  </r>
  <r>
    <s v="ORD00026"/>
    <d v="2025-05-22T00:00:00"/>
    <s v="C0019"/>
    <s v="Aditya Solanki"/>
    <x v="0"/>
    <n v="36"/>
    <x v="13"/>
    <x v="4"/>
    <s v="P401"/>
    <x v="10"/>
    <x v="3"/>
    <x v="7"/>
    <x v="0"/>
    <x v="25"/>
    <n v="1850"/>
    <x v="7"/>
    <x v="3"/>
    <x v="2"/>
    <d v="2025-05-31T00:00:00"/>
    <n v="3"/>
  </r>
  <r>
    <s v="ORD00027"/>
    <d v="2025-06-22T00:00:00"/>
    <s v="C0234"/>
    <s v="Rohan Khan"/>
    <x v="0"/>
    <n v="52"/>
    <x v="11"/>
    <x v="0"/>
    <s v="P504"/>
    <x v="15"/>
    <x v="2"/>
    <x v="11"/>
    <x v="2"/>
    <x v="26"/>
    <n v="3240"/>
    <x v="3"/>
    <x v="0"/>
    <x v="1"/>
    <d v="2025-07-01T00:00:00"/>
    <n v="4"/>
  </r>
  <r>
    <s v="ORD00028"/>
    <d v="2024-12-12T00:00:00"/>
    <s v="C0204"/>
    <s v="Rahul Mishra"/>
    <x v="0"/>
    <n v="51"/>
    <x v="2"/>
    <x v="0"/>
    <s v="P203"/>
    <x v="16"/>
    <x v="4"/>
    <x v="12"/>
    <x v="0"/>
    <x v="27"/>
    <n v="15250"/>
    <x v="3"/>
    <x v="1"/>
    <x v="0"/>
    <d v="2024-12-21T00:00:00"/>
    <n v="2"/>
  </r>
  <r>
    <s v="ORD00029"/>
    <d v="2025-09-24T00:00:00"/>
    <s v="C0036"/>
    <s v="Aditya Singh"/>
    <x v="0"/>
    <n v="54"/>
    <x v="6"/>
    <x v="5"/>
    <s v="P501"/>
    <x v="8"/>
    <x v="2"/>
    <x v="6"/>
    <x v="3"/>
    <x v="28"/>
    <n v="2790"/>
    <x v="5"/>
    <x v="3"/>
    <x v="1"/>
    <d v="2025-09-27T00:00:00"/>
    <n v="3"/>
  </r>
  <r>
    <s v="ORD00030"/>
    <d v="2025-03-30T00:00:00"/>
    <s v="C0086"/>
    <s v="Arjun Verma"/>
    <x v="0"/>
    <n v="45"/>
    <x v="1"/>
    <x v="1"/>
    <s v="P101"/>
    <x v="6"/>
    <x v="0"/>
    <x v="0"/>
    <x v="4"/>
    <x v="29"/>
    <n v="470"/>
    <x v="7"/>
    <x v="3"/>
    <x v="1"/>
    <d v="2025-04-06T00:00:00"/>
    <n v="4"/>
  </r>
  <r>
    <s v="ORD00031"/>
    <d v="2025-03-17T00:00:00"/>
    <s v="C0075"/>
    <s v="Aditya Yadav"/>
    <x v="0"/>
    <n v="19"/>
    <x v="6"/>
    <x v="5"/>
    <s v="P401"/>
    <x v="10"/>
    <x v="3"/>
    <x v="7"/>
    <x v="1"/>
    <x v="30"/>
    <n v="1480"/>
    <x v="6"/>
    <x v="0"/>
    <x v="1"/>
    <d v="2025-03-20T00:00:00"/>
    <n v="5"/>
  </r>
  <r>
    <s v="ORD00032"/>
    <d v="2025-09-26T00:00:00"/>
    <s v="C0124"/>
    <s v="Aman Verma"/>
    <x v="0"/>
    <n v="22"/>
    <x v="7"/>
    <x v="6"/>
    <s v="P403"/>
    <x v="17"/>
    <x v="3"/>
    <x v="13"/>
    <x v="2"/>
    <x v="31"/>
    <n v="1520"/>
    <x v="5"/>
    <x v="4"/>
    <x v="0"/>
    <d v="2025-10-02T00:00:00"/>
    <n v="5"/>
  </r>
  <r>
    <s v="ORD00033"/>
    <d v="2024-09-18T00:00:00"/>
    <s v="C0005"/>
    <s v="Aditya Khan"/>
    <x v="0"/>
    <n v="45"/>
    <x v="3"/>
    <x v="2"/>
    <s v="P202"/>
    <x v="13"/>
    <x v="4"/>
    <x v="8"/>
    <x v="0"/>
    <x v="32"/>
    <n v="21500"/>
    <x v="6"/>
    <x v="3"/>
    <x v="1"/>
    <d v="2024-09-25T00:00:00"/>
    <n v="4"/>
  </r>
  <r>
    <s v="ORD00034"/>
    <d v="2025-10-16T00:00:00"/>
    <s v="C0218"/>
    <s v="Nisha Verma"/>
    <x v="1"/>
    <n v="26"/>
    <x v="14"/>
    <x v="1"/>
    <s v="P303"/>
    <x v="4"/>
    <x v="1"/>
    <x v="1"/>
    <x v="3"/>
    <x v="23"/>
    <n v="990"/>
    <x v="5"/>
    <x v="4"/>
    <x v="2"/>
    <d v="2025-10-25T00:00:00"/>
    <n v="3"/>
  </r>
  <r>
    <s v="ORD00035"/>
    <d v="2024-08-30T00:00:00"/>
    <s v="C0196"/>
    <s v="Kunal Singh"/>
    <x v="0"/>
    <n v="27"/>
    <x v="15"/>
    <x v="8"/>
    <s v="P403"/>
    <x v="17"/>
    <x v="3"/>
    <x v="13"/>
    <x v="3"/>
    <x v="33"/>
    <n v="2280"/>
    <x v="0"/>
    <x v="3"/>
    <x v="2"/>
    <d v="2024-09-11T00:00:00"/>
    <n v="5"/>
  </r>
  <r>
    <s v="ORD00036"/>
    <d v="2024-10-08T00:00:00"/>
    <s v="C0005"/>
    <s v="Aditya Khan"/>
    <x v="0"/>
    <n v="45"/>
    <x v="11"/>
    <x v="0"/>
    <s v="P404"/>
    <x v="14"/>
    <x v="3"/>
    <x v="10"/>
    <x v="1"/>
    <x v="34"/>
    <n v="2440"/>
    <x v="0"/>
    <x v="0"/>
    <x v="3"/>
    <s v="NA"/>
    <s v="NA"/>
  </r>
  <r>
    <s v="ORD00037"/>
    <d v="2024-12-26T00:00:00"/>
    <s v="C0113"/>
    <s v="Aditya Joshi"/>
    <x v="0"/>
    <n v="33"/>
    <x v="10"/>
    <x v="5"/>
    <s v="P404"/>
    <x v="14"/>
    <x v="3"/>
    <x v="10"/>
    <x v="3"/>
    <x v="35"/>
    <n v="1830"/>
    <x v="6"/>
    <x v="3"/>
    <x v="0"/>
    <d v="2025-01-07T00:00:00"/>
    <n v="2"/>
  </r>
  <r>
    <s v="ORD00038"/>
    <d v="2024-11-12T00:00:00"/>
    <s v="C0226"/>
    <s v="Sneha Mehta"/>
    <x v="1"/>
    <n v="18"/>
    <x v="0"/>
    <x v="0"/>
    <s v="P403"/>
    <x v="17"/>
    <x v="3"/>
    <x v="13"/>
    <x v="3"/>
    <x v="36"/>
    <n v="2280"/>
    <x v="6"/>
    <x v="3"/>
    <x v="1"/>
    <d v="2024-11-19T00:00:00"/>
    <n v="5"/>
  </r>
  <r>
    <s v="ORD00039"/>
    <d v="2024-06-28T00:00:00"/>
    <s v="C0103"/>
    <s v="Akash Mishra"/>
    <x v="0"/>
    <n v="53"/>
    <x v="13"/>
    <x v="4"/>
    <s v="P402"/>
    <x v="18"/>
    <x v="3"/>
    <x v="7"/>
    <x v="3"/>
    <x v="1"/>
    <n v="1530"/>
    <x v="0"/>
    <x v="0"/>
    <x v="1"/>
    <d v="2024-07-07T00:00:00"/>
    <n v="4"/>
  </r>
  <r>
    <s v="ORD00040"/>
    <d v="2024-12-12T00:00:00"/>
    <s v="C0059"/>
    <s v="Mohit Patel"/>
    <x v="0"/>
    <n v="41"/>
    <x v="3"/>
    <x v="2"/>
    <s v="P103"/>
    <x v="3"/>
    <x v="0"/>
    <x v="3"/>
    <x v="2"/>
    <x v="37"/>
    <n v="820"/>
    <x v="5"/>
    <x v="4"/>
    <x v="2"/>
    <d v="2024-12-22T00:00:00"/>
    <n v="4"/>
  </r>
  <r>
    <s v="ORD00041"/>
    <d v="2024-04-02T00:00:00"/>
    <s v="C0203"/>
    <s v="Arjun Jain"/>
    <x v="0"/>
    <n v="32"/>
    <x v="11"/>
    <x v="0"/>
    <s v="P201"/>
    <x v="11"/>
    <x v="4"/>
    <x v="8"/>
    <x v="0"/>
    <x v="38"/>
    <n v="25500"/>
    <x v="2"/>
    <x v="4"/>
    <x v="1"/>
    <d v="2024-04-14T00:00:00"/>
    <n v="4"/>
  </r>
  <r>
    <s v="ORD00042"/>
    <d v="2025-08-21T00:00:00"/>
    <s v="C0196"/>
    <s v="Kunal Singh"/>
    <x v="0"/>
    <n v="27"/>
    <x v="15"/>
    <x v="8"/>
    <s v="P104"/>
    <x v="19"/>
    <x v="0"/>
    <x v="14"/>
    <x v="2"/>
    <x v="39"/>
    <n v="2460"/>
    <x v="1"/>
    <x v="3"/>
    <x v="3"/>
    <s v="NA"/>
    <s v="NA"/>
  </r>
  <r>
    <s v="ORD00043"/>
    <d v="2025-07-28T00:00:00"/>
    <s v="C0168"/>
    <s v="Rahul Khan"/>
    <x v="0"/>
    <n v="34"/>
    <x v="6"/>
    <x v="5"/>
    <s v="P501"/>
    <x v="8"/>
    <x v="2"/>
    <x v="6"/>
    <x v="4"/>
    <x v="40"/>
    <n v="930"/>
    <x v="1"/>
    <x v="1"/>
    <x v="0"/>
    <d v="2025-08-05T00:00:00"/>
    <n v="3"/>
  </r>
  <r>
    <s v="ORD00044"/>
    <d v="2024-05-23T00:00:00"/>
    <s v="C0024"/>
    <s v="Arjun Jain"/>
    <x v="0"/>
    <n v="35"/>
    <x v="0"/>
    <x v="0"/>
    <s v="P202"/>
    <x v="13"/>
    <x v="4"/>
    <x v="8"/>
    <x v="1"/>
    <x v="41"/>
    <n v="17200"/>
    <x v="2"/>
    <x v="3"/>
    <x v="1"/>
    <d v="2024-06-02T00:00:00"/>
    <n v="3"/>
  </r>
  <r>
    <s v="ORD00045"/>
    <d v="2025-02-01T00:00:00"/>
    <s v="C0233"/>
    <s v="Vikas Patel"/>
    <x v="0"/>
    <n v="47"/>
    <x v="15"/>
    <x v="8"/>
    <s v="P502"/>
    <x v="9"/>
    <x v="2"/>
    <x v="5"/>
    <x v="0"/>
    <x v="42"/>
    <n v="2100"/>
    <x v="3"/>
    <x v="2"/>
    <x v="0"/>
    <d v="2025-02-05T00:00:00"/>
    <n v="5"/>
  </r>
  <r>
    <s v="ORD00046"/>
    <d v="2025-11-01T00:00:00"/>
    <s v="C0051"/>
    <s v="Aarav Joshi"/>
    <x v="0"/>
    <n v="25"/>
    <x v="7"/>
    <x v="6"/>
    <s v="P404"/>
    <x v="14"/>
    <x v="3"/>
    <x v="10"/>
    <x v="1"/>
    <x v="34"/>
    <n v="2440"/>
    <x v="0"/>
    <x v="3"/>
    <x v="0"/>
    <d v="2025-11-08T00:00:00"/>
    <n v="4"/>
  </r>
  <r>
    <s v="ORD00047"/>
    <d v="2025-03-30T00:00:00"/>
    <s v="C0228"/>
    <s v="Kavita Solanki"/>
    <x v="1"/>
    <n v="52"/>
    <x v="6"/>
    <x v="5"/>
    <s v="P204"/>
    <x v="20"/>
    <x v="4"/>
    <x v="15"/>
    <x v="4"/>
    <x v="43"/>
    <n v="1870"/>
    <x v="7"/>
    <x v="2"/>
    <x v="0"/>
    <d v="2025-04-06T00:00:00"/>
    <n v="2"/>
  </r>
  <r>
    <s v="ORD00048"/>
    <d v="2025-02-11T00:00:00"/>
    <s v="C0142"/>
    <s v="Rohan Joshi"/>
    <x v="0"/>
    <n v="34"/>
    <x v="10"/>
    <x v="5"/>
    <s v="P104"/>
    <x v="19"/>
    <x v="0"/>
    <x v="14"/>
    <x v="1"/>
    <x v="44"/>
    <n v="4920"/>
    <x v="2"/>
    <x v="0"/>
    <x v="0"/>
    <d v="2025-02-23T00:00:00"/>
    <n v="2"/>
  </r>
  <r>
    <s v="ORD00049"/>
    <d v="2024-02-21T00:00:00"/>
    <s v="C0171"/>
    <s v="Kavita Khan"/>
    <x v="1"/>
    <n v="50"/>
    <x v="6"/>
    <x v="5"/>
    <s v="P105"/>
    <x v="21"/>
    <x v="0"/>
    <x v="16"/>
    <x v="0"/>
    <x v="45"/>
    <n v="9500"/>
    <x v="5"/>
    <x v="3"/>
    <x v="2"/>
    <d v="2024-03-02T00:00:00"/>
    <n v="4"/>
  </r>
  <r>
    <s v="ORD00050"/>
    <d v="2025-08-23T00:00:00"/>
    <s v="C0111"/>
    <s v="Vivaan Solanki"/>
    <x v="0"/>
    <n v="23"/>
    <x v="6"/>
    <x v="5"/>
    <s v="P203"/>
    <x v="16"/>
    <x v="4"/>
    <x v="12"/>
    <x v="2"/>
    <x v="46"/>
    <n v="6100"/>
    <x v="4"/>
    <x v="1"/>
    <x v="2"/>
    <d v="2025-08-27T00:00:00"/>
    <n v="3"/>
  </r>
  <r>
    <s v="ORD00051"/>
    <d v="2025-07-07T00:00:00"/>
    <s v="C0129"/>
    <s v="Nisha Mishra"/>
    <x v="1"/>
    <n v="37"/>
    <x v="5"/>
    <x v="4"/>
    <s v="P104"/>
    <x v="19"/>
    <x v="0"/>
    <x v="14"/>
    <x v="4"/>
    <x v="47"/>
    <n v="1230"/>
    <x v="6"/>
    <x v="3"/>
    <x v="1"/>
    <d v="2025-07-12T00:00:00"/>
    <n v="4"/>
  </r>
  <r>
    <s v="ORD00052"/>
    <d v="2024-01-17T00:00:00"/>
    <s v="C0090"/>
    <s v="Vivaan Jain"/>
    <x v="0"/>
    <n v="39"/>
    <x v="14"/>
    <x v="1"/>
    <s v="P102"/>
    <x v="0"/>
    <x v="0"/>
    <x v="0"/>
    <x v="2"/>
    <x v="48"/>
    <n v="1580"/>
    <x v="3"/>
    <x v="2"/>
    <x v="1"/>
    <d v="2024-01-20T00:00:00"/>
    <n v="5"/>
  </r>
  <r>
    <s v="ORD00053"/>
    <d v="2025-04-04T00:00:00"/>
    <s v="C0186"/>
    <s v="Sneha Solanki"/>
    <x v="1"/>
    <n v="18"/>
    <x v="4"/>
    <x v="3"/>
    <s v="P303"/>
    <x v="4"/>
    <x v="1"/>
    <x v="1"/>
    <x v="0"/>
    <x v="49"/>
    <n v="1650"/>
    <x v="5"/>
    <x v="2"/>
    <x v="1"/>
    <d v="2025-04-16T00:00:00"/>
    <n v="4"/>
  </r>
  <r>
    <s v="ORD00054"/>
    <d v="2025-04-14T00:00:00"/>
    <s v="C0016"/>
    <s v="Anjali Yadav"/>
    <x v="1"/>
    <n v="56"/>
    <x v="0"/>
    <x v="0"/>
    <s v="P304"/>
    <x v="1"/>
    <x v="1"/>
    <x v="1"/>
    <x v="1"/>
    <x v="50"/>
    <n v="2080"/>
    <x v="3"/>
    <x v="3"/>
    <x v="1"/>
    <d v="2025-04-23T00:00:00"/>
    <n v="3"/>
  </r>
  <r>
    <s v="ORD00055"/>
    <d v="2024-03-23T00:00:00"/>
    <s v="C0165"/>
    <s v="Suman Solanki"/>
    <x v="1"/>
    <n v="43"/>
    <x v="13"/>
    <x v="4"/>
    <s v="P103"/>
    <x v="3"/>
    <x v="0"/>
    <x v="3"/>
    <x v="2"/>
    <x v="51"/>
    <n v="820"/>
    <x v="0"/>
    <x v="2"/>
    <x v="0"/>
    <d v="2024-04-03T00:00:00"/>
    <n v="4"/>
  </r>
  <r>
    <s v="ORD00056"/>
    <d v="2025-01-25T00:00:00"/>
    <s v="C0272"/>
    <s v="Aditya Gupta"/>
    <x v="0"/>
    <n v="46"/>
    <x v="16"/>
    <x v="1"/>
    <s v="P303"/>
    <x v="4"/>
    <x v="1"/>
    <x v="1"/>
    <x v="0"/>
    <x v="52"/>
    <n v="1650"/>
    <x v="3"/>
    <x v="3"/>
    <x v="2"/>
    <d v="2025-01-28T00:00:00"/>
    <n v="4"/>
  </r>
  <r>
    <s v="ORD00057"/>
    <d v="2025-03-16T00:00:00"/>
    <s v="C0232"/>
    <s v="Pooja Joshi"/>
    <x v="1"/>
    <n v="43"/>
    <x v="6"/>
    <x v="5"/>
    <s v="P302"/>
    <x v="12"/>
    <x v="1"/>
    <x v="9"/>
    <x v="3"/>
    <x v="53"/>
    <n v="270"/>
    <x v="1"/>
    <x v="4"/>
    <x v="1"/>
    <d v="2025-03-19T00:00:00"/>
    <n v="4"/>
  </r>
  <r>
    <s v="ORD00058"/>
    <d v="2025-03-13T00:00:00"/>
    <s v="C0161"/>
    <s v="Anjali Gupta"/>
    <x v="1"/>
    <n v="32"/>
    <x v="14"/>
    <x v="1"/>
    <s v="P204"/>
    <x v="20"/>
    <x v="4"/>
    <x v="15"/>
    <x v="2"/>
    <x v="54"/>
    <n v="3740"/>
    <x v="1"/>
    <x v="3"/>
    <x v="1"/>
    <d v="2025-03-16T00:00:00"/>
    <n v="3"/>
  </r>
  <r>
    <s v="ORD00059"/>
    <d v="2025-03-18T00:00:00"/>
    <s v="C0050"/>
    <s v="Rashmi Gupta"/>
    <x v="1"/>
    <n v="53"/>
    <x v="15"/>
    <x v="8"/>
    <s v="P105"/>
    <x v="21"/>
    <x v="0"/>
    <x v="16"/>
    <x v="0"/>
    <x v="55"/>
    <n v="9500"/>
    <x v="4"/>
    <x v="2"/>
    <x v="3"/>
    <s v="NA"/>
    <s v="NA"/>
  </r>
  <r>
    <s v="ORD00060"/>
    <d v="2025-07-29T00:00:00"/>
    <s v="C0169"/>
    <s v="Vivaan Verma"/>
    <x v="0"/>
    <n v="56"/>
    <x v="4"/>
    <x v="3"/>
    <s v="P302"/>
    <x v="12"/>
    <x v="1"/>
    <x v="9"/>
    <x v="3"/>
    <x v="56"/>
    <n v="270"/>
    <x v="3"/>
    <x v="3"/>
    <x v="1"/>
    <d v="2025-08-09T00:00:00"/>
    <n v="4"/>
  </r>
  <r>
    <s v="ORD00061"/>
    <d v="2024-12-26T00:00:00"/>
    <s v="C0054"/>
    <s v="Neha Jain"/>
    <x v="1"/>
    <n v="28"/>
    <x v="10"/>
    <x v="5"/>
    <s v="P105"/>
    <x v="21"/>
    <x v="0"/>
    <x v="16"/>
    <x v="1"/>
    <x v="57"/>
    <n v="7600"/>
    <x v="5"/>
    <x v="3"/>
    <x v="1"/>
    <d v="2025-01-05T00:00:00"/>
    <n v="4"/>
  </r>
  <r>
    <s v="ORD00062"/>
    <d v="2024-04-27T00:00:00"/>
    <s v="C0143"/>
    <s v="Rahul Mishra"/>
    <x v="0"/>
    <n v="46"/>
    <x v="11"/>
    <x v="5"/>
    <s v="P302"/>
    <x v="12"/>
    <x v="1"/>
    <x v="9"/>
    <x v="0"/>
    <x v="58"/>
    <n v="450"/>
    <x v="4"/>
    <x v="2"/>
    <x v="0"/>
    <d v="2024-05-03T00:00:00"/>
    <n v="2"/>
  </r>
  <r>
    <s v="ORD00063"/>
    <d v="2024-07-03T00:00:00"/>
    <s v="C0140"/>
    <s v="Suman Jain"/>
    <x v="1"/>
    <n v="35"/>
    <x v="1"/>
    <x v="1"/>
    <s v="P203"/>
    <x v="16"/>
    <x v="4"/>
    <x v="12"/>
    <x v="3"/>
    <x v="59"/>
    <n v="9150"/>
    <x v="4"/>
    <x v="0"/>
    <x v="2"/>
    <d v="2024-07-07T00:00:00"/>
    <n v="5"/>
  </r>
  <r>
    <s v="ORD00064"/>
    <d v="2024-03-12T00:00:00"/>
    <s v="C0073"/>
    <s v="Riya Solanki"/>
    <x v="1"/>
    <n v="46"/>
    <x v="11"/>
    <x v="0"/>
    <s v="P103"/>
    <x v="3"/>
    <x v="0"/>
    <x v="3"/>
    <x v="0"/>
    <x v="60"/>
    <n v="2050"/>
    <x v="5"/>
    <x v="4"/>
    <x v="1"/>
    <d v="2024-03-21T00:00:00"/>
    <n v="4"/>
  </r>
  <r>
    <s v="ORD00065"/>
    <d v="2024-06-10T00:00:00"/>
    <s v="C0190"/>
    <s v="Riya Mehta"/>
    <x v="1"/>
    <n v="31"/>
    <x v="1"/>
    <x v="1"/>
    <s v="P504"/>
    <x v="15"/>
    <x v="2"/>
    <x v="11"/>
    <x v="3"/>
    <x v="61"/>
    <n v="4860"/>
    <x v="2"/>
    <x v="3"/>
    <x v="1"/>
    <d v="2024-06-14T00:00:00"/>
    <n v="2"/>
  </r>
  <r>
    <s v="ORD00066"/>
    <d v="2025-11-21T00:00:00"/>
    <s v="C0042"/>
    <s v="Priya Mishra"/>
    <x v="1"/>
    <n v="55"/>
    <x v="14"/>
    <x v="1"/>
    <s v="P303"/>
    <x v="4"/>
    <x v="1"/>
    <x v="1"/>
    <x v="1"/>
    <x v="62"/>
    <n v="1320"/>
    <x v="1"/>
    <x v="2"/>
    <x v="1"/>
    <d v="2025-11-29T00:00:00"/>
    <n v="4"/>
  </r>
  <r>
    <s v="ORD00067"/>
    <d v="2024-08-08T00:00:00"/>
    <s v="C0263"/>
    <s v="Aditya Solanki"/>
    <x v="0"/>
    <n v="39"/>
    <x v="4"/>
    <x v="3"/>
    <s v="P204"/>
    <x v="20"/>
    <x v="4"/>
    <x v="15"/>
    <x v="1"/>
    <x v="63"/>
    <n v="7480"/>
    <x v="2"/>
    <x v="1"/>
    <x v="0"/>
    <d v="2024-08-20T00:00:00"/>
    <n v="5"/>
  </r>
  <r>
    <s v="ORD00068"/>
    <d v="2025-06-23T00:00:00"/>
    <s v="C0158"/>
    <s v="Priya Patel"/>
    <x v="1"/>
    <n v="24"/>
    <x v="0"/>
    <x v="0"/>
    <s v="P108"/>
    <x v="22"/>
    <x v="0"/>
    <x v="14"/>
    <x v="1"/>
    <x v="64"/>
    <n v="4320"/>
    <x v="4"/>
    <x v="3"/>
    <x v="1"/>
    <d v="2025-06-29T00:00:00"/>
    <n v="4"/>
  </r>
  <r>
    <s v="ORD00069"/>
    <d v="2024-05-20T00:00:00"/>
    <s v="C0131"/>
    <s v="Aarav Joshi"/>
    <x v="0"/>
    <n v="53"/>
    <x v="1"/>
    <x v="1"/>
    <s v="P203"/>
    <x v="16"/>
    <x v="4"/>
    <x v="12"/>
    <x v="4"/>
    <x v="65"/>
    <n v="3050"/>
    <x v="4"/>
    <x v="4"/>
    <x v="0"/>
    <d v="2024-05-28T00:00:00"/>
    <n v="3"/>
  </r>
  <r>
    <s v="ORD00070"/>
    <d v="2024-05-12T00:00:00"/>
    <s v="C0195"/>
    <s v="Kunal Joshi"/>
    <x v="0"/>
    <n v="37"/>
    <x v="6"/>
    <x v="5"/>
    <s v="P401"/>
    <x v="10"/>
    <x v="3"/>
    <x v="7"/>
    <x v="0"/>
    <x v="25"/>
    <n v="1850"/>
    <x v="7"/>
    <x v="3"/>
    <x v="1"/>
    <d v="2024-05-14T00:00:00"/>
    <n v="5"/>
  </r>
  <r>
    <s v="ORD00071"/>
    <d v="2024-01-20T00:00:00"/>
    <s v="C0236"/>
    <s v="Aman Joshi"/>
    <x v="0"/>
    <n v="19"/>
    <x v="2"/>
    <x v="0"/>
    <s v="P203"/>
    <x v="16"/>
    <x v="4"/>
    <x v="12"/>
    <x v="0"/>
    <x v="27"/>
    <n v="15250"/>
    <x v="3"/>
    <x v="2"/>
    <x v="1"/>
    <d v="2024-02-01T00:00:00"/>
    <n v="5"/>
  </r>
  <r>
    <s v="ORD00072"/>
    <d v="2024-10-23T00:00:00"/>
    <s v="C0059"/>
    <s v="Mohit Patel"/>
    <x v="0"/>
    <n v="41"/>
    <x v="12"/>
    <x v="9"/>
    <s v="P101"/>
    <x v="6"/>
    <x v="0"/>
    <x v="0"/>
    <x v="3"/>
    <x v="66"/>
    <n v="1410"/>
    <x v="6"/>
    <x v="2"/>
    <x v="1"/>
    <d v="2024-10-30T00:00:00"/>
    <n v="3"/>
  </r>
  <r>
    <s v="ORD00073"/>
    <d v="2025-03-23T00:00:00"/>
    <s v="C0055"/>
    <s v="Riya Sharma"/>
    <x v="1"/>
    <n v="34"/>
    <x v="6"/>
    <x v="5"/>
    <s v="P302"/>
    <x v="12"/>
    <x v="1"/>
    <x v="9"/>
    <x v="0"/>
    <x v="67"/>
    <n v="450"/>
    <x v="3"/>
    <x v="2"/>
    <x v="1"/>
    <d v="2025-03-31T00:00:00"/>
    <n v="4"/>
  </r>
  <r>
    <s v="ORD00074"/>
    <d v="2024-12-13T00:00:00"/>
    <s v="C0114"/>
    <s v="Sneha Verma"/>
    <x v="1"/>
    <n v="54"/>
    <x v="9"/>
    <x v="8"/>
    <s v="P106"/>
    <x v="23"/>
    <x v="0"/>
    <x v="0"/>
    <x v="4"/>
    <x v="68"/>
    <n v="710"/>
    <x v="2"/>
    <x v="2"/>
    <x v="3"/>
    <s v="NA"/>
    <s v="NA"/>
  </r>
  <r>
    <s v="ORD00075"/>
    <d v="2024-07-17T00:00:00"/>
    <s v="C0179"/>
    <s v="Vikas Gupta"/>
    <x v="0"/>
    <n v="50"/>
    <x v="15"/>
    <x v="8"/>
    <s v="P504"/>
    <x v="15"/>
    <x v="2"/>
    <x v="11"/>
    <x v="2"/>
    <x v="69"/>
    <n v="3240"/>
    <x v="5"/>
    <x v="3"/>
    <x v="1"/>
    <d v="2024-07-23T00:00:00"/>
    <n v="4"/>
  </r>
  <r>
    <s v="ORD00076"/>
    <d v="2024-06-26T00:00:00"/>
    <s v="C0079"/>
    <s v="Vivaan Singh"/>
    <x v="0"/>
    <n v="22"/>
    <x v="2"/>
    <x v="0"/>
    <s v="P106"/>
    <x v="23"/>
    <x v="0"/>
    <x v="0"/>
    <x v="1"/>
    <x v="70"/>
    <n v="2840"/>
    <x v="1"/>
    <x v="2"/>
    <x v="2"/>
    <d v="2024-07-07T00:00:00"/>
    <n v="5"/>
  </r>
  <r>
    <s v="ORD00077"/>
    <d v="2025-11-28T00:00:00"/>
    <s v="C0290"/>
    <s v="Pooja Yadav"/>
    <x v="1"/>
    <n v="47"/>
    <x v="9"/>
    <x v="8"/>
    <s v="P501"/>
    <x v="8"/>
    <x v="2"/>
    <x v="6"/>
    <x v="3"/>
    <x v="71"/>
    <n v="2790"/>
    <x v="6"/>
    <x v="4"/>
    <x v="1"/>
    <d v="2025-12-07T00:00:00"/>
    <n v="5"/>
  </r>
  <r>
    <s v="ORD00078"/>
    <d v="2025-10-08T00:00:00"/>
    <s v="C0156"/>
    <s v="Aarav Patel"/>
    <x v="0"/>
    <n v="39"/>
    <x v="14"/>
    <x v="1"/>
    <s v="P403"/>
    <x v="17"/>
    <x v="3"/>
    <x v="13"/>
    <x v="4"/>
    <x v="72"/>
    <n v="760"/>
    <x v="7"/>
    <x v="2"/>
    <x v="1"/>
    <d v="2025-10-14T00:00:00"/>
    <n v="5"/>
  </r>
  <r>
    <s v="ORD00079"/>
    <d v="2025-04-07T00:00:00"/>
    <s v="C0020"/>
    <s v="Suman Khan"/>
    <x v="1"/>
    <n v="41"/>
    <x v="0"/>
    <x v="0"/>
    <s v="P204"/>
    <x v="20"/>
    <x v="4"/>
    <x v="15"/>
    <x v="3"/>
    <x v="61"/>
    <n v="5610"/>
    <x v="2"/>
    <x v="3"/>
    <x v="3"/>
    <s v="NA"/>
    <s v="NA"/>
  </r>
  <r>
    <s v="ORD00080"/>
    <d v="2025-08-31T00:00:00"/>
    <s v="C0260"/>
    <s v="Reena Khan"/>
    <x v="1"/>
    <n v="25"/>
    <x v="12"/>
    <x v="9"/>
    <s v="P303"/>
    <x v="4"/>
    <x v="1"/>
    <x v="1"/>
    <x v="0"/>
    <x v="73"/>
    <n v="1650"/>
    <x v="4"/>
    <x v="4"/>
    <x v="2"/>
    <d v="2025-09-11T00:00:00"/>
    <n v="4"/>
  </r>
  <r>
    <s v="ORD00081"/>
    <d v="2024-11-25T00:00:00"/>
    <s v="C0244"/>
    <s v="Vikas Solanki"/>
    <x v="0"/>
    <n v="21"/>
    <x v="13"/>
    <x v="4"/>
    <s v="P102"/>
    <x v="0"/>
    <x v="0"/>
    <x v="0"/>
    <x v="1"/>
    <x v="74"/>
    <n v="3160"/>
    <x v="2"/>
    <x v="1"/>
    <x v="0"/>
    <d v="2024-11-28T00:00:00"/>
    <n v="3"/>
  </r>
  <r>
    <s v="ORD00082"/>
    <d v="2024-02-10T00:00:00"/>
    <s v="C0127"/>
    <s v="Aditya Singh"/>
    <x v="0"/>
    <n v="41"/>
    <x v="3"/>
    <x v="2"/>
    <s v="P303"/>
    <x v="4"/>
    <x v="1"/>
    <x v="1"/>
    <x v="0"/>
    <x v="75"/>
    <n v="1650"/>
    <x v="6"/>
    <x v="1"/>
    <x v="1"/>
    <d v="2024-02-16T00:00:00"/>
    <n v="5"/>
  </r>
  <r>
    <s v="ORD00083"/>
    <d v="2025-02-22T00:00:00"/>
    <s v="C0174"/>
    <s v="Akash Jain"/>
    <x v="0"/>
    <n v="18"/>
    <x v="0"/>
    <x v="0"/>
    <s v="P501"/>
    <x v="8"/>
    <x v="2"/>
    <x v="6"/>
    <x v="3"/>
    <x v="76"/>
    <n v="2790"/>
    <x v="2"/>
    <x v="1"/>
    <x v="1"/>
    <d v="2025-03-04T00:00:00"/>
    <n v="5"/>
  </r>
  <r>
    <s v="ORD00084"/>
    <d v="2024-10-17T00:00:00"/>
    <s v="C0130"/>
    <s v="Deepak Joshi"/>
    <x v="0"/>
    <n v="51"/>
    <x v="13"/>
    <x v="4"/>
    <s v="P203"/>
    <x v="16"/>
    <x v="4"/>
    <x v="12"/>
    <x v="4"/>
    <x v="77"/>
    <n v="3050"/>
    <x v="6"/>
    <x v="1"/>
    <x v="1"/>
    <d v="2024-10-29T00:00:00"/>
    <n v="5"/>
  </r>
  <r>
    <s v="ORD00085"/>
    <d v="2024-05-12T00:00:00"/>
    <s v="C0044"/>
    <s v="Anjali Singh"/>
    <x v="1"/>
    <n v="26"/>
    <x v="1"/>
    <x v="1"/>
    <s v="P402"/>
    <x v="18"/>
    <x v="3"/>
    <x v="7"/>
    <x v="1"/>
    <x v="78"/>
    <n v="2040"/>
    <x v="7"/>
    <x v="0"/>
    <x v="0"/>
    <d v="2024-05-24T00:00:00"/>
    <n v="3"/>
  </r>
  <r>
    <s v="ORD00086"/>
    <d v="2025-10-23T00:00:00"/>
    <s v="C0217"/>
    <s v="Priya Yadav"/>
    <x v="1"/>
    <n v="38"/>
    <x v="15"/>
    <x v="8"/>
    <s v="P101"/>
    <x v="6"/>
    <x v="0"/>
    <x v="0"/>
    <x v="3"/>
    <x v="6"/>
    <n v="1410"/>
    <x v="0"/>
    <x v="0"/>
    <x v="1"/>
    <d v="2025-10-30T00:00:00"/>
    <n v="5"/>
  </r>
  <r>
    <s v="ORD00087"/>
    <d v="2024-07-15T00:00:00"/>
    <s v="C0116"/>
    <s v="Vivaan Khan"/>
    <x v="0"/>
    <n v="23"/>
    <x v="13"/>
    <x v="4"/>
    <s v="P105"/>
    <x v="21"/>
    <x v="0"/>
    <x v="16"/>
    <x v="4"/>
    <x v="79"/>
    <n v="1900"/>
    <x v="0"/>
    <x v="3"/>
    <x v="3"/>
    <s v="NA"/>
    <s v="NA"/>
  </r>
  <r>
    <s v="ORD00088"/>
    <d v="2025-07-06T00:00:00"/>
    <s v="C0270"/>
    <s v="NA"/>
    <x v="1"/>
    <n v="55"/>
    <x v="0"/>
    <x v="0"/>
    <s v="P502"/>
    <x v="9"/>
    <x v="2"/>
    <x v="5"/>
    <x v="3"/>
    <x v="66"/>
    <n v="1260"/>
    <x v="6"/>
    <x v="2"/>
    <x v="1"/>
    <d v="2025-07-10T00:00:00"/>
    <n v="3"/>
  </r>
  <r>
    <s v="ORD00089"/>
    <d v="2024-07-04T00:00:00"/>
    <s v="C0085"/>
    <s v="Muskan Jain"/>
    <x v="1"/>
    <n v="30"/>
    <x v="3"/>
    <x v="2"/>
    <s v="P102"/>
    <x v="0"/>
    <x v="0"/>
    <x v="0"/>
    <x v="1"/>
    <x v="80"/>
    <n v="3160"/>
    <x v="7"/>
    <x v="0"/>
    <x v="1"/>
    <d v="2024-07-15T00:00:00"/>
    <n v="4"/>
  </r>
  <r>
    <s v="ORD00090"/>
    <d v="2025-04-04T00:00:00"/>
    <s v="C0120"/>
    <s v="Kunal Gupta"/>
    <x v="0"/>
    <n v="43"/>
    <x v="6"/>
    <x v="5"/>
    <s v="P202"/>
    <x v="13"/>
    <x v="4"/>
    <x v="8"/>
    <x v="1"/>
    <x v="81"/>
    <n v="17200"/>
    <x v="5"/>
    <x v="1"/>
    <x v="0"/>
    <d v="2025-04-15T00:00:00"/>
    <n v="5"/>
  </r>
  <r>
    <s v="ORD00091"/>
    <d v="2025-04-17T00:00:00"/>
    <s v="C0145"/>
    <s v="Nisha Sharma"/>
    <x v="1"/>
    <n v="25"/>
    <x v="12"/>
    <x v="9"/>
    <s v="P401"/>
    <x v="10"/>
    <x v="3"/>
    <x v="7"/>
    <x v="0"/>
    <x v="82"/>
    <n v="1850"/>
    <x v="3"/>
    <x v="0"/>
    <x v="2"/>
    <d v="2025-04-22T00:00:00"/>
    <n v="3"/>
  </r>
  <r>
    <s v="ORD00092"/>
    <d v="2024-09-13T00:00:00"/>
    <s v="C0027"/>
    <s v="Mohit Joshi"/>
    <x v="0"/>
    <n v="35"/>
    <x v="7"/>
    <x v="6"/>
    <s v="P204"/>
    <x v="20"/>
    <x v="4"/>
    <x v="15"/>
    <x v="0"/>
    <x v="83"/>
    <n v="9350"/>
    <x v="2"/>
    <x v="5"/>
    <x v="2"/>
    <d v="2024-09-16T00:00:00"/>
    <n v="4"/>
  </r>
  <r>
    <s v="ORD00093"/>
    <d v="2024-03-26T00:00:00"/>
    <s v="C0083"/>
    <s v="Nisha Patel"/>
    <x v="1"/>
    <n v="54"/>
    <x v="14"/>
    <x v="1"/>
    <s v="P303"/>
    <x v="4"/>
    <x v="1"/>
    <x v="1"/>
    <x v="0"/>
    <x v="75"/>
    <n v="1650"/>
    <x v="6"/>
    <x v="4"/>
    <x v="1"/>
    <d v="2024-03-31T00:00:00"/>
    <n v="5"/>
  </r>
  <r>
    <s v="ORD00094"/>
    <d v="2024-12-23T00:00:00"/>
    <s v="C0014"/>
    <s v="Mohit Yadav"/>
    <x v="0"/>
    <n v="24"/>
    <x v="8"/>
    <x v="7"/>
    <s v="P102"/>
    <x v="0"/>
    <x v="0"/>
    <x v="0"/>
    <x v="1"/>
    <x v="80"/>
    <n v="3160"/>
    <x v="7"/>
    <x v="0"/>
    <x v="1"/>
    <d v="2024-12-26T00:00:00"/>
    <n v="4"/>
  </r>
  <r>
    <s v="ORD00095"/>
    <d v="2024-08-17T00:00:00"/>
    <s v="C0015"/>
    <s v="Aditya Jain"/>
    <x v="0"/>
    <n v="24"/>
    <x v="9"/>
    <x v="8"/>
    <s v="P104"/>
    <x v="19"/>
    <x v="0"/>
    <x v="14"/>
    <x v="3"/>
    <x v="84"/>
    <n v="3690"/>
    <x v="6"/>
    <x v="0"/>
    <x v="1"/>
    <d v="2024-08-23T00:00:00"/>
    <n v="5"/>
  </r>
  <r>
    <s v="ORD00096"/>
    <d v="2025-12-13T00:00:00"/>
    <s v="C0072"/>
    <s v="Reena Joshi"/>
    <x v="1"/>
    <n v="41"/>
    <x v="7"/>
    <x v="6"/>
    <s v="P303"/>
    <x v="4"/>
    <x v="1"/>
    <x v="1"/>
    <x v="0"/>
    <x v="73"/>
    <n v="1650"/>
    <x v="4"/>
    <x v="3"/>
    <x v="1"/>
    <d v="2025-12-19T00:00:00"/>
    <n v="4"/>
  </r>
  <r>
    <s v="ORD00097"/>
    <d v="2024-06-02T00:00:00"/>
    <s v="C0281"/>
    <s v="Aditya Singh"/>
    <x v="0"/>
    <n v="44"/>
    <x v="8"/>
    <x v="7"/>
    <s v="P104"/>
    <x v="19"/>
    <x v="0"/>
    <x v="14"/>
    <x v="3"/>
    <x v="85"/>
    <n v="3690"/>
    <x v="5"/>
    <x v="1"/>
    <x v="1"/>
    <d v="2024-06-04T00:00:00"/>
    <n v="4"/>
  </r>
  <r>
    <s v="ORD00098"/>
    <d v="2025-03-05T00:00:00"/>
    <s v="C0235"/>
    <s v="Aarav Jain"/>
    <x v="0"/>
    <n v="55"/>
    <x v="2"/>
    <x v="0"/>
    <s v="P104"/>
    <x v="19"/>
    <x v="0"/>
    <x v="14"/>
    <x v="1"/>
    <x v="86"/>
    <n v="4920"/>
    <x v="4"/>
    <x v="2"/>
    <x v="3"/>
    <s v="NA"/>
    <s v="NA"/>
  </r>
  <r>
    <s v="ORD00099"/>
    <d v="2024-09-04T00:00:00"/>
    <s v="C0074"/>
    <s v="Arjun Singh"/>
    <x v="0"/>
    <n v="32"/>
    <x v="1"/>
    <x v="1"/>
    <s v="P302"/>
    <x v="12"/>
    <x v="1"/>
    <x v="9"/>
    <x v="4"/>
    <x v="87"/>
    <n v="90"/>
    <x v="7"/>
    <x v="0"/>
    <x v="3"/>
    <s v="NA"/>
    <s v="NA"/>
  </r>
  <r>
    <s v="ORD00100"/>
    <d v="2025-03-02T00:00:00"/>
    <s v="C0096"/>
    <s v="Arjun Sharma"/>
    <x v="0"/>
    <n v="52"/>
    <x v="2"/>
    <x v="0"/>
    <s v="P401"/>
    <x v="10"/>
    <x v="3"/>
    <x v="7"/>
    <x v="3"/>
    <x v="88"/>
    <n v="1110"/>
    <x v="2"/>
    <x v="2"/>
    <x v="3"/>
    <s v="NA"/>
    <s v="NA"/>
  </r>
  <r>
    <s v="ORD00101"/>
    <d v="2025-06-03T00:00:00"/>
    <s v="C0260"/>
    <s v="Reena Khan"/>
    <x v="1"/>
    <n v="25"/>
    <x v="11"/>
    <x v="0"/>
    <s v="P301"/>
    <x v="2"/>
    <x v="1"/>
    <x v="2"/>
    <x v="1"/>
    <x v="89"/>
    <n v="840"/>
    <x v="4"/>
    <x v="4"/>
    <x v="1"/>
    <d v="2025-06-09T00:00:00"/>
    <n v="2"/>
  </r>
  <r>
    <s v="ORD00102"/>
    <d v="2024-12-31T00:00:00"/>
    <s v="C0035"/>
    <s v="Pooja Jain"/>
    <x v="1"/>
    <n v="35"/>
    <x v="15"/>
    <x v="8"/>
    <s v="P108"/>
    <x v="22"/>
    <x v="0"/>
    <x v="14"/>
    <x v="4"/>
    <x v="90"/>
    <n v="1080"/>
    <x v="7"/>
    <x v="0"/>
    <x v="1"/>
    <d v="2025-01-07T00:00:00"/>
    <n v="4"/>
  </r>
  <r>
    <s v="ORD00103"/>
    <d v="2025-10-20T00:00:00"/>
    <s v="C0090"/>
    <s v="Vivaan Jain"/>
    <x v="0"/>
    <n v="39"/>
    <x v="3"/>
    <x v="2"/>
    <s v="P503"/>
    <x v="7"/>
    <x v="2"/>
    <x v="5"/>
    <x v="1"/>
    <x v="91"/>
    <n v="3160"/>
    <x v="6"/>
    <x v="0"/>
    <x v="1"/>
    <d v="2025-10-29T00:00:00"/>
    <n v="2"/>
  </r>
  <r>
    <s v="ORD00104"/>
    <d v="2024-10-27T00:00:00"/>
    <s v="C0104"/>
    <s v="Reena Mishra"/>
    <x v="1"/>
    <n v="49"/>
    <x v="0"/>
    <x v="0"/>
    <s v="P107"/>
    <x v="5"/>
    <x v="0"/>
    <x v="4"/>
    <x v="4"/>
    <x v="92"/>
    <n v="920"/>
    <x v="7"/>
    <x v="1"/>
    <x v="3"/>
    <s v="NA"/>
    <s v="NA"/>
  </r>
  <r>
    <s v="ORD00105"/>
    <d v="2025-02-11T00:00:00"/>
    <s v="C0279"/>
    <s v="Akash Gupta"/>
    <x v="0"/>
    <n v="53"/>
    <x v="7"/>
    <x v="6"/>
    <s v="P201"/>
    <x v="11"/>
    <x v="4"/>
    <x v="8"/>
    <x v="4"/>
    <x v="93"/>
    <n v="5100"/>
    <x v="5"/>
    <x v="1"/>
    <x v="1"/>
    <d v="2025-02-13T00:00:00"/>
    <n v="4"/>
  </r>
  <r>
    <s v="ORD00106"/>
    <d v="2024-10-06T00:00:00"/>
    <s v="C0064"/>
    <s v="Vivaan Singh"/>
    <x v="0"/>
    <n v="54"/>
    <x v="15"/>
    <x v="8"/>
    <s v="P302"/>
    <x v="12"/>
    <x v="1"/>
    <x v="9"/>
    <x v="1"/>
    <x v="94"/>
    <n v="360"/>
    <x v="1"/>
    <x v="4"/>
    <x v="1"/>
    <d v="2024-10-10T00:00:00"/>
    <n v="5"/>
  </r>
  <r>
    <s v="ORD00107"/>
    <d v="2025-12-09T00:00:00"/>
    <s v="C0255"/>
    <s v="Aman Sharma"/>
    <x v="0"/>
    <n v="37"/>
    <x v="15"/>
    <x v="8"/>
    <s v="P401"/>
    <x v="10"/>
    <x v="3"/>
    <x v="7"/>
    <x v="3"/>
    <x v="88"/>
    <n v="1110"/>
    <x v="2"/>
    <x v="4"/>
    <x v="1"/>
    <d v="2025-12-17T00:00:00"/>
    <n v="3"/>
  </r>
  <r>
    <s v="ORD00108"/>
    <d v="2025-07-12T00:00:00"/>
    <s v="C0151"/>
    <s v="Anjali Singh"/>
    <x v="1"/>
    <n v="33"/>
    <x v="9"/>
    <x v="8"/>
    <s v="P104"/>
    <x v="19"/>
    <x v="0"/>
    <x v="14"/>
    <x v="4"/>
    <x v="95"/>
    <n v="1230"/>
    <x v="7"/>
    <x v="1"/>
    <x v="1"/>
    <d v="2025-07-21T00:00:00"/>
    <n v="5"/>
  </r>
  <r>
    <s v="ORD00109"/>
    <d v="2024-06-19T00:00:00"/>
    <s v="C0228"/>
    <s v="Kavita Solanki"/>
    <x v="1"/>
    <n v="52"/>
    <x v="15"/>
    <x v="8"/>
    <s v="P303"/>
    <x v="4"/>
    <x v="1"/>
    <x v="1"/>
    <x v="4"/>
    <x v="96"/>
    <n v="330"/>
    <x v="7"/>
    <x v="2"/>
    <x v="1"/>
    <d v="2024-06-25T00:00:00"/>
    <n v="2"/>
  </r>
  <r>
    <s v="ORD00110"/>
    <d v="2024-03-17T00:00:00"/>
    <s v="C0208"/>
    <s v="Nisha Khan"/>
    <x v="1"/>
    <n v="38"/>
    <x v="15"/>
    <x v="8"/>
    <s v="P401"/>
    <x v="10"/>
    <x v="3"/>
    <x v="7"/>
    <x v="2"/>
    <x v="97"/>
    <n v="740"/>
    <x v="4"/>
    <x v="0"/>
    <x v="2"/>
    <d v="2024-03-28T00:00:00"/>
    <n v="5"/>
  </r>
  <r>
    <s v="ORD00111"/>
    <d v="2024-02-05T00:00:00"/>
    <s v="C0065"/>
    <s v="Aditya Verma"/>
    <x v="0"/>
    <n v="49"/>
    <x v="2"/>
    <x v="0"/>
    <s v="P108"/>
    <x v="22"/>
    <x v="0"/>
    <x v="14"/>
    <x v="3"/>
    <x v="98"/>
    <n v="3240"/>
    <x v="7"/>
    <x v="4"/>
    <x v="3"/>
    <s v="NA"/>
    <s v="NA"/>
  </r>
  <r>
    <s v="ORD00112"/>
    <d v="2024-02-03T00:00:00"/>
    <s v="C0079"/>
    <s v="Vivaan Singh"/>
    <x v="0"/>
    <n v="22"/>
    <x v="3"/>
    <x v="2"/>
    <s v="P204"/>
    <x v="20"/>
    <x v="4"/>
    <x v="15"/>
    <x v="3"/>
    <x v="99"/>
    <n v="5610"/>
    <x v="1"/>
    <x v="3"/>
    <x v="3"/>
    <s v="NA"/>
    <s v="NA"/>
  </r>
  <r>
    <s v="ORD00113"/>
    <d v="2024-05-20T00:00:00"/>
    <s v="C0272"/>
    <s v="Aditya Gupta"/>
    <x v="0"/>
    <n v="46"/>
    <x v="15"/>
    <x v="8"/>
    <s v="P301"/>
    <x v="2"/>
    <x v="1"/>
    <x v="2"/>
    <x v="3"/>
    <x v="100"/>
    <n v="630"/>
    <x v="0"/>
    <x v="0"/>
    <x v="1"/>
    <d v="2024-05-22T00:00:00"/>
    <n v="3"/>
  </r>
  <r>
    <s v="ORD00114"/>
    <d v="2025-05-26T00:00:00"/>
    <s v="C0266"/>
    <s v="Suman Mehta"/>
    <x v="1"/>
    <n v="27"/>
    <x v="12"/>
    <x v="9"/>
    <s v="P402"/>
    <x v="18"/>
    <x v="3"/>
    <x v="7"/>
    <x v="4"/>
    <x v="101"/>
    <n v="510"/>
    <x v="0"/>
    <x v="1"/>
    <x v="0"/>
    <d v="2025-06-04T00:00:00"/>
    <n v="4"/>
  </r>
  <r>
    <s v="ORD00115"/>
    <d v="2025-09-18T00:00:00"/>
    <s v="C0147"/>
    <s v="Nisha Sharma"/>
    <x v="1"/>
    <n v="41"/>
    <x v="7"/>
    <x v="6"/>
    <s v="P107"/>
    <x v="5"/>
    <x v="0"/>
    <x v="4"/>
    <x v="4"/>
    <x v="102"/>
    <n v="920"/>
    <x v="6"/>
    <x v="3"/>
    <x v="1"/>
    <d v="2025-09-22T00:00:00"/>
    <n v="5"/>
  </r>
  <r>
    <s v="ORD00116"/>
    <d v="2024-03-30T00:00:00"/>
    <s v="C0164"/>
    <s v="Aditya Gupta"/>
    <x v="0"/>
    <n v="40"/>
    <x v="17"/>
    <x v="8"/>
    <s v="P503"/>
    <x v="7"/>
    <x v="2"/>
    <x v="5"/>
    <x v="4"/>
    <x v="103"/>
    <n v="790"/>
    <x v="0"/>
    <x v="1"/>
    <x v="2"/>
    <d v="2024-04-03T00:00:00"/>
    <n v="3"/>
  </r>
  <r>
    <s v="ORD00117"/>
    <d v="2025-01-05T00:00:00"/>
    <s v="C0261"/>
    <s v="Aman Sharma"/>
    <x v="0"/>
    <n v="40"/>
    <x v="6"/>
    <x v="5"/>
    <s v="P104"/>
    <x v="19"/>
    <x v="0"/>
    <x v="14"/>
    <x v="2"/>
    <x v="104"/>
    <n v="2460"/>
    <x v="6"/>
    <x v="0"/>
    <x v="2"/>
    <d v="2025-01-14T00:00:00"/>
    <n v="2"/>
  </r>
  <r>
    <s v="ORD00118"/>
    <d v="2025-01-04T00:00:00"/>
    <s v="C0284"/>
    <s v="Riya Sharma"/>
    <x v="1"/>
    <n v="23"/>
    <x v="15"/>
    <x v="8"/>
    <s v="P303"/>
    <x v="4"/>
    <x v="1"/>
    <x v="1"/>
    <x v="0"/>
    <x v="75"/>
    <n v="1650"/>
    <x v="6"/>
    <x v="2"/>
    <x v="1"/>
    <d v="2025-01-07T00:00:00"/>
    <n v="4"/>
  </r>
  <r>
    <s v="ORD00119"/>
    <d v="2025-02-11T00:00:00"/>
    <s v="C0246"/>
    <s v="Suman Sharma"/>
    <x v="1"/>
    <n v="19"/>
    <x v="8"/>
    <x v="7"/>
    <s v="P302"/>
    <x v="12"/>
    <x v="1"/>
    <x v="9"/>
    <x v="0"/>
    <x v="105"/>
    <n v="450"/>
    <x v="2"/>
    <x v="0"/>
    <x v="1"/>
    <d v="2025-02-23T00:00:00"/>
    <n v="3"/>
  </r>
  <r>
    <s v="ORD00120"/>
    <d v="2025-04-05T00:00:00"/>
    <s v="C0239"/>
    <s v="Vivaan Gupta"/>
    <x v="0"/>
    <n v="42"/>
    <x v="15"/>
    <x v="8"/>
    <s v="P105"/>
    <x v="21"/>
    <x v="0"/>
    <x v="16"/>
    <x v="0"/>
    <x v="106"/>
    <n v="9500"/>
    <x v="6"/>
    <x v="0"/>
    <x v="1"/>
    <d v="2025-04-15T00:00:00"/>
    <n v="2"/>
  </r>
  <r>
    <s v="ORD00121"/>
    <d v="2024-05-07T00:00:00"/>
    <s v="C0266"/>
    <s v="Suman Mehta"/>
    <x v="1"/>
    <n v="27"/>
    <x v="13"/>
    <x v="4"/>
    <s v="P202"/>
    <x v="13"/>
    <x v="4"/>
    <x v="8"/>
    <x v="2"/>
    <x v="22"/>
    <n v="8600"/>
    <x v="6"/>
    <x v="1"/>
    <x v="0"/>
    <d v="2024-05-12T00:00:00"/>
    <n v="4"/>
  </r>
  <r>
    <s v="ORD00122"/>
    <d v="2025-06-15T00:00:00"/>
    <s v="C0146"/>
    <s v="Aditya Mishra"/>
    <x v="0"/>
    <n v="27"/>
    <x v="2"/>
    <x v="0"/>
    <s v="P201"/>
    <x v="11"/>
    <x v="4"/>
    <x v="8"/>
    <x v="2"/>
    <x v="107"/>
    <n v="10200"/>
    <x v="0"/>
    <x v="0"/>
    <x v="0"/>
    <d v="2025-06-21T00:00:00"/>
    <n v="3"/>
  </r>
  <r>
    <s v="ORD00123"/>
    <d v="2025-05-29T00:00:00"/>
    <s v="C0087"/>
    <s v="Anjali Jain"/>
    <x v="1"/>
    <n v="44"/>
    <x v="13"/>
    <x v="4"/>
    <s v="P106"/>
    <x v="23"/>
    <x v="0"/>
    <x v="0"/>
    <x v="0"/>
    <x v="108"/>
    <n v="3550"/>
    <x v="7"/>
    <x v="2"/>
    <x v="1"/>
    <d v="2025-05-31T00:00:00"/>
    <n v="3"/>
  </r>
  <r>
    <s v="ORD00124"/>
    <d v="2024-02-16T00:00:00"/>
    <s v="C0296"/>
    <s v="Priya Mishra"/>
    <x v="1"/>
    <n v="55"/>
    <x v="14"/>
    <x v="1"/>
    <s v="P501"/>
    <x v="8"/>
    <x v="2"/>
    <x v="6"/>
    <x v="2"/>
    <x v="109"/>
    <n v="1860"/>
    <x v="3"/>
    <x v="2"/>
    <x v="0"/>
    <d v="2024-02-18T00:00:00"/>
    <n v="5"/>
  </r>
  <r>
    <s v="ORD00125"/>
    <d v="2025-10-04T00:00:00"/>
    <s v="C0280"/>
    <s v="Aarav Solanki"/>
    <x v="0"/>
    <n v="30"/>
    <x v="1"/>
    <x v="1"/>
    <s v="P501"/>
    <x v="8"/>
    <x v="2"/>
    <x v="6"/>
    <x v="3"/>
    <x v="110"/>
    <n v="2790"/>
    <x v="1"/>
    <x v="0"/>
    <x v="2"/>
    <d v="2025-10-16T00:00:00"/>
    <n v="5"/>
  </r>
  <r>
    <s v="ORD00126"/>
    <d v="2024-10-31T00:00:00"/>
    <s v="C0233"/>
    <s v="Vikas Patel"/>
    <x v="0"/>
    <n v="47"/>
    <x v="2"/>
    <x v="0"/>
    <s v="P503"/>
    <x v="7"/>
    <x v="2"/>
    <x v="5"/>
    <x v="4"/>
    <x v="111"/>
    <n v="790"/>
    <x v="6"/>
    <x v="4"/>
    <x v="1"/>
    <d v="2024-11-09T00:00:00"/>
    <n v="5"/>
  </r>
  <r>
    <s v="ORD00127"/>
    <d v="2024-07-27T00:00:00"/>
    <s v="C0175"/>
    <s v="Rashmi Solanki"/>
    <x v="1"/>
    <n v="30"/>
    <x v="13"/>
    <x v="4"/>
    <s v="P203"/>
    <x v="16"/>
    <x v="4"/>
    <x v="12"/>
    <x v="3"/>
    <x v="112"/>
    <n v="9150"/>
    <x v="7"/>
    <x v="4"/>
    <x v="1"/>
    <d v="2024-08-03T00:00:00"/>
    <n v="3"/>
  </r>
  <r>
    <s v="ORD00128"/>
    <d v="2024-11-22T00:00:00"/>
    <s v="C0124"/>
    <s v="Aman Verma"/>
    <x v="0"/>
    <n v="22"/>
    <x v="3"/>
    <x v="2"/>
    <s v="P104"/>
    <x v="19"/>
    <x v="0"/>
    <x v="14"/>
    <x v="3"/>
    <x v="104"/>
    <n v="3690"/>
    <x v="1"/>
    <x v="0"/>
    <x v="1"/>
    <d v="2024-11-25T00:00:00"/>
    <n v="2"/>
  </r>
  <r>
    <s v="ORD00129"/>
    <d v="2024-10-24T00:00:00"/>
    <s v="C0197"/>
    <s v="Aarav Sharma"/>
    <x v="0"/>
    <n v="33"/>
    <x v="8"/>
    <x v="7"/>
    <s v="P108"/>
    <x v="22"/>
    <x v="0"/>
    <x v="14"/>
    <x v="2"/>
    <x v="113"/>
    <n v="2160"/>
    <x v="7"/>
    <x v="2"/>
    <x v="0"/>
    <d v="2024-10-31T00:00:00"/>
    <n v="4"/>
  </r>
  <r>
    <s v="ORD00130"/>
    <d v="2024-06-12T00:00:00"/>
    <s v="C0256"/>
    <s v="Aman Joshi"/>
    <x v="0"/>
    <n v="42"/>
    <x v="3"/>
    <x v="2"/>
    <s v="P304"/>
    <x v="1"/>
    <x v="1"/>
    <x v="1"/>
    <x v="3"/>
    <x v="114"/>
    <n v="1560"/>
    <x v="1"/>
    <x v="3"/>
    <x v="1"/>
    <d v="2024-06-20T00:00:00"/>
    <n v="5"/>
  </r>
  <r>
    <s v="ORD00131"/>
    <d v="2024-09-03T00:00:00"/>
    <s v="C0111"/>
    <s v="Vivaan Solanki"/>
    <x v="0"/>
    <n v="23"/>
    <x v="15"/>
    <x v="8"/>
    <s v="P102"/>
    <x v="0"/>
    <x v="0"/>
    <x v="0"/>
    <x v="4"/>
    <x v="115"/>
    <n v="790"/>
    <x v="0"/>
    <x v="4"/>
    <x v="3"/>
    <s v="NA"/>
    <s v="NA"/>
  </r>
  <r>
    <s v="ORD00132"/>
    <d v="2025-10-31T00:00:00"/>
    <s v="C0241"/>
    <s v="Pooja Yadav"/>
    <x v="1"/>
    <n v="42"/>
    <x v="1"/>
    <x v="1"/>
    <s v="P402"/>
    <x v="18"/>
    <x v="3"/>
    <x v="7"/>
    <x v="4"/>
    <x v="116"/>
    <n v="510"/>
    <x v="2"/>
    <x v="4"/>
    <x v="1"/>
    <d v="2025-11-06T00:00:00"/>
    <n v="4"/>
  </r>
  <r>
    <s v="ORD00133"/>
    <d v="2025-02-16T00:00:00"/>
    <s v="C0188"/>
    <s v="Kavita Khan"/>
    <x v="1"/>
    <n v="56"/>
    <x v="0"/>
    <x v="0"/>
    <s v="P301"/>
    <x v="2"/>
    <x v="1"/>
    <x v="2"/>
    <x v="4"/>
    <x v="117"/>
    <n v="210"/>
    <x v="5"/>
    <x v="1"/>
    <x v="3"/>
    <s v="NA"/>
    <s v="NA"/>
  </r>
  <r>
    <s v="ORD00134"/>
    <d v="2024-10-22T00:00:00"/>
    <s v="C0038"/>
    <s v="Suman Mehta"/>
    <x v="1"/>
    <n v="43"/>
    <x v="12"/>
    <x v="9"/>
    <s v="P401"/>
    <x v="10"/>
    <x v="3"/>
    <x v="7"/>
    <x v="1"/>
    <x v="12"/>
    <n v="1480"/>
    <x v="0"/>
    <x v="2"/>
    <x v="0"/>
    <d v="2024-11-02T00:00:00"/>
    <n v="3"/>
  </r>
  <r>
    <s v="ORD00135"/>
    <d v="2024-05-11T00:00:00"/>
    <s v="C0050"/>
    <s v="Rashmi Gupta"/>
    <x v="1"/>
    <n v="53"/>
    <x v="12"/>
    <x v="9"/>
    <s v="P204"/>
    <x v="20"/>
    <x v="4"/>
    <x v="15"/>
    <x v="3"/>
    <x v="118"/>
    <n v="5610"/>
    <x v="7"/>
    <x v="0"/>
    <x v="1"/>
    <d v="2024-05-22T00:00:00"/>
    <n v="5"/>
  </r>
  <r>
    <s v="ORD00136"/>
    <d v="2025-05-27T00:00:00"/>
    <s v="C0021"/>
    <s v="Aman Singh"/>
    <x v="0"/>
    <n v="22"/>
    <x v="0"/>
    <x v="0"/>
    <s v="P102"/>
    <x v="0"/>
    <x v="0"/>
    <x v="0"/>
    <x v="2"/>
    <x v="119"/>
    <n v="1580"/>
    <x v="7"/>
    <x v="4"/>
    <x v="3"/>
    <s v="NA"/>
    <s v="NA"/>
  </r>
  <r>
    <s v="ORD00137"/>
    <d v="2025-04-12T00:00:00"/>
    <s v="C0077"/>
    <s v="Aman Singh"/>
    <x v="0"/>
    <n v="18"/>
    <x v="13"/>
    <x v="4"/>
    <s v="P203"/>
    <x v="16"/>
    <x v="4"/>
    <x v="12"/>
    <x v="0"/>
    <x v="120"/>
    <n v="15250"/>
    <x v="7"/>
    <x v="0"/>
    <x v="1"/>
    <d v="2025-04-23T00:00:00"/>
    <n v="4"/>
  </r>
  <r>
    <s v="ORD00138"/>
    <d v="2025-08-30T00:00:00"/>
    <s v="C0173"/>
    <s v="Mohit Gupta"/>
    <x v="0"/>
    <n v="20"/>
    <x v="7"/>
    <x v="6"/>
    <s v="P503"/>
    <x v="7"/>
    <x v="2"/>
    <x v="5"/>
    <x v="0"/>
    <x v="121"/>
    <n v="3950"/>
    <x v="0"/>
    <x v="4"/>
    <x v="2"/>
    <d v="2025-09-01T00:00:00"/>
    <n v="4"/>
  </r>
  <r>
    <s v="ORD00139"/>
    <d v="2024-12-05T00:00:00"/>
    <s v="C0057"/>
    <s v="Arjun Joshi"/>
    <x v="0"/>
    <n v="37"/>
    <x v="8"/>
    <x v="7"/>
    <s v="P403"/>
    <x v="17"/>
    <x v="3"/>
    <x v="13"/>
    <x v="3"/>
    <x v="80"/>
    <n v="2280"/>
    <x v="4"/>
    <x v="2"/>
    <x v="1"/>
    <d v="2024-12-11T00:00:00"/>
    <n v="4"/>
  </r>
  <r>
    <s v="ORD00140"/>
    <d v="2024-02-22T00:00:00"/>
    <s v="C0299"/>
    <s v="Kunal Yadav"/>
    <x v="0"/>
    <n v="29"/>
    <x v="7"/>
    <x v="6"/>
    <s v="P106"/>
    <x v="23"/>
    <x v="0"/>
    <x v="0"/>
    <x v="0"/>
    <x v="122"/>
    <n v="3550"/>
    <x v="3"/>
    <x v="0"/>
    <x v="2"/>
    <d v="2024-03-05T00:00:00"/>
    <n v="4"/>
  </r>
  <r>
    <s v="ORD00141"/>
    <d v="2024-02-02T00:00:00"/>
    <s v="C0294"/>
    <s v="Akash Patel"/>
    <x v="0"/>
    <n v="30"/>
    <x v="4"/>
    <x v="3"/>
    <s v="P107"/>
    <x v="5"/>
    <x v="0"/>
    <x v="4"/>
    <x v="4"/>
    <x v="123"/>
    <n v="920"/>
    <x v="1"/>
    <x v="1"/>
    <x v="1"/>
    <d v="2024-02-06T00:00:00"/>
    <n v="5"/>
  </r>
  <r>
    <s v="ORD00142"/>
    <d v="2025-12-08T00:00:00"/>
    <s v="C0105"/>
    <s v="Rohan Singh"/>
    <x v="0"/>
    <n v="36"/>
    <x v="8"/>
    <x v="7"/>
    <s v="P401"/>
    <x v="10"/>
    <x v="3"/>
    <x v="7"/>
    <x v="0"/>
    <x v="124"/>
    <n v="1850"/>
    <x v="1"/>
    <x v="3"/>
    <x v="0"/>
    <d v="2025-12-12T00:00:00"/>
    <n v="4"/>
  </r>
  <r>
    <s v="ORD00143"/>
    <d v="2025-07-28T00:00:00"/>
    <s v="C0167"/>
    <s v="Aarav Verma"/>
    <x v="0"/>
    <n v="34"/>
    <x v="7"/>
    <x v="0"/>
    <s v="P401"/>
    <x v="10"/>
    <x v="3"/>
    <x v="7"/>
    <x v="1"/>
    <x v="124"/>
    <n v="1480"/>
    <x v="7"/>
    <x v="0"/>
    <x v="1"/>
    <d v="2025-08-07T00:00:00"/>
    <n v="4"/>
  </r>
  <r>
    <s v="ORD00144"/>
    <d v="2025-07-13T00:00:00"/>
    <s v="C0182"/>
    <s v="Nisha Patel"/>
    <x v="1"/>
    <n v="30"/>
    <x v="14"/>
    <x v="1"/>
    <s v="P404"/>
    <x v="14"/>
    <x v="3"/>
    <x v="10"/>
    <x v="1"/>
    <x v="125"/>
    <n v="2440"/>
    <x v="5"/>
    <x v="0"/>
    <x v="1"/>
    <d v="2025-07-23T00:00:00"/>
    <n v="4"/>
  </r>
  <r>
    <s v="ORD00145"/>
    <d v="2024-08-18T00:00:00"/>
    <s v="C0153"/>
    <s v="Nisha Jain"/>
    <x v="1"/>
    <n v="57"/>
    <x v="1"/>
    <x v="1"/>
    <s v="P503"/>
    <x v="7"/>
    <x v="2"/>
    <x v="5"/>
    <x v="2"/>
    <x v="126"/>
    <n v="1580"/>
    <x v="1"/>
    <x v="1"/>
    <x v="1"/>
    <d v="2024-08-25T00:00:00"/>
    <n v="4"/>
  </r>
  <r>
    <s v="ORD00146"/>
    <d v="2024-10-21T00:00:00"/>
    <s v="C0063"/>
    <s v="Anjali Gupta"/>
    <x v="1"/>
    <n v="33"/>
    <x v="12"/>
    <x v="9"/>
    <s v="P301"/>
    <x v="2"/>
    <x v="1"/>
    <x v="2"/>
    <x v="3"/>
    <x v="127"/>
    <n v="630"/>
    <x v="6"/>
    <x v="1"/>
    <x v="1"/>
    <d v="2024-10-27T00:00:00"/>
    <n v="3"/>
  </r>
  <r>
    <s v="ORD00147"/>
    <d v="2024-12-20T00:00:00"/>
    <s v="C0227"/>
    <s v="Anjali Gupta"/>
    <x v="1"/>
    <n v="42"/>
    <x v="14"/>
    <x v="1"/>
    <s v="P504"/>
    <x v="15"/>
    <x v="2"/>
    <x v="11"/>
    <x v="1"/>
    <x v="128"/>
    <n v="6480"/>
    <x v="5"/>
    <x v="0"/>
    <x v="2"/>
    <d v="2024-12-30T00:00:00"/>
    <n v="4"/>
  </r>
  <r>
    <s v="ORD00148"/>
    <d v="2025-07-29T00:00:00"/>
    <s v="C0140"/>
    <s v="Suman Jain"/>
    <x v="1"/>
    <n v="35"/>
    <x v="13"/>
    <x v="4"/>
    <s v="P104"/>
    <x v="19"/>
    <x v="0"/>
    <x v="14"/>
    <x v="0"/>
    <x v="129"/>
    <n v="6150"/>
    <x v="5"/>
    <x v="0"/>
    <x v="1"/>
    <d v="2025-08-10T00:00:00"/>
    <n v="4"/>
  </r>
  <r>
    <s v="ORD00149"/>
    <d v="2025-10-15T00:00:00"/>
    <s v="C0120"/>
    <s v="Kunal Gupta"/>
    <x v="0"/>
    <n v="43"/>
    <x v="0"/>
    <x v="0"/>
    <s v="P104"/>
    <x v="19"/>
    <x v="0"/>
    <x v="14"/>
    <x v="1"/>
    <x v="130"/>
    <n v="4920"/>
    <x v="7"/>
    <x v="4"/>
    <x v="1"/>
    <d v="2025-10-27T00:00:00"/>
    <n v="3"/>
  </r>
  <r>
    <s v="ORD00150"/>
    <d v="2024-01-06T00:00:00"/>
    <s v="C0282"/>
    <s v="Muskan Solanki"/>
    <x v="1"/>
    <n v="33"/>
    <x v="5"/>
    <x v="4"/>
    <s v="P302"/>
    <x v="12"/>
    <x v="1"/>
    <x v="9"/>
    <x v="1"/>
    <x v="94"/>
    <n v="360"/>
    <x v="1"/>
    <x v="0"/>
    <x v="2"/>
    <d v="2024-01-12T00:00:00"/>
    <n v="4"/>
  </r>
  <r>
    <s v="ORD00151"/>
    <d v="2024-10-19T00:00:00"/>
    <s v="C0031"/>
    <s v="Rahul Mehta"/>
    <x v="0"/>
    <n v="42"/>
    <x v="2"/>
    <x v="0"/>
    <s v="P501"/>
    <x v="8"/>
    <x v="2"/>
    <x v="6"/>
    <x v="0"/>
    <x v="131"/>
    <n v="4650"/>
    <x v="5"/>
    <x v="2"/>
    <x v="0"/>
    <d v="2024-10-21T00:00:00"/>
    <n v="3"/>
  </r>
  <r>
    <s v="ORD00152"/>
    <d v="2025-03-03T00:00:00"/>
    <s v="C0091"/>
    <s v="Arjun Singh"/>
    <x v="0"/>
    <n v="30"/>
    <x v="0"/>
    <x v="0"/>
    <s v="P301"/>
    <x v="2"/>
    <x v="1"/>
    <x v="2"/>
    <x v="1"/>
    <x v="132"/>
    <n v="840"/>
    <x v="6"/>
    <x v="1"/>
    <x v="1"/>
    <d v="2025-03-05T00:00:00"/>
    <n v="4"/>
  </r>
  <r>
    <s v="ORD00153"/>
    <d v="2025-08-04T00:00:00"/>
    <s v="C0055"/>
    <s v="Riya Sharma"/>
    <x v="1"/>
    <n v="34"/>
    <x v="9"/>
    <x v="8"/>
    <s v="P202"/>
    <x v="13"/>
    <x v="4"/>
    <x v="8"/>
    <x v="1"/>
    <x v="133"/>
    <n v="17200"/>
    <x v="1"/>
    <x v="0"/>
    <x v="2"/>
    <d v="2025-08-14T00:00:00"/>
    <n v="5"/>
  </r>
  <r>
    <s v="ORD00154"/>
    <d v="2024-10-06T00:00:00"/>
    <s v="C0099"/>
    <s v="Muskan Singh"/>
    <x v="1"/>
    <n v="43"/>
    <x v="4"/>
    <x v="3"/>
    <s v="P203"/>
    <x v="16"/>
    <x v="4"/>
    <x v="12"/>
    <x v="2"/>
    <x v="134"/>
    <n v="6100"/>
    <x v="1"/>
    <x v="1"/>
    <x v="0"/>
    <d v="2024-10-10T00:00:00"/>
    <n v="2"/>
  </r>
  <r>
    <s v="ORD00155"/>
    <d v="2024-12-11T00:00:00"/>
    <s v="C0152"/>
    <s v="Reena Verma"/>
    <x v="1"/>
    <n v="40"/>
    <x v="10"/>
    <x v="5"/>
    <s v="P106"/>
    <x v="23"/>
    <x v="0"/>
    <x v="0"/>
    <x v="0"/>
    <x v="122"/>
    <n v="3550"/>
    <x v="3"/>
    <x v="4"/>
    <x v="3"/>
    <s v="NA"/>
    <s v="NA"/>
  </r>
  <r>
    <s v="ORD00156"/>
    <d v="2024-12-01T00:00:00"/>
    <s v="C0045"/>
    <s v="Rashmi Mehta"/>
    <x v="1"/>
    <n v="23"/>
    <x v="12"/>
    <x v="9"/>
    <s v="P502"/>
    <x v="9"/>
    <x v="2"/>
    <x v="5"/>
    <x v="4"/>
    <x v="135"/>
    <n v="420"/>
    <x v="6"/>
    <x v="0"/>
    <x v="1"/>
    <d v="2024-12-08T00:00:00"/>
    <n v="4"/>
  </r>
  <r>
    <s v="ORD00157"/>
    <d v="2024-01-07T00:00:00"/>
    <s v="C0134"/>
    <s v="Arjun Mishra"/>
    <x v="0"/>
    <n v="53"/>
    <x v="12"/>
    <x v="9"/>
    <s v="P108"/>
    <x v="22"/>
    <x v="0"/>
    <x v="14"/>
    <x v="1"/>
    <x v="136"/>
    <n v="4320"/>
    <x v="0"/>
    <x v="1"/>
    <x v="1"/>
    <d v="2024-01-18T00:00:00"/>
    <n v="2"/>
  </r>
  <r>
    <s v="ORD00158"/>
    <d v="2024-09-24T00:00:00"/>
    <s v="C0185"/>
    <s v="Deepak Khan"/>
    <x v="0"/>
    <n v="37"/>
    <x v="6"/>
    <x v="5"/>
    <s v="P102"/>
    <x v="0"/>
    <x v="0"/>
    <x v="0"/>
    <x v="4"/>
    <x v="137"/>
    <n v="790"/>
    <x v="1"/>
    <x v="1"/>
    <x v="1"/>
    <d v="2024-10-02T00:00:00"/>
    <n v="4"/>
  </r>
  <r>
    <s v="ORD00159"/>
    <d v="2025-12-07T00:00:00"/>
    <s v="C0061"/>
    <s v="Aarav Khan"/>
    <x v="0"/>
    <n v="38"/>
    <x v="1"/>
    <x v="1"/>
    <s v="P204"/>
    <x v="20"/>
    <x v="4"/>
    <x v="15"/>
    <x v="0"/>
    <x v="138"/>
    <n v="9350"/>
    <x v="5"/>
    <x v="0"/>
    <x v="1"/>
    <d v="2025-12-16T00:00:00"/>
    <n v="3"/>
  </r>
  <r>
    <s v="ORD00160"/>
    <d v="2025-04-10T00:00:00"/>
    <s v="C0192"/>
    <s v="Reena Verma"/>
    <x v="1"/>
    <n v="36"/>
    <x v="8"/>
    <x v="7"/>
    <s v="P503"/>
    <x v="7"/>
    <x v="2"/>
    <x v="5"/>
    <x v="0"/>
    <x v="139"/>
    <n v="3950"/>
    <x v="1"/>
    <x v="2"/>
    <x v="2"/>
    <d v="2025-04-22T00:00:00"/>
    <n v="4"/>
  </r>
  <r>
    <s v="ORD00161"/>
    <d v="2024-09-10T00:00:00"/>
    <s v="C0042"/>
    <s v="Priya Mishra"/>
    <x v="1"/>
    <n v="55"/>
    <x v="3"/>
    <x v="2"/>
    <s v="P401"/>
    <x v="10"/>
    <x v="3"/>
    <x v="7"/>
    <x v="3"/>
    <x v="88"/>
    <n v="1110"/>
    <x v="2"/>
    <x v="2"/>
    <x v="1"/>
    <d v="2024-09-12T00:00:00"/>
    <n v="4"/>
  </r>
  <r>
    <s v="ORD00162"/>
    <d v="2025-08-09T00:00:00"/>
    <s v="C0275"/>
    <s v="Pooja Sharma"/>
    <x v="1"/>
    <n v="49"/>
    <x v="13"/>
    <x v="4"/>
    <s v="P106"/>
    <x v="23"/>
    <x v="0"/>
    <x v="0"/>
    <x v="3"/>
    <x v="140"/>
    <n v="2130"/>
    <x v="1"/>
    <x v="3"/>
    <x v="0"/>
    <d v="2025-08-14T00:00:00"/>
    <n v="5"/>
  </r>
  <r>
    <s v="ORD00163"/>
    <d v="2024-04-03T00:00:00"/>
    <s v="C0262"/>
    <s v="Nisha Jain"/>
    <x v="1"/>
    <n v="41"/>
    <x v="3"/>
    <x v="2"/>
    <s v="P102"/>
    <x v="0"/>
    <x v="0"/>
    <x v="0"/>
    <x v="1"/>
    <x v="141"/>
    <n v="3160"/>
    <x v="6"/>
    <x v="2"/>
    <x v="1"/>
    <d v="2024-04-12T00:00:00"/>
    <n v="2"/>
  </r>
  <r>
    <s v="ORD00164"/>
    <d v="2025-07-26T00:00:00"/>
    <s v="C0237"/>
    <s v="Aditya Joshi"/>
    <x v="0"/>
    <n v="45"/>
    <x v="1"/>
    <x v="1"/>
    <s v="P504"/>
    <x v="15"/>
    <x v="2"/>
    <x v="11"/>
    <x v="4"/>
    <x v="142"/>
    <n v="1620"/>
    <x v="3"/>
    <x v="1"/>
    <x v="2"/>
    <d v="2025-07-28T00:00:00"/>
    <n v="4"/>
  </r>
  <r>
    <s v="ORD00165"/>
    <d v="2025-08-15T00:00:00"/>
    <s v="C0038"/>
    <s v="Suman Mehta"/>
    <x v="1"/>
    <n v="43"/>
    <x v="0"/>
    <x v="0"/>
    <s v="P302"/>
    <x v="12"/>
    <x v="1"/>
    <x v="9"/>
    <x v="3"/>
    <x v="143"/>
    <n v="270"/>
    <x v="2"/>
    <x v="2"/>
    <x v="1"/>
    <d v="2025-08-18T00:00:00"/>
    <n v="5"/>
  </r>
  <r>
    <s v="ORD00166"/>
    <d v="2024-02-02T00:00:00"/>
    <s v="C0147"/>
    <s v="Nisha Sharma"/>
    <x v="1"/>
    <n v="41"/>
    <x v="8"/>
    <x v="7"/>
    <s v="P106"/>
    <x v="23"/>
    <x v="0"/>
    <x v="0"/>
    <x v="2"/>
    <x v="144"/>
    <n v="1420"/>
    <x v="3"/>
    <x v="1"/>
    <x v="1"/>
    <d v="2024-02-11T00:00:00"/>
    <n v="5"/>
  </r>
  <r>
    <s v="ORD00167"/>
    <d v="2025-01-19T00:00:00"/>
    <s v="C0042"/>
    <s v="Priya Mishra"/>
    <x v="1"/>
    <n v="55"/>
    <x v="16"/>
    <x v="4"/>
    <s v="P501"/>
    <x v="8"/>
    <x v="2"/>
    <x v="6"/>
    <x v="3"/>
    <x v="76"/>
    <n v="2790"/>
    <x v="2"/>
    <x v="0"/>
    <x v="3"/>
    <s v="NA"/>
    <s v="NA"/>
  </r>
  <r>
    <s v="ORD00168"/>
    <d v="2025-02-06T00:00:00"/>
    <s v="C0271"/>
    <s v="Priya Yadav"/>
    <x v="1"/>
    <n v="33"/>
    <x v="13"/>
    <x v="4"/>
    <s v="P504"/>
    <x v="15"/>
    <x v="2"/>
    <x v="11"/>
    <x v="2"/>
    <x v="145"/>
    <n v="3240"/>
    <x v="4"/>
    <x v="3"/>
    <x v="1"/>
    <d v="2025-02-15T00:00:00"/>
    <n v="5"/>
  </r>
  <r>
    <s v="ORD00169"/>
    <d v="2025-06-28T00:00:00"/>
    <s v="C0195"/>
    <s v="Kunal Joshi"/>
    <x v="0"/>
    <n v="37"/>
    <x v="6"/>
    <x v="5"/>
    <s v="P108"/>
    <x v="22"/>
    <x v="0"/>
    <x v="14"/>
    <x v="1"/>
    <x v="146"/>
    <n v="4320"/>
    <x v="7"/>
    <x v="0"/>
    <x v="1"/>
    <d v="2025-07-03T00:00:00"/>
    <n v="3"/>
  </r>
  <r>
    <s v="ORD00170"/>
    <d v="2024-02-02T00:00:00"/>
    <s v="C0215"/>
    <s v="Priya Mehta"/>
    <x v="1"/>
    <n v="22"/>
    <x v="11"/>
    <x v="0"/>
    <s v="P108"/>
    <x v="22"/>
    <x v="0"/>
    <x v="14"/>
    <x v="2"/>
    <x v="147"/>
    <n v="2160"/>
    <x v="2"/>
    <x v="3"/>
    <x v="3"/>
    <s v="NA"/>
    <s v="NA"/>
  </r>
  <r>
    <s v="ORD00171"/>
    <d v="2024-02-04T00:00:00"/>
    <s v="C0229"/>
    <s v="Deepak Singh"/>
    <x v="0"/>
    <n v="49"/>
    <x v="0"/>
    <x v="0"/>
    <s v="P108"/>
    <x v="22"/>
    <x v="0"/>
    <x v="14"/>
    <x v="4"/>
    <x v="148"/>
    <n v="1080"/>
    <x v="3"/>
    <x v="4"/>
    <x v="1"/>
    <d v="2024-02-14T00:00:00"/>
    <n v="4"/>
  </r>
  <r>
    <s v="ORD00172"/>
    <d v="2024-02-27T00:00:00"/>
    <s v="C0072"/>
    <s v="Reena Joshi"/>
    <x v="1"/>
    <n v="41"/>
    <x v="1"/>
    <x v="1"/>
    <s v="P108"/>
    <x v="22"/>
    <x v="0"/>
    <x v="14"/>
    <x v="0"/>
    <x v="149"/>
    <n v="5400"/>
    <x v="7"/>
    <x v="2"/>
    <x v="3"/>
    <s v="NA"/>
    <s v="NA"/>
  </r>
  <r>
    <s v="ORD00173"/>
    <d v="2025-11-19T00:00:00"/>
    <s v="C0165"/>
    <s v="Suman Solanki"/>
    <x v="1"/>
    <n v="43"/>
    <x v="6"/>
    <x v="5"/>
    <s v="P202"/>
    <x v="13"/>
    <x v="4"/>
    <x v="8"/>
    <x v="2"/>
    <x v="150"/>
    <n v="8600"/>
    <x v="5"/>
    <x v="4"/>
    <x v="1"/>
    <d v="2025-11-25T00:00:00"/>
    <n v="2"/>
  </r>
  <r>
    <s v="ORD00174"/>
    <d v="2025-07-24T00:00:00"/>
    <s v="C0090"/>
    <s v="Vivaan Jain"/>
    <x v="0"/>
    <n v="39"/>
    <x v="8"/>
    <x v="7"/>
    <s v="P402"/>
    <x v="18"/>
    <x v="3"/>
    <x v="7"/>
    <x v="1"/>
    <x v="151"/>
    <n v="2040"/>
    <x v="4"/>
    <x v="1"/>
    <x v="0"/>
    <d v="2025-08-05T00:00:00"/>
    <n v="5"/>
  </r>
  <r>
    <s v="ORD00175"/>
    <d v="2025-06-21T00:00:00"/>
    <s v="C0164"/>
    <s v="Aditya Gupta"/>
    <x v="0"/>
    <n v="40"/>
    <x v="8"/>
    <x v="7"/>
    <s v="P302"/>
    <x v="12"/>
    <x v="1"/>
    <x v="9"/>
    <x v="2"/>
    <x v="152"/>
    <n v="180"/>
    <x v="0"/>
    <x v="4"/>
    <x v="1"/>
    <d v="2025-07-01T00:00:00"/>
    <n v="5"/>
  </r>
  <r>
    <s v="ORD00176"/>
    <d v="2024-09-03T00:00:00"/>
    <s v="C0116"/>
    <s v="Vivaan Khan"/>
    <x v="0"/>
    <n v="23"/>
    <x v="1"/>
    <x v="1"/>
    <s v="P503"/>
    <x v="7"/>
    <x v="2"/>
    <x v="5"/>
    <x v="2"/>
    <x v="126"/>
    <n v="1580"/>
    <x v="1"/>
    <x v="3"/>
    <x v="3"/>
    <s v="NA"/>
    <s v="NA"/>
  </r>
  <r>
    <s v="ORD00177"/>
    <d v="2025-02-26T00:00:00"/>
    <s v="C0214"/>
    <s v="Muskan Joshi"/>
    <x v="1"/>
    <n v="33"/>
    <x v="13"/>
    <x v="4"/>
    <s v="P301"/>
    <x v="2"/>
    <x v="1"/>
    <x v="2"/>
    <x v="2"/>
    <x v="153"/>
    <n v="420"/>
    <x v="0"/>
    <x v="0"/>
    <x v="1"/>
    <d v="2025-03-10T00:00:00"/>
    <n v="3"/>
  </r>
  <r>
    <s v="ORD00178"/>
    <d v="2025-04-05T00:00:00"/>
    <s v="C0190"/>
    <s v="Riya Mehta"/>
    <x v="1"/>
    <n v="31"/>
    <x v="2"/>
    <x v="0"/>
    <s v="P402"/>
    <x v="18"/>
    <x v="3"/>
    <x v="7"/>
    <x v="2"/>
    <x v="154"/>
    <n v="1020"/>
    <x v="4"/>
    <x v="1"/>
    <x v="1"/>
    <d v="2025-04-17T00:00:00"/>
    <n v="2"/>
  </r>
  <r>
    <s v="ORD00179"/>
    <d v="2024-03-15T00:00:00"/>
    <s v="C0097"/>
    <s v="Aarav Verma"/>
    <x v="0"/>
    <n v="33"/>
    <x v="10"/>
    <x v="5"/>
    <s v="P304"/>
    <x v="1"/>
    <x v="1"/>
    <x v="1"/>
    <x v="2"/>
    <x v="155"/>
    <n v="1040"/>
    <x v="7"/>
    <x v="1"/>
    <x v="1"/>
    <d v="2024-03-20T00:00:00"/>
    <n v="4"/>
  </r>
  <r>
    <s v="ORD00180"/>
    <d v="2024-04-30T00:00:00"/>
    <s v="C0246"/>
    <s v="Suman Sharma"/>
    <x v="1"/>
    <n v="19"/>
    <x v="6"/>
    <x v="5"/>
    <s v="P503"/>
    <x v="7"/>
    <x v="2"/>
    <x v="5"/>
    <x v="0"/>
    <x v="156"/>
    <n v="3950"/>
    <x v="5"/>
    <x v="4"/>
    <x v="1"/>
    <d v="2024-05-10T00:00:00"/>
    <n v="4"/>
  </r>
  <r>
    <s v="ORD00181"/>
    <d v="2024-10-16T00:00:00"/>
    <s v="C0195"/>
    <s v="Kunal Joshi"/>
    <x v="0"/>
    <n v="15"/>
    <x v="3"/>
    <x v="2"/>
    <s v="P402"/>
    <x v="18"/>
    <x v="3"/>
    <x v="7"/>
    <x v="3"/>
    <x v="1"/>
    <n v="1530"/>
    <x v="0"/>
    <x v="1"/>
    <x v="1"/>
    <d v="2024-10-26T00:00:00"/>
    <n v="5"/>
  </r>
  <r>
    <s v="ORD00182"/>
    <d v="2025-04-22T00:00:00"/>
    <s v="C0051"/>
    <s v="Aarav Joshi"/>
    <x v="0"/>
    <n v="25"/>
    <x v="7"/>
    <x v="6"/>
    <s v="P203"/>
    <x v="16"/>
    <x v="4"/>
    <x v="12"/>
    <x v="2"/>
    <x v="157"/>
    <n v="6100"/>
    <x v="7"/>
    <x v="1"/>
    <x v="1"/>
    <d v="2025-04-24T00:00:00"/>
    <n v="4"/>
  </r>
  <r>
    <s v="ORD00183"/>
    <d v="2024-05-29T00:00:00"/>
    <s v="C0009"/>
    <s v="Mohit Mishra"/>
    <x v="0"/>
    <n v="52"/>
    <x v="14"/>
    <x v="1"/>
    <s v="P402"/>
    <x v="18"/>
    <x v="3"/>
    <x v="7"/>
    <x v="0"/>
    <x v="158"/>
    <n v="2550"/>
    <x v="3"/>
    <x v="1"/>
    <x v="1"/>
    <d v="2024-06-03T00:00:00"/>
    <n v="4"/>
  </r>
  <r>
    <s v="ORD00184"/>
    <d v="2024-08-23T00:00:00"/>
    <s v="C0195"/>
    <s v="Kunal Joshi"/>
    <x v="0"/>
    <n v="37"/>
    <x v="6"/>
    <x v="5"/>
    <s v="P304"/>
    <x v="1"/>
    <x v="1"/>
    <x v="1"/>
    <x v="0"/>
    <x v="159"/>
    <n v="2600"/>
    <x v="7"/>
    <x v="1"/>
    <x v="2"/>
    <d v="2024-09-01T00:00:00"/>
    <n v="5"/>
  </r>
  <r>
    <s v="ORD00185"/>
    <d v="2025-04-16T00:00:00"/>
    <s v="C0087"/>
    <s v="Anjali Jain"/>
    <x v="1"/>
    <n v="44"/>
    <x v="15"/>
    <x v="8"/>
    <s v="P106"/>
    <x v="23"/>
    <x v="0"/>
    <x v="0"/>
    <x v="2"/>
    <x v="160"/>
    <n v="1420"/>
    <x v="1"/>
    <x v="0"/>
    <x v="3"/>
    <s v="NA"/>
    <s v="NA"/>
  </r>
  <r>
    <s v="ORD00186"/>
    <d v="2025-10-19T00:00:00"/>
    <s v="C0031"/>
    <s v="Rahul Mehta"/>
    <x v="0"/>
    <n v="42"/>
    <x v="0"/>
    <x v="0"/>
    <s v="P103"/>
    <x v="3"/>
    <x v="0"/>
    <x v="3"/>
    <x v="4"/>
    <x v="161"/>
    <n v="410"/>
    <x v="4"/>
    <x v="4"/>
    <x v="1"/>
    <d v="2025-10-31T00:00:00"/>
    <n v="4"/>
  </r>
  <r>
    <s v="ORD00187"/>
    <d v="2024-03-10T00:00:00"/>
    <s v="C0078"/>
    <s v="Aditya Mishra"/>
    <x v="0"/>
    <n v="58"/>
    <x v="11"/>
    <x v="0"/>
    <s v="P107"/>
    <x v="5"/>
    <x v="0"/>
    <x v="4"/>
    <x v="0"/>
    <x v="162"/>
    <n v="4600"/>
    <x v="1"/>
    <x v="1"/>
    <x v="1"/>
    <d v="2024-03-21T00:00:00"/>
    <n v="5"/>
  </r>
  <r>
    <s v="ORD00188"/>
    <d v="2025-11-06T00:00:00"/>
    <s v="C0250"/>
    <s v="Aman Singh"/>
    <x v="0"/>
    <n v="47"/>
    <x v="11"/>
    <x v="0"/>
    <s v="P101"/>
    <x v="6"/>
    <x v="0"/>
    <x v="0"/>
    <x v="0"/>
    <x v="42"/>
    <n v="2350"/>
    <x v="3"/>
    <x v="3"/>
    <x v="1"/>
    <d v="2025-11-16T00:00:00"/>
    <n v="4"/>
  </r>
  <r>
    <s v="ORD00189"/>
    <d v="2025-07-02T00:00:00"/>
    <s v="C0147"/>
    <s v="Nisha Sharma"/>
    <x v="1"/>
    <n v="41"/>
    <x v="11"/>
    <x v="0"/>
    <s v="P401"/>
    <x v="10"/>
    <x v="3"/>
    <x v="7"/>
    <x v="1"/>
    <x v="30"/>
    <n v="1480"/>
    <x v="6"/>
    <x v="3"/>
    <x v="1"/>
    <d v="2025-07-12T00:00:00"/>
    <n v="3"/>
  </r>
  <r>
    <s v="ORD00190"/>
    <d v="2024-09-03T00:00:00"/>
    <s v="C0099"/>
    <s v="Muskan Singh"/>
    <x v="1"/>
    <n v="43"/>
    <x v="14"/>
    <x v="1"/>
    <s v="P204"/>
    <x v="20"/>
    <x v="4"/>
    <x v="15"/>
    <x v="3"/>
    <x v="163"/>
    <n v="5610"/>
    <x v="3"/>
    <x v="3"/>
    <x v="1"/>
    <d v="2024-09-11T00:00:00"/>
    <n v="5"/>
  </r>
  <r>
    <s v="ORD00191"/>
    <d v="2025-08-01T00:00:00"/>
    <s v="C0125"/>
    <s v="Nisha Singh"/>
    <x v="1"/>
    <n v="50"/>
    <x v="6"/>
    <x v="5"/>
    <s v="P202"/>
    <x v="13"/>
    <x v="4"/>
    <x v="8"/>
    <x v="4"/>
    <x v="164"/>
    <n v="4300"/>
    <x v="4"/>
    <x v="3"/>
    <x v="1"/>
    <d v="2025-08-09T00:00:00"/>
    <n v="5"/>
  </r>
  <r>
    <s v="ORD00192"/>
    <d v="2025-07-19T00:00:00"/>
    <s v="C0244"/>
    <s v="Vikas Solanki"/>
    <x v="0"/>
    <n v="21"/>
    <x v="0"/>
    <x v="0"/>
    <s v="P501"/>
    <x v="8"/>
    <x v="2"/>
    <x v="6"/>
    <x v="4"/>
    <x v="165"/>
    <n v="930"/>
    <x v="6"/>
    <x v="3"/>
    <x v="1"/>
    <d v="2025-07-27T00:00:00"/>
    <n v="4"/>
  </r>
  <r>
    <s v="ORD00193"/>
    <d v="2025-08-02T00:00:00"/>
    <s v="C0049"/>
    <s v="Sneha Khan"/>
    <x v="1"/>
    <n v="47"/>
    <x v="0"/>
    <x v="0"/>
    <s v="P108"/>
    <x v="22"/>
    <x v="0"/>
    <x v="14"/>
    <x v="2"/>
    <x v="166"/>
    <n v="2160"/>
    <x v="1"/>
    <x v="1"/>
    <x v="1"/>
    <d v="2025-08-05T00:00:00"/>
    <n v="4"/>
  </r>
  <r>
    <s v="ORD00194"/>
    <d v="2025-07-10T00:00:00"/>
    <s v="C0289"/>
    <s v="Anjali Jain"/>
    <x v="1"/>
    <n v="53"/>
    <x v="0"/>
    <x v="0"/>
    <s v="P106"/>
    <x v="23"/>
    <x v="0"/>
    <x v="0"/>
    <x v="3"/>
    <x v="167"/>
    <n v="2130"/>
    <x v="4"/>
    <x v="0"/>
    <x v="3"/>
    <s v="NA"/>
    <s v="NA"/>
  </r>
  <r>
    <s v="ORD00195"/>
    <d v="2024-05-27T00:00:00"/>
    <s v="C0204"/>
    <s v="Rahul Mishra"/>
    <x v="0"/>
    <n v="51"/>
    <x v="2"/>
    <x v="0"/>
    <s v="P202"/>
    <x v="13"/>
    <x v="4"/>
    <x v="8"/>
    <x v="2"/>
    <x v="150"/>
    <n v="8600"/>
    <x v="5"/>
    <x v="2"/>
    <x v="2"/>
    <d v="2024-06-04T00:00:00"/>
    <n v="4"/>
  </r>
  <r>
    <s v="ORD00196"/>
    <d v="2025-01-28T00:00:00"/>
    <s v="C0072"/>
    <s v="Reena Joshi"/>
    <x v="1"/>
    <n v="41"/>
    <x v="2"/>
    <x v="0"/>
    <s v="P401"/>
    <x v="10"/>
    <x v="3"/>
    <x v="7"/>
    <x v="3"/>
    <x v="124"/>
    <n v="1110"/>
    <x v="4"/>
    <x v="3"/>
    <x v="1"/>
    <d v="2025-02-02T00:00:00"/>
    <n v="3"/>
  </r>
  <r>
    <s v="ORD00197"/>
    <d v="2024-12-14T00:00:00"/>
    <s v="C0204"/>
    <s v="Rahul Mishra"/>
    <x v="0"/>
    <n v="51"/>
    <x v="9"/>
    <x v="8"/>
    <s v="P101"/>
    <x v="6"/>
    <x v="0"/>
    <x v="0"/>
    <x v="3"/>
    <x v="168"/>
    <n v="1410"/>
    <x v="1"/>
    <x v="4"/>
    <x v="1"/>
    <d v="2024-12-21T00:00:00"/>
    <n v="5"/>
  </r>
  <r>
    <s v="ORD00198"/>
    <d v="2025-03-18T00:00:00"/>
    <s v="C0096"/>
    <s v="Arjun Sharma"/>
    <x v="0"/>
    <n v="52"/>
    <x v="12"/>
    <x v="9"/>
    <s v="P103"/>
    <x v="3"/>
    <x v="0"/>
    <x v="3"/>
    <x v="0"/>
    <x v="169"/>
    <n v="2050"/>
    <x v="0"/>
    <x v="0"/>
    <x v="0"/>
    <d v="2025-03-21T00:00:00"/>
    <n v="3"/>
  </r>
  <r>
    <s v="ORD00199"/>
    <d v="2024-10-01T00:00:00"/>
    <s v="C0079"/>
    <s v="Vivaan Singh"/>
    <x v="0"/>
    <n v="22"/>
    <x v="12"/>
    <x v="9"/>
    <s v="P503"/>
    <x v="7"/>
    <x v="2"/>
    <x v="5"/>
    <x v="2"/>
    <x v="170"/>
    <n v="1580"/>
    <x v="3"/>
    <x v="1"/>
    <x v="1"/>
    <d v="2024-10-04T00:00:00"/>
    <n v="3"/>
  </r>
  <r>
    <s v="ORD00201"/>
    <d v="2025-04-04T00:00:00"/>
    <s v="C0286"/>
    <s v="Akash Singh"/>
    <x v="0"/>
    <n v="37"/>
    <x v="8"/>
    <x v="7"/>
    <s v="P104"/>
    <x v="19"/>
    <x v="0"/>
    <x v="14"/>
    <x v="4"/>
    <x v="171"/>
    <n v="1230"/>
    <x v="2"/>
    <x v="1"/>
    <x v="3"/>
    <s v="NA"/>
    <s v="NA"/>
  </r>
  <r>
    <s v="ORD00202"/>
    <d v="2024-04-05T00:00:00"/>
    <s v="C0167"/>
    <s v="Aarav Verma"/>
    <x v="0"/>
    <n v="34"/>
    <x v="12"/>
    <x v="9"/>
    <s v="P101"/>
    <x v="6"/>
    <x v="0"/>
    <x v="0"/>
    <x v="3"/>
    <x v="172"/>
    <n v="1410"/>
    <x v="3"/>
    <x v="4"/>
    <x v="2"/>
    <d v="2024-04-08T00:00:00"/>
    <n v="4"/>
  </r>
  <r>
    <s v="ORD00203"/>
    <d v="2025-08-08T00:00:00"/>
    <s v="C0267"/>
    <s v="Kavita Patel"/>
    <x v="1"/>
    <n v="51"/>
    <x v="5"/>
    <x v="4"/>
    <s v="P502"/>
    <x v="9"/>
    <x v="2"/>
    <x v="5"/>
    <x v="1"/>
    <x v="173"/>
    <n v="1680"/>
    <x v="6"/>
    <x v="0"/>
    <x v="1"/>
    <d v="2025-08-14T00:00:00"/>
    <n v="4"/>
  </r>
  <r>
    <s v="ORD00204"/>
    <d v="2025-05-19T00:00:00"/>
    <s v="C0075"/>
    <s v="Aditya Yadav"/>
    <x v="0"/>
    <n v="19"/>
    <x v="2"/>
    <x v="0"/>
    <s v="P106"/>
    <x v="23"/>
    <x v="0"/>
    <x v="0"/>
    <x v="1"/>
    <x v="174"/>
    <n v="2840"/>
    <x v="0"/>
    <x v="4"/>
    <x v="1"/>
    <d v="2025-05-28T00:00:00"/>
    <n v="3"/>
  </r>
  <r>
    <s v="ORD00205"/>
    <d v="2025-01-04T00:00:00"/>
    <s v="C0129"/>
    <s v="Nisha Mishra"/>
    <x v="1"/>
    <n v="37"/>
    <x v="6"/>
    <x v="5"/>
    <s v="P504"/>
    <x v="15"/>
    <x v="2"/>
    <x v="11"/>
    <x v="1"/>
    <x v="128"/>
    <n v="6480"/>
    <x v="5"/>
    <x v="4"/>
    <x v="1"/>
    <d v="2025-01-08T00:00:00"/>
    <n v="4"/>
  </r>
  <r>
    <s v="ORD00206"/>
    <s v="NA"/>
    <s v="C0203"/>
    <s v="Arjun Jain"/>
    <x v="0"/>
    <n v="32"/>
    <x v="9"/>
    <x v="8"/>
    <s v="P404"/>
    <x v="14"/>
    <x v="3"/>
    <x v="10"/>
    <x v="1"/>
    <x v="175"/>
    <n v="2440"/>
    <x v="7"/>
    <x v="4"/>
    <x v="1"/>
    <d v="2024-01-15T00:00:00"/>
    <n v="3"/>
  </r>
  <r>
    <s v="ORD00207"/>
    <d v="2024-11-03T00:00:00"/>
    <s v="C0165"/>
    <s v="Suman Solanki"/>
    <x v="1"/>
    <n v="43"/>
    <x v="10"/>
    <x v="5"/>
    <s v="P304"/>
    <x v="1"/>
    <x v="1"/>
    <x v="1"/>
    <x v="3"/>
    <x v="176"/>
    <n v="1560"/>
    <x v="6"/>
    <x v="4"/>
    <x v="1"/>
    <d v="2024-11-09T00:00:00"/>
    <n v="5"/>
  </r>
  <r>
    <s v="ORD00208"/>
    <d v="2025-08-12T00:00:00"/>
    <s v="C0125"/>
    <s v="Nisha Singh"/>
    <x v="1"/>
    <n v="50"/>
    <x v="9"/>
    <x v="8"/>
    <s v="P301"/>
    <x v="2"/>
    <x v="1"/>
    <x v="2"/>
    <x v="3"/>
    <x v="177"/>
    <n v="630"/>
    <x v="3"/>
    <x v="1"/>
    <x v="1"/>
    <d v="2025-08-23T00:00:00"/>
    <n v="4"/>
  </r>
  <r>
    <s v="ORD00209"/>
    <d v="2025-08-29T00:00:00"/>
    <s v="C0280"/>
    <s v="Aarav Solanki"/>
    <x v="0"/>
    <n v="30"/>
    <x v="5"/>
    <x v="4"/>
    <s v="P502"/>
    <x v="9"/>
    <x v="2"/>
    <x v="5"/>
    <x v="0"/>
    <x v="11"/>
    <n v="2100"/>
    <x v="4"/>
    <x v="4"/>
    <x v="0"/>
    <d v="2025-09-03T00:00:00"/>
    <n v="5"/>
  </r>
  <r>
    <s v="ORD00210"/>
    <d v="2024-10-25T00:00:00"/>
    <s v="C0036"/>
    <s v="Aditya Singh"/>
    <x v="0"/>
    <n v="54"/>
    <x v="8"/>
    <x v="7"/>
    <s v="P502"/>
    <x v="9"/>
    <x v="2"/>
    <x v="5"/>
    <x v="1"/>
    <x v="173"/>
    <n v="1680"/>
    <x v="6"/>
    <x v="1"/>
    <x v="1"/>
    <d v="2024-10-31T00:00:00"/>
    <n v="3"/>
  </r>
  <r>
    <s v="ORD00211"/>
    <d v="2025-03-09T00:00:00"/>
    <s v="C0194"/>
    <s v="Deepak Yadav"/>
    <x v="0"/>
    <n v="23"/>
    <x v="2"/>
    <x v="0"/>
    <s v="P303"/>
    <x v="4"/>
    <x v="1"/>
    <x v="1"/>
    <x v="0"/>
    <x v="178"/>
    <n v="1650"/>
    <x v="1"/>
    <x v="2"/>
    <x v="1"/>
    <d v="2025-03-19T00:00:00"/>
    <n v="5"/>
  </r>
  <r>
    <s v="ORD00212"/>
    <d v="2025-07-10T00:00:00"/>
    <s v="C0019"/>
    <s v="Aditya Solanki"/>
    <x v="0"/>
    <n v="36"/>
    <x v="15"/>
    <x v="8"/>
    <s v="P503"/>
    <x v="7"/>
    <x v="2"/>
    <x v="5"/>
    <x v="0"/>
    <x v="179"/>
    <n v="3950"/>
    <x v="2"/>
    <x v="3"/>
    <x v="2"/>
    <d v="2025-07-15T00:00:00"/>
    <n v="4"/>
  </r>
  <r>
    <s v="ORD00213"/>
    <d v="2024-06-19T00:00:00"/>
    <s v="C0023"/>
    <s v="Neha Verma"/>
    <x v="1"/>
    <n v="32"/>
    <x v="12"/>
    <x v="9"/>
    <s v="P203"/>
    <x v="16"/>
    <x v="4"/>
    <x v="12"/>
    <x v="1"/>
    <x v="180"/>
    <n v="12200"/>
    <x v="2"/>
    <x v="3"/>
    <x v="1"/>
    <d v="2024-06-25T00:00:00"/>
    <n v="4"/>
  </r>
  <r>
    <s v="ORD00214"/>
    <d v="2025-06-06T00:00:00"/>
    <s v="C0266"/>
    <s v="Suman Mehta"/>
    <x v="1"/>
    <n v="27"/>
    <x v="6"/>
    <x v="5"/>
    <s v="P303"/>
    <x v="4"/>
    <x v="1"/>
    <x v="1"/>
    <x v="3"/>
    <x v="4"/>
    <n v="990"/>
    <x v="3"/>
    <x v="4"/>
    <x v="2"/>
    <d v="2025-06-18T00:00:00"/>
    <n v="3"/>
  </r>
  <r>
    <s v="ORD00215"/>
    <d v="2024-12-19T00:00:00"/>
    <s v="C0013"/>
    <s v="NA"/>
    <x v="1"/>
    <n v="27"/>
    <x v="7"/>
    <x v="6"/>
    <s v="P104"/>
    <x v="19"/>
    <x v="0"/>
    <x v="14"/>
    <x v="3"/>
    <x v="181"/>
    <n v="3690"/>
    <x v="3"/>
    <x v="3"/>
    <x v="1"/>
    <d v="2024-12-23T00:00:00"/>
    <n v="4"/>
  </r>
  <r>
    <s v="ORD00216"/>
    <d v="2024-11-15T00:00:00"/>
    <s v="C0176"/>
    <s v="Anjali Jain"/>
    <x v="1"/>
    <n v="22"/>
    <x v="3"/>
    <x v="2"/>
    <s v="P107"/>
    <x v="5"/>
    <x v="0"/>
    <x v="4"/>
    <x v="0"/>
    <x v="162"/>
    <n v="4600"/>
    <x v="1"/>
    <x v="1"/>
    <x v="1"/>
    <d v="2024-11-18T00:00:00"/>
    <n v="5"/>
  </r>
  <r>
    <s v="ORD00217"/>
    <d v="2025-12-14T00:00:00"/>
    <s v="C0232"/>
    <s v="Pooja Joshi"/>
    <x v="1"/>
    <n v="43"/>
    <x v="9"/>
    <x v="8"/>
    <s v="P103"/>
    <x v="3"/>
    <x v="0"/>
    <x v="3"/>
    <x v="3"/>
    <x v="124"/>
    <n v="1230"/>
    <x v="4"/>
    <x v="3"/>
    <x v="1"/>
    <d v="2025-12-21T00:00:00"/>
    <n v="3"/>
  </r>
  <r>
    <s v="ORD00218"/>
    <d v="2025-11-24T00:00:00"/>
    <s v="C0085"/>
    <s v="Muskan Jain"/>
    <x v="1"/>
    <n v="30"/>
    <x v="6"/>
    <x v="5"/>
    <s v="P401"/>
    <x v="10"/>
    <x v="3"/>
    <x v="7"/>
    <x v="2"/>
    <x v="182"/>
    <n v="740"/>
    <x v="6"/>
    <x v="1"/>
    <x v="3"/>
    <s v="NA"/>
    <s v="NA"/>
  </r>
  <r>
    <s v="ORD00219"/>
    <d v="2025-03-12T00:00:00"/>
    <s v="C0237"/>
    <s v="Aditya Joshi"/>
    <x v="0"/>
    <n v="45"/>
    <x v="6"/>
    <x v="5"/>
    <s v="P301"/>
    <x v="2"/>
    <x v="1"/>
    <x v="2"/>
    <x v="2"/>
    <x v="183"/>
    <n v="420"/>
    <x v="6"/>
    <x v="4"/>
    <x v="1"/>
    <d v="2025-03-14T00:00:00"/>
    <n v="4"/>
  </r>
  <r>
    <s v="ORD00220"/>
    <d v="2025-04-05T00:00:00"/>
    <s v="C0220"/>
    <s v="Akash Patel"/>
    <x v="0"/>
    <n v="31"/>
    <x v="12"/>
    <x v="9"/>
    <s v="P101"/>
    <x v="6"/>
    <x v="0"/>
    <x v="0"/>
    <x v="2"/>
    <x v="184"/>
    <n v="940"/>
    <x v="5"/>
    <x v="1"/>
    <x v="2"/>
    <d v="2025-04-08T00:00:00"/>
    <n v="3"/>
  </r>
  <r>
    <s v="ORD00221"/>
    <d v="2025-07-03T00:00:00"/>
    <s v="C0096"/>
    <s v="Arjun Sharma"/>
    <x v="0"/>
    <n v="52"/>
    <x v="15"/>
    <x v="8"/>
    <s v="P203"/>
    <x v="16"/>
    <x v="4"/>
    <x v="12"/>
    <x v="2"/>
    <x v="134"/>
    <n v="6100"/>
    <x v="1"/>
    <x v="3"/>
    <x v="1"/>
    <d v="2025-07-15T00:00:00"/>
    <n v="5"/>
  </r>
  <r>
    <s v="ORD00222"/>
    <d v="2025-06-24T00:00:00"/>
    <s v="C0161"/>
    <s v="Anjali Gupta"/>
    <x v="1"/>
    <n v="32"/>
    <x v="12"/>
    <x v="9"/>
    <s v="P404"/>
    <x v="14"/>
    <x v="3"/>
    <x v="10"/>
    <x v="1"/>
    <x v="185"/>
    <n v="2440"/>
    <x v="2"/>
    <x v="1"/>
    <x v="1"/>
    <d v="2025-07-03T00:00:00"/>
    <n v="3"/>
  </r>
  <r>
    <s v="ORD00223"/>
    <d v="2025-11-20T00:00:00"/>
    <s v="C0153"/>
    <s v="Nisha Jain"/>
    <x v="1"/>
    <n v="57"/>
    <x v="2"/>
    <x v="0"/>
    <s v="P502"/>
    <x v="9"/>
    <x v="2"/>
    <x v="5"/>
    <x v="2"/>
    <x v="186"/>
    <n v="840"/>
    <x v="7"/>
    <x v="3"/>
    <x v="1"/>
    <d v="2025-11-26T00:00:00"/>
    <n v="3"/>
  </r>
  <r>
    <s v="ORD00224"/>
    <d v="2024-07-06T00:00:00"/>
    <s v="C0192"/>
    <s v="Reena Verma"/>
    <x v="1"/>
    <n v="36"/>
    <x v="13"/>
    <x v="4"/>
    <s v="P401"/>
    <x v="10"/>
    <x v="3"/>
    <x v="7"/>
    <x v="1"/>
    <x v="187"/>
    <n v="1480"/>
    <x v="3"/>
    <x v="2"/>
    <x v="1"/>
    <d v="2024-07-17T00:00:00"/>
    <n v="5"/>
  </r>
  <r>
    <s v="ORD00225"/>
    <d v="2025-03-09T00:00:00"/>
    <s v="C0096"/>
    <s v="Arjun Sharma"/>
    <x v="0"/>
    <n v="52"/>
    <x v="7"/>
    <x v="6"/>
    <s v="P501"/>
    <x v="8"/>
    <x v="2"/>
    <x v="6"/>
    <x v="0"/>
    <x v="188"/>
    <n v="4650"/>
    <x v="6"/>
    <x v="2"/>
    <x v="1"/>
    <d v="2025-03-18T00:00:00"/>
    <n v="4"/>
  </r>
  <r>
    <s v="ORD00226"/>
    <d v="2024-05-23T00:00:00"/>
    <s v="C0096"/>
    <s v="Arjun Sharma"/>
    <x v="0"/>
    <n v="52"/>
    <x v="9"/>
    <x v="8"/>
    <s v="P303"/>
    <x v="4"/>
    <x v="1"/>
    <x v="1"/>
    <x v="0"/>
    <x v="73"/>
    <n v="1650"/>
    <x v="4"/>
    <x v="1"/>
    <x v="1"/>
    <d v="2024-06-01T00:00:00"/>
    <n v="3"/>
  </r>
  <r>
    <s v="ORD00227"/>
    <d v="2024-07-18T00:00:00"/>
    <s v="C0197"/>
    <s v="Aarav Sharma"/>
    <x v="0"/>
    <n v="33"/>
    <x v="7"/>
    <x v="6"/>
    <s v="P302"/>
    <x v="12"/>
    <x v="1"/>
    <x v="9"/>
    <x v="1"/>
    <x v="189"/>
    <n v="360"/>
    <x v="3"/>
    <x v="4"/>
    <x v="1"/>
    <d v="2024-07-22T00:00:00"/>
    <n v="3"/>
  </r>
  <r>
    <s v="ORD00228"/>
    <d v="2025-08-01T00:00:00"/>
    <s v="C0016"/>
    <s v="Anjali Yadav"/>
    <x v="1"/>
    <n v="56"/>
    <x v="6"/>
    <x v="5"/>
    <s v="P202"/>
    <x v="13"/>
    <x v="4"/>
    <x v="8"/>
    <x v="4"/>
    <x v="190"/>
    <n v="4300"/>
    <x v="0"/>
    <x v="0"/>
    <x v="3"/>
    <s v="NA"/>
    <s v="NA"/>
  </r>
  <r>
    <s v="ORD00229"/>
    <d v="2024-10-22T00:00:00"/>
    <s v="C0087"/>
    <s v="Anjali Jain"/>
    <x v="1"/>
    <n v="44"/>
    <x v="3"/>
    <x v="2"/>
    <s v="P403"/>
    <x v="17"/>
    <x v="3"/>
    <x v="13"/>
    <x v="1"/>
    <x v="74"/>
    <n v="3040"/>
    <x v="2"/>
    <x v="2"/>
    <x v="1"/>
    <d v="2024-10-28T00:00:00"/>
    <n v="4"/>
  </r>
  <r>
    <s v="ORD00230"/>
    <d v="2025-07-09T00:00:00"/>
    <s v="C0022"/>
    <s v="Vivaan Joshi"/>
    <x v="0"/>
    <n v="32"/>
    <x v="3"/>
    <x v="2"/>
    <s v="P402"/>
    <x v="18"/>
    <x v="3"/>
    <x v="7"/>
    <x v="2"/>
    <x v="191"/>
    <n v="1020"/>
    <x v="3"/>
    <x v="3"/>
    <x v="0"/>
    <d v="2025-07-21T00:00:00"/>
    <n v="4"/>
  </r>
  <r>
    <s v="ORD00231"/>
    <d v="2024-10-31T00:00:00"/>
    <s v="C0017"/>
    <s v="Priya Sharma"/>
    <x v="1"/>
    <n v="47"/>
    <x v="3"/>
    <x v="2"/>
    <s v="P201"/>
    <x v="11"/>
    <x v="4"/>
    <x v="8"/>
    <x v="3"/>
    <x v="15"/>
    <n v="15300"/>
    <x v="2"/>
    <x v="4"/>
    <x v="2"/>
    <d v="2024-11-03T00:00:00"/>
    <n v="4"/>
  </r>
  <r>
    <s v="ORD00232"/>
    <d v="2024-08-02T00:00:00"/>
    <s v="C0180"/>
    <s v="Neha Joshi"/>
    <x v="1"/>
    <n v="44"/>
    <x v="8"/>
    <x v="7"/>
    <s v="P106"/>
    <x v="23"/>
    <x v="0"/>
    <x v="0"/>
    <x v="0"/>
    <x v="192"/>
    <n v="3550"/>
    <x v="6"/>
    <x v="0"/>
    <x v="2"/>
    <d v="2024-08-07T00:00:00"/>
    <n v="2"/>
  </r>
  <r>
    <s v="ORD00233"/>
    <d v="2025-08-06T00:00:00"/>
    <s v="C0180"/>
    <s v="Neha Joshi"/>
    <x v="1"/>
    <n v="44"/>
    <x v="14"/>
    <x v="1"/>
    <s v="P404"/>
    <x v="14"/>
    <x v="3"/>
    <x v="10"/>
    <x v="0"/>
    <x v="21"/>
    <n v="3050"/>
    <x v="6"/>
    <x v="1"/>
    <x v="0"/>
    <d v="2025-08-12T00:00:00"/>
    <n v="4"/>
  </r>
  <r>
    <s v="ORD00234"/>
    <d v="2025-08-09T00:00:00"/>
    <s v="C0137"/>
    <s v="Mohit Joshi"/>
    <x v="0"/>
    <n v="58"/>
    <x v="4"/>
    <x v="3"/>
    <s v="P105"/>
    <x v="21"/>
    <x v="0"/>
    <x v="16"/>
    <x v="1"/>
    <x v="193"/>
    <n v="7600"/>
    <x v="4"/>
    <x v="1"/>
    <x v="2"/>
    <d v="2025-08-21T00:00:00"/>
    <n v="3"/>
  </r>
  <r>
    <s v="ORD00235"/>
    <d v="2025-12-19T00:00:00"/>
    <s v="C0068"/>
    <s v="Nisha Patel"/>
    <x v="1"/>
    <n v="34"/>
    <x v="6"/>
    <x v="5"/>
    <s v="P105"/>
    <x v="21"/>
    <x v="0"/>
    <x v="16"/>
    <x v="3"/>
    <x v="194"/>
    <n v="5700"/>
    <x v="5"/>
    <x v="4"/>
    <x v="1"/>
    <d v="2025-12-23T00:00:00"/>
    <n v="4"/>
  </r>
  <r>
    <s v="ORD00236"/>
    <d v="2025-10-04T00:00:00"/>
    <s v="C0213"/>
    <s v="Suman Gupta"/>
    <x v="1"/>
    <n v="51"/>
    <x v="12"/>
    <x v="9"/>
    <s v="P303"/>
    <x v="4"/>
    <x v="1"/>
    <x v="1"/>
    <x v="4"/>
    <x v="195"/>
    <n v="330"/>
    <x v="2"/>
    <x v="4"/>
    <x v="3"/>
    <s v="NA"/>
    <s v="NA"/>
  </r>
  <r>
    <s v="ORD00237"/>
    <d v="2024-10-11T00:00:00"/>
    <s v="C0189"/>
    <s v="Suman Yadav"/>
    <x v="1"/>
    <n v="47"/>
    <x v="3"/>
    <x v="2"/>
    <s v="P304"/>
    <x v="1"/>
    <x v="1"/>
    <x v="1"/>
    <x v="3"/>
    <x v="78"/>
    <n v="1560"/>
    <x v="4"/>
    <x v="3"/>
    <x v="0"/>
    <d v="2024-10-20T00:00:00"/>
    <n v="4"/>
  </r>
  <r>
    <s v="ORD00238"/>
    <d v="2024-03-05T00:00:00"/>
    <s v="C0274"/>
    <s v="Deepak Joshi"/>
    <x v="0"/>
    <n v="42"/>
    <x v="12"/>
    <x v="9"/>
    <s v="P107"/>
    <x v="5"/>
    <x v="0"/>
    <x v="4"/>
    <x v="1"/>
    <x v="196"/>
    <n v="3680"/>
    <x v="5"/>
    <x v="4"/>
    <x v="1"/>
    <d v="2024-03-12T00:00:00"/>
    <n v="4"/>
  </r>
  <r>
    <s v="ORD00239"/>
    <d v="2024-12-11T00:00:00"/>
    <s v="C0281"/>
    <s v="Aditya Singh"/>
    <x v="0"/>
    <n v="44"/>
    <x v="13"/>
    <x v="4"/>
    <s v="P403"/>
    <x v="17"/>
    <x v="3"/>
    <x v="13"/>
    <x v="1"/>
    <x v="80"/>
    <n v="3040"/>
    <x v="7"/>
    <x v="3"/>
    <x v="1"/>
    <d v="2024-12-14T00:00:00"/>
    <n v="5"/>
  </r>
  <r>
    <s v="ORD00240"/>
    <d v="2024-01-17T00:00:00"/>
    <s v="C0064"/>
    <s v="Vivaan Singh"/>
    <x v="0"/>
    <n v="54"/>
    <x v="5"/>
    <x v="4"/>
    <s v="P303"/>
    <x v="4"/>
    <x v="1"/>
    <x v="1"/>
    <x v="1"/>
    <x v="197"/>
    <n v="1320"/>
    <x v="4"/>
    <x v="4"/>
    <x v="1"/>
    <d v="2024-01-21T00:00:00"/>
    <n v="4"/>
  </r>
  <r>
    <s v="ORD00241"/>
    <d v="2024-06-11T00:00:00"/>
    <s v="C0141"/>
    <s v="Vivaan Sharma"/>
    <x v="0"/>
    <n v="39"/>
    <x v="2"/>
    <x v="0"/>
    <s v="P501"/>
    <x v="8"/>
    <x v="2"/>
    <x v="6"/>
    <x v="3"/>
    <x v="198"/>
    <n v="2790"/>
    <x v="0"/>
    <x v="3"/>
    <x v="1"/>
    <d v="2024-06-23T00:00:00"/>
    <n v="3"/>
  </r>
  <r>
    <s v="ORD00242"/>
    <d v="2024-02-23T00:00:00"/>
    <s v="C0203"/>
    <s v="Arjun Jain"/>
    <x v="0"/>
    <n v="32"/>
    <x v="1"/>
    <x v="1"/>
    <s v="P504"/>
    <x v="15"/>
    <x v="2"/>
    <x v="11"/>
    <x v="2"/>
    <x v="26"/>
    <n v="3240"/>
    <x v="3"/>
    <x v="3"/>
    <x v="0"/>
    <d v="2024-02-26T00:00:00"/>
    <n v="2"/>
  </r>
  <r>
    <s v="ORD00243"/>
    <d v="2024-08-06T00:00:00"/>
    <s v="C0245"/>
    <s v="Anjali Singh"/>
    <x v="1"/>
    <n v="22"/>
    <x v="2"/>
    <x v="0"/>
    <s v="P105"/>
    <x v="21"/>
    <x v="0"/>
    <x v="16"/>
    <x v="0"/>
    <x v="45"/>
    <n v="9500"/>
    <x v="5"/>
    <x v="2"/>
    <x v="0"/>
    <d v="2024-08-15T00:00:00"/>
    <n v="2"/>
  </r>
  <r>
    <s v="ORD00244"/>
    <d v="2024-01-09T00:00:00"/>
    <s v="C0176"/>
    <s v="Anjali Jain"/>
    <x v="1"/>
    <n v="22"/>
    <x v="4"/>
    <x v="3"/>
    <s v="P302"/>
    <x v="12"/>
    <x v="1"/>
    <x v="9"/>
    <x v="2"/>
    <x v="199"/>
    <n v="180"/>
    <x v="1"/>
    <x v="3"/>
    <x v="1"/>
    <d v="2024-01-17T00:00:00"/>
    <n v="3"/>
  </r>
  <r>
    <s v="ORD00245"/>
    <d v="2024-04-14T00:00:00"/>
    <s v="C0053"/>
    <s v="Suman Yadav"/>
    <x v="1"/>
    <n v="25"/>
    <x v="9"/>
    <x v="8"/>
    <s v="P204"/>
    <x v="20"/>
    <x v="4"/>
    <x v="15"/>
    <x v="3"/>
    <x v="200"/>
    <n v="5610"/>
    <x v="6"/>
    <x v="4"/>
    <x v="2"/>
    <d v="2024-04-18T00:00:00"/>
    <n v="3"/>
  </r>
  <r>
    <s v="ORD00246"/>
    <d v="2024-03-11T00:00:00"/>
    <s v="C0272"/>
    <s v="Aditya Gupta"/>
    <x v="0"/>
    <n v="46"/>
    <x v="11"/>
    <x v="0"/>
    <s v="P404"/>
    <x v="14"/>
    <x v="3"/>
    <x v="10"/>
    <x v="2"/>
    <x v="68"/>
    <n v="1220"/>
    <x v="1"/>
    <x v="1"/>
    <x v="0"/>
    <d v="2024-03-16T00:00:00"/>
    <n v="3"/>
  </r>
  <r>
    <s v="ORD00247"/>
    <d v="2025-02-25T00:00:00"/>
    <s v="C0227"/>
    <s v="Anjali Gupta"/>
    <x v="1"/>
    <n v="42"/>
    <x v="10"/>
    <x v="5"/>
    <s v="P103"/>
    <x v="3"/>
    <x v="0"/>
    <x v="3"/>
    <x v="4"/>
    <x v="201"/>
    <n v="410"/>
    <x v="6"/>
    <x v="3"/>
    <x v="3"/>
    <s v="NA"/>
    <s v="NA"/>
  </r>
  <r>
    <s v="ORD00248"/>
    <d v="2025-01-28T00:00:00"/>
    <s v="C0180"/>
    <s v="Neha Joshi"/>
    <x v="1"/>
    <n v="44"/>
    <x v="8"/>
    <x v="7"/>
    <s v="P203"/>
    <x v="16"/>
    <x v="4"/>
    <x v="12"/>
    <x v="2"/>
    <x v="202"/>
    <n v="6100"/>
    <x v="5"/>
    <x v="1"/>
    <x v="0"/>
    <d v="2025-01-31T00:00:00"/>
    <n v="4"/>
  </r>
  <r>
    <s v="ORD00249"/>
    <d v="2025-07-20T00:00:00"/>
    <s v="C0146"/>
    <s v="Aditya Mishra"/>
    <x v="0"/>
    <n v="27"/>
    <x v="11"/>
    <x v="0"/>
    <s v="P502"/>
    <x v="9"/>
    <x v="2"/>
    <x v="5"/>
    <x v="3"/>
    <x v="203"/>
    <n v="1260"/>
    <x v="5"/>
    <x v="2"/>
    <x v="3"/>
    <s v="NA"/>
    <s v="NA"/>
  </r>
  <r>
    <s v="ORD00250"/>
    <d v="2025-06-05T00:00:00"/>
    <s v="C0097"/>
    <s v="Aarav Verma"/>
    <x v="0"/>
    <n v="33"/>
    <x v="12"/>
    <x v="9"/>
    <s v="P202"/>
    <x v="13"/>
    <x v="4"/>
    <x v="8"/>
    <x v="4"/>
    <x v="204"/>
    <n v="4300"/>
    <x v="5"/>
    <x v="4"/>
    <x v="1"/>
    <d v="2025-06-08T00:00:00"/>
    <n v="4"/>
  </r>
  <r>
    <s v="ORD00251"/>
    <d v="2025-05-26T00:00:00"/>
    <s v="C0037"/>
    <s v="Akash Yadav"/>
    <x v="0"/>
    <n v="31"/>
    <x v="11"/>
    <x v="0"/>
    <s v="P204"/>
    <x v="20"/>
    <x v="4"/>
    <x v="15"/>
    <x v="3"/>
    <x v="200"/>
    <n v="5610"/>
    <x v="6"/>
    <x v="4"/>
    <x v="2"/>
    <d v="2025-06-06T00:00:00"/>
    <n v="5"/>
  </r>
  <r>
    <s v="ORD00252"/>
    <d v="2025-01-09T00:00:00"/>
    <s v="C0280"/>
    <s v="Aarav Solanki"/>
    <x v="0"/>
    <n v="30"/>
    <x v="5"/>
    <x v="4"/>
    <s v="P304"/>
    <x v="1"/>
    <x v="1"/>
    <x v="1"/>
    <x v="4"/>
    <x v="205"/>
    <n v="520"/>
    <x v="4"/>
    <x v="2"/>
    <x v="1"/>
    <d v="2025-01-11T00:00:00"/>
    <n v="4"/>
  </r>
  <r>
    <s v="ORD00253"/>
    <d v="2024-08-08T00:00:00"/>
    <s v="C0021"/>
    <s v="Aman Singh"/>
    <x v="0"/>
    <n v="22"/>
    <x v="0"/>
    <x v="0"/>
    <s v="P301"/>
    <x v="2"/>
    <x v="1"/>
    <x v="2"/>
    <x v="0"/>
    <x v="89"/>
    <n v="1050"/>
    <x v="0"/>
    <x v="2"/>
    <x v="2"/>
    <d v="2024-08-16T00:00:00"/>
    <n v="5"/>
  </r>
  <r>
    <s v="ORD00254"/>
    <d v="2025-12-19T00:00:00"/>
    <s v="C0206"/>
    <s v="Kunal Verma"/>
    <x v="0"/>
    <n v="47"/>
    <x v="2"/>
    <x v="0"/>
    <s v="P501"/>
    <x v="8"/>
    <x v="2"/>
    <x v="6"/>
    <x v="0"/>
    <x v="188"/>
    <n v="4650"/>
    <x v="6"/>
    <x v="1"/>
    <x v="1"/>
    <d v="2025-12-25T00:00:00"/>
    <n v="3"/>
  </r>
  <r>
    <s v="ORD00255"/>
    <d v="2025-06-07T00:00:00"/>
    <s v="C0105"/>
    <s v="Rohan Singh"/>
    <x v="0"/>
    <n v="36"/>
    <x v="13"/>
    <x v="4"/>
    <s v="P402"/>
    <x v="18"/>
    <x v="3"/>
    <x v="7"/>
    <x v="3"/>
    <x v="13"/>
    <n v="1530"/>
    <x v="3"/>
    <x v="2"/>
    <x v="0"/>
    <d v="2025-06-19T00:00:00"/>
    <n v="3"/>
  </r>
  <r>
    <s v="ORD00256"/>
    <d v="2024-11-13T00:00:00"/>
    <s v="C0224"/>
    <s v="Kavita Jain"/>
    <x v="1"/>
    <n v="55"/>
    <x v="6"/>
    <x v="5"/>
    <s v="P102"/>
    <x v="0"/>
    <x v="0"/>
    <x v="0"/>
    <x v="2"/>
    <x v="206"/>
    <n v="1580"/>
    <x v="2"/>
    <x v="4"/>
    <x v="1"/>
    <d v="2024-11-22T00:00:00"/>
    <n v="2"/>
  </r>
  <r>
    <s v="ORD00257"/>
    <d v="2024-11-12T00:00:00"/>
    <s v="C0090"/>
    <s v="Vivaan Jain"/>
    <x v="0"/>
    <n v="39"/>
    <x v="4"/>
    <x v="3"/>
    <s v="P101"/>
    <x v="6"/>
    <x v="0"/>
    <x v="0"/>
    <x v="2"/>
    <x v="207"/>
    <n v="940"/>
    <x v="4"/>
    <x v="0"/>
    <x v="1"/>
    <d v="2024-11-19T00:00:00"/>
    <n v="4"/>
  </r>
  <r>
    <s v="ORD00258"/>
    <d v="2024-06-19T00:00:00"/>
    <s v="C0191"/>
    <s v="Rashmi Mehta"/>
    <x v="1"/>
    <n v="28"/>
    <x v="13"/>
    <x v="4"/>
    <s v="P504"/>
    <x v="15"/>
    <x v="2"/>
    <x v="11"/>
    <x v="3"/>
    <x v="61"/>
    <n v="4860"/>
    <x v="2"/>
    <x v="3"/>
    <x v="1"/>
    <d v="2024-06-27T00:00:00"/>
    <n v="4"/>
  </r>
  <r>
    <s v="ORD00259"/>
    <d v="2025-06-20T00:00:00"/>
    <s v="C0033"/>
    <s v="Kunal Joshi"/>
    <x v="0"/>
    <n v="38"/>
    <x v="14"/>
    <x v="1"/>
    <s v="P503"/>
    <x v="7"/>
    <x v="2"/>
    <x v="5"/>
    <x v="0"/>
    <x v="179"/>
    <n v="3950"/>
    <x v="2"/>
    <x v="4"/>
    <x v="1"/>
    <d v="2025-06-30T00:00:00"/>
    <n v="4"/>
  </r>
  <r>
    <s v="ORD00260"/>
    <d v="2024-02-26T00:00:00"/>
    <s v="C0256"/>
    <s v="Aman Joshi"/>
    <x v="0"/>
    <n v="42"/>
    <x v="5"/>
    <x v="4"/>
    <s v="P204"/>
    <x v="20"/>
    <x v="4"/>
    <x v="15"/>
    <x v="2"/>
    <x v="208"/>
    <n v="3740"/>
    <x v="0"/>
    <x v="3"/>
    <x v="3"/>
    <s v="NA"/>
    <s v="NA"/>
  </r>
  <r>
    <s v="ORD00261"/>
    <d v="2025-11-21T00:00:00"/>
    <s v="C0060"/>
    <s v="Rahul Solanki"/>
    <x v="0"/>
    <n v="51"/>
    <x v="6"/>
    <x v="5"/>
    <s v="P504"/>
    <x v="15"/>
    <x v="2"/>
    <x v="11"/>
    <x v="0"/>
    <x v="209"/>
    <n v="8100"/>
    <x v="4"/>
    <x v="3"/>
    <x v="2"/>
    <d v="2025-11-23T00:00:00"/>
    <n v="4"/>
  </r>
  <r>
    <s v="ORD00262"/>
    <d v="2024-02-17T00:00:00"/>
    <s v="C0242"/>
    <s v="Priya Jain"/>
    <x v="1"/>
    <n v="34"/>
    <x v="15"/>
    <x v="8"/>
    <s v="P301"/>
    <x v="2"/>
    <x v="1"/>
    <x v="2"/>
    <x v="2"/>
    <x v="183"/>
    <n v="420"/>
    <x v="6"/>
    <x v="3"/>
    <x v="3"/>
    <s v="NA"/>
    <s v="NA"/>
  </r>
  <r>
    <s v="ORD00263"/>
    <d v="2025-11-02T00:00:00"/>
    <s v="C0215"/>
    <s v="Priya Mehta"/>
    <x v="1"/>
    <n v="22"/>
    <x v="6"/>
    <x v="5"/>
    <s v="P203"/>
    <x v="16"/>
    <x v="4"/>
    <x v="12"/>
    <x v="2"/>
    <x v="210"/>
    <n v="6100"/>
    <x v="3"/>
    <x v="1"/>
    <x v="1"/>
    <d v="2025-11-05T00:00:00"/>
    <n v="4"/>
  </r>
  <r>
    <s v="ORD00264"/>
    <d v="2024-05-02T00:00:00"/>
    <s v="C0258"/>
    <s v="Aditya Khan"/>
    <x v="0"/>
    <n v="58"/>
    <x v="0"/>
    <x v="0"/>
    <s v="P106"/>
    <x v="23"/>
    <x v="0"/>
    <x v="0"/>
    <x v="2"/>
    <x v="211"/>
    <n v="1420"/>
    <x v="4"/>
    <x v="4"/>
    <x v="1"/>
    <d v="2024-05-11T00:00:00"/>
    <n v="4"/>
  </r>
  <r>
    <s v="ORD00265"/>
    <d v="2024-11-14T00:00:00"/>
    <s v="C0168"/>
    <s v="Rahul Khan"/>
    <x v="0"/>
    <n v="34"/>
    <x v="2"/>
    <x v="0"/>
    <s v="P402"/>
    <x v="18"/>
    <x v="3"/>
    <x v="7"/>
    <x v="1"/>
    <x v="151"/>
    <n v="2040"/>
    <x v="4"/>
    <x v="1"/>
    <x v="1"/>
    <d v="2024-11-20T00:00:00"/>
    <n v="4"/>
  </r>
  <r>
    <s v="ORD00266"/>
    <d v="2025-09-29T00:00:00"/>
    <s v="C0125"/>
    <s v="Nisha Singh"/>
    <x v="1"/>
    <n v="50"/>
    <x v="3"/>
    <x v="2"/>
    <s v="P204"/>
    <x v="20"/>
    <x v="4"/>
    <x v="15"/>
    <x v="0"/>
    <x v="212"/>
    <n v="9350"/>
    <x v="1"/>
    <x v="0"/>
    <x v="0"/>
    <d v="2025-10-09T00:00:00"/>
    <n v="4"/>
  </r>
  <r>
    <s v="ORD00267"/>
    <d v="2024-06-03T00:00:00"/>
    <s v="C0004"/>
    <s v="Reena Mishra"/>
    <x v="1"/>
    <n v="52"/>
    <x v="8"/>
    <x v="7"/>
    <s v="P101"/>
    <x v="6"/>
    <x v="0"/>
    <x v="0"/>
    <x v="2"/>
    <x v="186"/>
    <n v="940"/>
    <x v="7"/>
    <x v="3"/>
    <x v="1"/>
    <d v="2024-06-05T00:00:00"/>
    <n v="5"/>
  </r>
  <r>
    <s v="ORD00268"/>
    <d v="2024-11-10T00:00:00"/>
    <s v="C0054"/>
    <s v="Neha Jain"/>
    <x v="1"/>
    <n v="28"/>
    <x v="10"/>
    <x v="5"/>
    <s v="P401"/>
    <x v="10"/>
    <x v="3"/>
    <x v="7"/>
    <x v="2"/>
    <x v="213"/>
    <n v="740"/>
    <x v="3"/>
    <x v="4"/>
    <x v="1"/>
    <d v="2024-11-14T00:00:00"/>
    <n v="4"/>
  </r>
  <r>
    <s v="ORD00269"/>
    <d v="2024-04-05T00:00:00"/>
    <s v="C0023"/>
    <s v="Neha Verma"/>
    <x v="1"/>
    <n v="32"/>
    <x v="6"/>
    <x v="5"/>
    <s v="P401"/>
    <x v="10"/>
    <x v="3"/>
    <x v="7"/>
    <x v="1"/>
    <x v="124"/>
    <n v="1480"/>
    <x v="7"/>
    <x v="4"/>
    <x v="0"/>
    <d v="2024-04-08T00:00:00"/>
    <n v="3"/>
  </r>
  <r>
    <s v="ORD00270"/>
    <d v="2025-06-01T00:00:00"/>
    <s v="C0069"/>
    <s v="Rashmi Khan"/>
    <x v="1"/>
    <n v="45"/>
    <x v="12"/>
    <x v="9"/>
    <s v="P103"/>
    <x v="3"/>
    <x v="0"/>
    <x v="3"/>
    <x v="0"/>
    <x v="214"/>
    <n v="2050"/>
    <x v="4"/>
    <x v="4"/>
    <x v="0"/>
    <d v="2025-06-05T00:00:00"/>
    <n v="4"/>
  </r>
  <r>
    <s v="ORD00271"/>
    <d v="2024-10-25T00:00:00"/>
    <s v="C0134"/>
    <s v="Arjun Mishra"/>
    <x v="0"/>
    <n v="53"/>
    <x v="9"/>
    <x v="8"/>
    <s v="P301"/>
    <x v="2"/>
    <x v="1"/>
    <x v="2"/>
    <x v="3"/>
    <x v="215"/>
    <n v="630"/>
    <x v="7"/>
    <x v="4"/>
    <x v="1"/>
    <d v="2024-10-30T00:00:00"/>
    <n v="3"/>
  </r>
  <r>
    <s v="ORD00272"/>
    <d v="2024-07-26T00:00:00"/>
    <s v="C0070"/>
    <s v="Mohit Solanki"/>
    <x v="0"/>
    <n v="30"/>
    <x v="4"/>
    <x v="3"/>
    <s v="P105"/>
    <x v="21"/>
    <x v="0"/>
    <x v="16"/>
    <x v="4"/>
    <x v="216"/>
    <n v="1900"/>
    <x v="6"/>
    <x v="4"/>
    <x v="1"/>
    <d v="2024-08-02T00:00:00"/>
    <n v="5"/>
  </r>
  <r>
    <s v="ORD00273"/>
    <d v="2024-05-03T00:00:00"/>
    <s v="C0275"/>
    <s v="Pooja Sharma"/>
    <x v="1"/>
    <n v="49"/>
    <x v="15"/>
    <x v="8"/>
    <s v="P107"/>
    <x v="5"/>
    <x v="0"/>
    <x v="4"/>
    <x v="1"/>
    <x v="217"/>
    <n v="3680"/>
    <x v="0"/>
    <x v="4"/>
    <x v="1"/>
    <d v="2024-05-06T00:00:00"/>
    <n v="3"/>
  </r>
  <r>
    <s v="ORD00274"/>
    <d v="2024-06-10T00:00:00"/>
    <s v="C0156"/>
    <s v="Aarav Patel"/>
    <x v="0"/>
    <n v="39"/>
    <x v="0"/>
    <x v="0"/>
    <s v="P107"/>
    <x v="5"/>
    <x v="0"/>
    <x v="4"/>
    <x v="3"/>
    <x v="17"/>
    <n v="2760"/>
    <x v="6"/>
    <x v="3"/>
    <x v="0"/>
    <d v="2024-06-15T00:00:00"/>
    <n v="4"/>
  </r>
  <r>
    <s v="ORD00275"/>
    <d v="2025-02-09T00:00:00"/>
    <s v="C0263"/>
    <s v="Aditya Solanki"/>
    <x v="0"/>
    <n v="39"/>
    <x v="0"/>
    <x v="0"/>
    <s v="P502"/>
    <x v="9"/>
    <x v="2"/>
    <x v="5"/>
    <x v="3"/>
    <x v="6"/>
    <n v="1260"/>
    <x v="0"/>
    <x v="0"/>
    <x v="1"/>
    <d v="2025-02-17T00:00:00"/>
    <n v="5"/>
  </r>
  <r>
    <s v="ORD00276"/>
    <d v="2025-07-23T00:00:00"/>
    <s v="C0282"/>
    <s v="Muskan Solanki"/>
    <x v="1"/>
    <n v="33"/>
    <x v="6"/>
    <x v="5"/>
    <s v="P104"/>
    <x v="19"/>
    <x v="0"/>
    <x v="14"/>
    <x v="1"/>
    <x v="44"/>
    <n v="4920"/>
    <x v="2"/>
    <x v="0"/>
    <x v="1"/>
    <d v="2025-07-25T00:00:00"/>
    <n v="2"/>
  </r>
  <r>
    <s v="ORD00277"/>
    <d v="2024-08-15T00:00:00"/>
    <s v="C0067"/>
    <s v="Rohan Joshi"/>
    <x v="0"/>
    <n v="48"/>
    <x v="10"/>
    <x v="5"/>
    <s v="P301"/>
    <x v="2"/>
    <x v="1"/>
    <x v="2"/>
    <x v="3"/>
    <x v="218"/>
    <n v="630"/>
    <x v="2"/>
    <x v="2"/>
    <x v="3"/>
    <s v="NA"/>
    <s v="NA"/>
  </r>
  <r>
    <s v="ORD00278"/>
    <d v="2024-09-22T00:00:00"/>
    <s v="C0039"/>
    <s v="Suman Mehta"/>
    <x v="1"/>
    <n v="27"/>
    <x v="11"/>
    <x v="0"/>
    <s v="P103"/>
    <x v="3"/>
    <x v="0"/>
    <x v="3"/>
    <x v="2"/>
    <x v="219"/>
    <n v="820"/>
    <x v="1"/>
    <x v="0"/>
    <x v="1"/>
    <d v="2024-09-29T00:00:00"/>
    <n v="3"/>
  </r>
  <r>
    <s v="ORD00279"/>
    <d v="2024-02-13T00:00:00"/>
    <s v="C0237"/>
    <s v="Aditya Joshi"/>
    <x v="0"/>
    <n v="45"/>
    <x v="0"/>
    <x v="0"/>
    <s v="P106"/>
    <x v="23"/>
    <x v="0"/>
    <x v="0"/>
    <x v="0"/>
    <x v="122"/>
    <n v="3550"/>
    <x v="3"/>
    <x v="4"/>
    <x v="1"/>
    <d v="2024-02-15T00:00:00"/>
    <n v="5"/>
  </r>
  <r>
    <s v="ORD00280"/>
    <d v="2025-11-30T00:00:00"/>
    <s v="C0219"/>
    <s v="Rohan Singh"/>
    <x v="0"/>
    <n v="42"/>
    <x v="5"/>
    <x v="4"/>
    <s v="P204"/>
    <x v="20"/>
    <x v="4"/>
    <x v="15"/>
    <x v="2"/>
    <x v="99"/>
    <n v="3740"/>
    <x v="6"/>
    <x v="1"/>
    <x v="1"/>
    <d v="2025-12-09T00:00:00"/>
    <n v="3"/>
  </r>
  <r>
    <s v="ORD00281"/>
    <d v="2024-02-05T00:00:00"/>
    <s v="C0126"/>
    <s v="Priya Patel"/>
    <x v="1"/>
    <n v="40"/>
    <x v="1"/>
    <x v="1"/>
    <s v="P304"/>
    <x v="1"/>
    <x v="1"/>
    <x v="1"/>
    <x v="1"/>
    <x v="1"/>
    <n v="2080"/>
    <x v="1"/>
    <x v="3"/>
    <x v="1"/>
    <d v="2024-02-11T00:00:00"/>
    <n v="5"/>
  </r>
  <r>
    <s v="ORD00282"/>
    <d v="2024-05-20T00:00:00"/>
    <s v="C0215"/>
    <s v="Priya Mehta"/>
    <x v="1"/>
    <n v="75"/>
    <x v="10"/>
    <x v="5"/>
    <s v="P501"/>
    <x v="8"/>
    <x v="2"/>
    <x v="6"/>
    <x v="0"/>
    <x v="131"/>
    <n v="4650"/>
    <x v="5"/>
    <x v="2"/>
    <x v="2"/>
    <d v="2024-05-22T00:00:00"/>
    <n v="5"/>
  </r>
  <r>
    <s v="ORD00283"/>
    <d v="2025-12-31T00:00:00"/>
    <s v="C0184"/>
    <s v="Reena Mishra"/>
    <x v="1"/>
    <n v="29"/>
    <x v="7"/>
    <x v="6"/>
    <s v="P402"/>
    <x v="18"/>
    <x v="3"/>
    <x v="7"/>
    <x v="1"/>
    <x v="78"/>
    <n v="2040"/>
    <x v="7"/>
    <x v="2"/>
    <x v="3"/>
    <s v="NA"/>
    <s v="NA"/>
  </r>
  <r>
    <s v="ORD00284"/>
    <d v="2024-11-25T00:00:00"/>
    <s v="C0199"/>
    <s v="Riya Jain"/>
    <x v="1"/>
    <n v="58"/>
    <x v="14"/>
    <x v="1"/>
    <s v="P106"/>
    <x v="23"/>
    <x v="0"/>
    <x v="0"/>
    <x v="4"/>
    <x v="220"/>
    <n v="710"/>
    <x v="7"/>
    <x v="2"/>
    <x v="1"/>
    <d v="2024-11-27T00:00:00"/>
    <n v="4"/>
  </r>
  <r>
    <s v="ORD00285"/>
    <d v="2024-02-29T00:00:00"/>
    <s v="C0242"/>
    <s v="Priya Jain"/>
    <x v="1"/>
    <n v="34"/>
    <x v="15"/>
    <x v="8"/>
    <s v="P403"/>
    <x v="17"/>
    <x v="3"/>
    <x v="13"/>
    <x v="2"/>
    <x v="24"/>
    <n v="1520"/>
    <x v="6"/>
    <x v="3"/>
    <x v="1"/>
    <d v="2024-03-12T00:00:00"/>
    <n v="4"/>
  </r>
  <r>
    <s v="ORD00286"/>
    <d v="2024-09-29T00:00:00"/>
    <s v="C0274"/>
    <s v="Deepak Joshi"/>
    <x v="0"/>
    <n v="42"/>
    <x v="0"/>
    <x v="0"/>
    <s v="P108"/>
    <x v="22"/>
    <x v="0"/>
    <x v="14"/>
    <x v="0"/>
    <x v="221"/>
    <n v="5400"/>
    <x v="3"/>
    <x v="1"/>
    <x v="2"/>
    <d v="2024-10-03T00:00:00"/>
    <n v="3"/>
  </r>
  <r>
    <s v="ORD00287"/>
    <d v="2024-08-30T00:00:00"/>
    <s v="C0163"/>
    <s v="Sneha Yadav"/>
    <x v="1"/>
    <n v="35"/>
    <x v="15"/>
    <x v="8"/>
    <s v="P403"/>
    <x v="17"/>
    <x v="3"/>
    <x v="13"/>
    <x v="4"/>
    <x v="72"/>
    <n v="760"/>
    <x v="7"/>
    <x v="2"/>
    <x v="3"/>
    <s v="NA"/>
    <s v="NA"/>
  </r>
  <r>
    <s v="ORD00288"/>
    <d v="2024-05-25T00:00:00"/>
    <s v="C0289"/>
    <s v="Anjali Jain"/>
    <x v="1"/>
    <n v="53"/>
    <x v="10"/>
    <x v="5"/>
    <s v="P304"/>
    <x v="1"/>
    <x v="1"/>
    <x v="1"/>
    <x v="0"/>
    <x v="151"/>
    <n v="2600"/>
    <x v="0"/>
    <x v="0"/>
    <x v="1"/>
    <d v="2024-05-27T00:00:00"/>
    <n v="3"/>
  </r>
  <r>
    <s v="ORD00289"/>
    <d v="2024-02-27T00:00:00"/>
    <s v="C0120"/>
    <s v="Kunal Gupta"/>
    <x v="0"/>
    <n v="43"/>
    <x v="16"/>
    <x v="5"/>
    <s v="P101"/>
    <x v="6"/>
    <x v="0"/>
    <x v="0"/>
    <x v="0"/>
    <x v="222"/>
    <n v="2350"/>
    <x v="1"/>
    <x v="3"/>
    <x v="1"/>
    <d v="2024-03-09T00:00:00"/>
    <n v="4"/>
  </r>
  <r>
    <s v="ORD00290"/>
    <d v="2024-05-13T00:00:00"/>
    <s v="C0175"/>
    <s v="Rashmi Solanki"/>
    <x v="1"/>
    <n v="30"/>
    <x v="5"/>
    <x v="4"/>
    <s v="P203"/>
    <x v="16"/>
    <x v="4"/>
    <x v="12"/>
    <x v="4"/>
    <x v="65"/>
    <n v="3050"/>
    <x v="4"/>
    <x v="0"/>
    <x v="3"/>
    <s v="NA"/>
    <s v="NA"/>
  </r>
  <r>
    <s v="ORD00291"/>
    <d v="2025-12-22T00:00:00"/>
    <s v="C0073"/>
    <s v="Riya Solanki"/>
    <x v="1"/>
    <n v="46"/>
    <x v="4"/>
    <x v="3"/>
    <s v="P401"/>
    <x v="10"/>
    <x v="3"/>
    <x v="7"/>
    <x v="3"/>
    <x v="88"/>
    <n v="1110"/>
    <x v="2"/>
    <x v="1"/>
    <x v="0"/>
    <d v="2026-01-03T00:00:00"/>
    <n v="5"/>
  </r>
  <r>
    <s v="ORD00292"/>
    <d v="2025-08-23T00:00:00"/>
    <s v="C0052"/>
    <s v="Reena Solanki"/>
    <x v="1"/>
    <n v="35"/>
    <x v="9"/>
    <x v="8"/>
    <s v="P202"/>
    <x v="13"/>
    <x v="4"/>
    <x v="8"/>
    <x v="3"/>
    <x v="223"/>
    <n v="12900"/>
    <x v="6"/>
    <x v="0"/>
    <x v="0"/>
    <d v="2025-08-31T00:00:00"/>
    <n v="5"/>
  </r>
  <r>
    <s v="ORD00293"/>
    <d v="2025-10-26T00:00:00"/>
    <s v="C0163"/>
    <s v="Sneha Yadav"/>
    <x v="1"/>
    <n v="35"/>
    <x v="5"/>
    <x v="4"/>
    <s v="P503"/>
    <x v="7"/>
    <x v="2"/>
    <x v="5"/>
    <x v="0"/>
    <x v="224"/>
    <n v="3950"/>
    <x v="7"/>
    <x v="0"/>
    <x v="0"/>
    <d v="2025-11-06T00:00:00"/>
    <n v="3"/>
  </r>
  <r>
    <s v="ORD00294"/>
    <d v="2025-01-22T00:00:00"/>
    <s v="C0158"/>
    <s v="Priya Patel"/>
    <x v="1"/>
    <n v="24"/>
    <x v="1"/>
    <x v="1"/>
    <s v="P105"/>
    <x v="21"/>
    <x v="0"/>
    <x v="16"/>
    <x v="2"/>
    <x v="225"/>
    <n v="3800"/>
    <x v="4"/>
    <x v="2"/>
    <x v="1"/>
    <d v="2025-02-02T00:00:00"/>
    <n v="2"/>
  </r>
  <r>
    <s v="ORD00295"/>
    <d v="2024-07-05T00:00:00"/>
    <s v="C0163"/>
    <s v="Sneha Yadav"/>
    <x v="1"/>
    <n v="35"/>
    <x v="6"/>
    <x v="5"/>
    <s v="P501"/>
    <x v="8"/>
    <x v="2"/>
    <x v="6"/>
    <x v="0"/>
    <x v="226"/>
    <n v="4650"/>
    <x v="2"/>
    <x v="4"/>
    <x v="1"/>
    <d v="2024-07-12T00:00:00"/>
    <n v="3"/>
  </r>
  <r>
    <s v="ORD00296"/>
    <d v="2024-08-31T00:00:00"/>
    <s v="C0178"/>
    <s v="Pooja Joshi"/>
    <x v="1"/>
    <n v="25"/>
    <x v="9"/>
    <x v="8"/>
    <s v="P106"/>
    <x v="23"/>
    <x v="0"/>
    <x v="0"/>
    <x v="4"/>
    <x v="220"/>
    <n v="710"/>
    <x v="7"/>
    <x v="4"/>
    <x v="1"/>
    <d v="2024-09-06T00:00:00"/>
    <n v="4"/>
  </r>
  <r>
    <s v="ORD00297"/>
    <d v="2024-09-12T00:00:00"/>
    <s v="C0035"/>
    <s v="Pooja Jain"/>
    <x v="1"/>
    <n v="35"/>
    <x v="15"/>
    <x v="8"/>
    <s v="P201"/>
    <x v="11"/>
    <x v="4"/>
    <x v="8"/>
    <x v="4"/>
    <x v="227"/>
    <n v="5100"/>
    <x v="4"/>
    <x v="3"/>
    <x v="1"/>
    <d v="2024-09-21T00:00:00"/>
    <n v="5"/>
  </r>
  <r>
    <s v="ORD00298"/>
    <d v="2024-06-19T00:00:00"/>
    <s v="C0212"/>
    <s v="Riya Gupta"/>
    <x v="1"/>
    <n v="33"/>
    <x v="7"/>
    <x v="6"/>
    <s v="P301"/>
    <x v="2"/>
    <x v="1"/>
    <x v="2"/>
    <x v="3"/>
    <x v="177"/>
    <n v="630"/>
    <x v="3"/>
    <x v="3"/>
    <x v="2"/>
    <d v="2024-06-28T00:00:00"/>
    <n v="4"/>
  </r>
  <r>
    <s v="ORD00299"/>
    <d v="2024-06-15T00:00:00"/>
    <s v="C0232"/>
    <s v="Pooja Joshi"/>
    <x v="1"/>
    <n v="43"/>
    <x v="2"/>
    <x v="0"/>
    <s v="P102"/>
    <x v="0"/>
    <x v="0"/>
    <x v="0"/>
    <x v="3"/>
    <x v="80"/>
    <n v="2370"/>
    <x v="4"/>
    <x v="1"/>
    <x v="1"/>
    <d v="2024-06-18T00:00:00"/>
    <n v="3"/>
  </r>
  <r>
    <s v="ORD00300"/>
    <d v="2024-12-16T00:00:00"/>
    <s v="C0088"/>
    <s v="Riya Mishra"/>
    <x v="1"/>
    <n v="21"/>
    <x v="12"/>
    <x v="9"/>
    <s v="P106"/>
    <x v="23"/>
    <x v="0"/>
    <x v="0"/>
    <x v="4"/>
    <x v="228"/>
    <n v="710"/>
    <x v="2"/>
    <x v="1"/>
    <x v="3"/>
    <s v="NA"/>
    <s v="NA"/>
  </r>
  <r>
    <s v="ORD00301"/>
    <d v="2025-09-20T00:00:00"/>
    <s v="C0248"/>
    <s v="Deepak Patel"/>
    <x v="0"/>
    <n v="33"/>
    <x v="11"/>
    <x v="0"/>
    <s v="P302"/>
    <x v="12"/>
    <x v="1"/>
    <x v="9"/>
    <x v="2"/>
    <x v="229"/>
    <n v="180"/>
    <x v="3"/>
    <x v="0"/>
    <x v="1"/>
    <d v="2025-09-23T00:00:00"/>
    <n v="4"/>
  </r>
  <r>
    <s v="ORD00302"/>
    <d v="2024-07-29T00:00:00"/>
    <s v="C0098"/>
    <s v="Rahul Jain"/>
    <x v="0"/>
    <n v="49"/>
    <x v="8"/>
    <x v="7"/>
    <s v="P503"/>
    <x v="7"/>
    <x v="2"/>
    <x v="5"/>
    <x v="0"/>
    <x v="121"/>
    <n v="3950"/>
    <x v="0"/>
    <x v="1"/>
    <x v="1"/>
    <d v="2024-08-03T00:00:00"/>
    <n v="3"/>
  </r>
  <r>
    <s v="ORD00303"/>
    <d v="2024-02-20T00:00:00"/>
    <s v="C0202"/>
    <s v="Rohan Joshi"/>
    <x v="0"/>
    <n v="18"/>
    <x v="7"/>
    <x v="6"/>
    <s v="P105"/>
    <x v="21"/>
    <x v="0"/>
    <x v="16"/>
    <x v="4"/>
    <x v="230"/>
    <n v="1900"/>
    <x v="7"/>
    <x v="3"/>
    <x v="1"/>
    <d v="2024-02-23T00:00:00"/>
    <n v="4"/>
  </r>
  <r>
    <s v="ORD00304"/>
    <d v="2025-11-08T00:00:00"/>
    <s v="C0246"/>
    <s v="Suman Sharma"/>
    <x v="1"/>
    <n v="19"/>
    <x v="10"/>
    <x v="5"/>
    <s v="P104"/>
    <x v="19"/>
    <x v="0"/>
    <x v="14"/>
    <x v="4"/>
    <x v="231"/>
    <n v="1230"/>
    <x v="5"/>
    <x v="0"/>
    <x v="0"/>
    <d v="2025-11-14T00:00:00"/>
    <n v="3"/>
  </r>
  <r>
    <s v="ORD00305"/>
    <d v="2025-04-29T00:00:00"/>
    <s v="C0060"/>
    <s v="Rahul Solanki"/>
    <x v="0"/>
    <n v="51"/>
    <x v="1"/>
    <x v="1"/>
    <s v="P301"/>
    <x v="2"/>
    <x v="1"/>
    <x v="2"/>
    <x v="1"/>
    <x v="100"/>
    <n v="840"/>
    <x v="1"/>
    <x v="1"/>
    <x v="1"/>
    <d v="2025-05-11T00:00:00"/>
    <n v="5"/>
  </r>
  <r>
    <s v="ORD00306"/>
    <d v="2024-07-08T00:00:00"/>
    <s v="C0190"/>
    <s v="Riya Mehta"/>
    <x v="1"/>
    <n v="31"/>
    <x v="12"/>
    <x v="9"/>
    <s v="P204"/>
    <x v="20"/>
    <x v="4"/>
    <x v="15"/>
    <x v="2"/>
    <x v="54"/>
    <n v="3740"/>
    <x v="1"/>
    <x v="3"/>
    <x v="1"/>
    <d v="2024-07-17T00:00:00"/>
    <n v="5"/>
  </r>
  <r>
    <s v="ORD00307"/>
    <d v="2024-09-26T00:00:00"/>
    <s v="C0116"/>
    <s v="Vivaan Khan"/>
    <x v="0"/>
    <n v="23"/>
    <x v="14"/>
    <x v="1"/>
    <s v="P403"/>
    <x v="17"/>
    <x v="3"/>
    <x v="13"/>
    <x v="4"/>
    <x v="232"/>
    <n v="760"/>
    <x v="6"/>
    <x v="3"/>
    <x v="1"/>
    <d v="2024-10-08T00:00:00"/>
    <n v="4"/>
  </r>
  <r>
    <s v="ORD00308"/>
    <d v="2025-07-08T00:00:00"/>
    <s v="C0212"/>
    <s v="Riya Gupta"/>
    <x v="1"/>
    <n v="33"/>
    <x v="6"/>
    <x v="5"/>
    <s v="P402"/>
    <x v="18"/>
    <x v="3"/>
    <x v="7"/>
    <x v="4"/>
    <x v="233"/>
    <n v="510"/>
    <x v="3"/>
    <x v="2"/>
    <x v="1"/>
    <d v="2025-07-18T00:00:00"/>
    <n v="5"/>
  </r>
  <r>
    <s v="ORD00309"/>
    <d v="2025-08-09T00:00:00"/>
    <s v="C0121"/>
    <s v="Rohan Joshi"/>
    <x v="0"/>
    <n v="37"/>
    <x v="7"/>
    <x v="6"/>
    <s v="P202"/>
    <x v="13"/>
    <x v="4"/>
    <x v="8"/>
    <x v="4"/>
    <x v="234"/>
    <n v="4300"/>
    <x v="3"/>
    <x v="3"/>
    <x v="3"/>
    <s v="NA"/>
    <s v="NA"/>
  </r>
  <r>
    <s v="ORD00310"/>
    <d v="2025-08-07T00:00:00"/>
    <s v="C0265"/>
    <s v="Arjun Jain"/>
    <x v="0"/>
    <n v="41"/>
    <x v="13"/>
    <x v="4"/>
    <s v="P104"/>
    <x v="19"/>
    <x v="0"/>
    <x v="14"/>
    <x v="1"/>
    <x v="235"/>
    <n v="4920"/>
    <x v="6"/>
    <x v="0"/>
    <x v="1"/>
    <d v="2025-08-12T00:00:00"/>
    <n v="3"/>
  </r>
  <r>
    <s v="ORD00311"/>
    <d v="2024-02-13T00:00:00"/>
    <s v="C0217"/>
    <s v="Priya Yadav"/>
    <x v="1"/>
    <n v="38"/>
    <x v="2"/>
    <x v="0"/>
    <s v="P502"/>
    <x v="9"/>
    <x v="2"/>
    <x v="5"/>
    <x v="1"/>
    <x v="236"/>
    <n v="1680"/>
    <x v="5"/>
    <x v="0"/>
    <x v="2"/>
    <d v="2024-02-24T00:00:00"/>
    <n v="4"/>
  </r>
  <r>
    <s v="ORD00312"/>
    <d v="2024-11-23T00:00:00"/>
    <s v="C0035"/>
    <s v="Pooja Jain"/>
    <x v="1"/>
    <n v="35"/>
    <x v="2"/>
    <x v="0"/>
    <s v="P301"/>
    <x v="2"/>
    <x v="1"/>
    <x v="2"/>
    <x v="0"/>
    <x v="237"/>
    <n v="1050"/>
    <x v="3"/>
    <x v="2"/>
    <x v="1"/>
    <d v="2024-11-29T00:00:00"/>
    <n v="5"/>
  </r>
  <r>
    <s v="ORD00313"/>
    <d v="2024-01-13T00:00:00"/>
    <s v="C0268"/>
    <s v="Suman Gupta"/>
    <x v="1"/>
    <n v="57"/>
    <x v="8"/>
    <x v="7"/>
    <s v="P104"/>
    <x v="19"/>
    <x v="0"/>
    <x v="14"/>
    <x v="1"/>
    <x v="235"/>
    <n v="4920"/>
    <x v="6"/>
    <x v="0"/>
    <x v="3"/>
    <s v="NA"/>
    <s v="NA"/>
  </r>
  <r>
    <s v="ORD00314"/>
    <d v="2025-08-25T00:00:00"/>
    <s v="C0299"/>
    <s v="Kunal Yadav"/>
    <x v="0"/>
    <n v="29"/>
    <x v="4"/>
    <x v="3"/>
    <s v="P104"/>
    <x v="19"/>
    <x v="0"/>
    <x v="14"/>
    <x v="0"/>
    <x v="238"/>
    <n v="6150"/>
    <x v="2"/>
    <x v="1"/>
    <x v="2"/>
    <d v="2025-09-04T00:00:00"/>
    <n v="4"/>
  </r>
  <r>
    <s v="ORD00315"/>
    <d v="2025-02-24T00:00:00"/>
    <s v="C0136"/>
    <s v="Deepak Singh"/>
    <x v="0"/>
    <n v="39"/>
    <x v="12"/>
    <x v="9"/>
    <s v="P501"/>
    <x v="8"/>
    <x v="2"/>
    <x v="6"/>
    <x v="1"/>
    <x v="198"/>
    <n v="3720"/>
    <x v="1"/>
    <x v="3"/>
    <x v="1"/>
    <d v="2025-03-02T00:00:00"/>
    <n v="5"/>
  </r>
  <r>
    <s v="ORD00316"/>
    <d v="2024-05-27T00:00:00"/>
    <s v="C0206"/>
    <s v="Kunal Verma"/>
    <x v="0"/>
    <n v="47"/>
    <x v="0"/>
    <x v="0"/>
    <s v="P301"/>
    <x v="2"/>
    <x v="1"/>
    <x v="2"/>
    <x v="3"/>
    <x v="239"/>
    <n v="630"/>
    <x v="5"/>
    <x v="3"/>
    <x v="0"/>
    <d v="2024-06-05T00:00:00"/>
    <n v="4"/>
  </r>
  <r>
    <s v="ORD00317"/>
    <d v="2025-01-16T00:00:00"/>
    <s v="C0011"/>
    <s v="Aman Gupta"/>
    <x v="0"/>
    <n v="18"/>
    <x v="9"/>
    <x v="8"/>
    <s v="P202"/>
    <x v="13"/>
    <x v="4"/>
    <x v="8"/>
    <x v="3"/>
    <x v="133"/>
    <n v="12900"/>
    <x v="0"/>
    <x v="4"/>
    <x v="2"/>
    <d v="2025-01-28T00:00:00"/>
    <n v="3"/>
  </r>
  <r>
    <s v="ORD00318"/>
    <d v="2024-08-21T00:00:00"/>
    <s v="C0069"/>
    <s v="Rashmi Khan"/>
    <x v="1"/>
    <n v="45"/>
    <x v="1"/>
    <x v="1"/>
    <s v="P504"/>
    <x v="15"/>
    <x v="2"/>
    <x v="11"/>
    <x v="1"/>
    <x v="212"/>
    <n v="6480"/>
    <x v="7"/>
    <x v="1"/>
    <x v="0"/>
    <d v="2024-08-29T00:00:00"/>
    <n v="3"/>
  </r>
  <r>
    <s v="ORD00319"/>
    <d v="2024-07-11T00:00:00"/>
    <s v="C0227"/>
    <s v="Anjali Gupta"/>
    <x v="1"/>
    <n v="42"/>
    <x v="10"/>
    <x v="5"/>
    <s v="P302"/>
    <x v="12"/>
    <x v="1"/>
    <x v="9"/>
    <x v="1"/>
    <x v="240"/>
    <n v="360"/>
    <x v="7"/>
    <x v="3"/>
    <x v="3"/>
    <s v="NA"/>
    <s v="NA"/>
  </r>
  <r>
    <s v="ORD00320"/>
    <d v="2024-06-11T00:00:00"/>
    <s v="C0034"/>
    <s v="Vivaan Singh"/>
    <x v="0"/>
    <n v="20"/>
    <x v="1"/>
    <x v="1"/>
    <s v="P503"/>
    <x v="7"/>
    <x v="2"/>
    <x v="5"/>
    <x v="0"/>
    <x v="241"/>
    <n v="3950"/>
    <x v="3"/>
    <x v="0"/>
    <x v="2"/>
    <d v="2024-06-21T00:00:00"/>
    <n v="2"/>
  </r>
  <r>
    <s v="ORD00321"/>
    <d v="2024-06-26T00:00:00"/>
    <s v="C0099"/>
    <s v="Muskan Singh"/>
    <x v="1"/>
    <n v="43"/>
    <x v="10"/>
    <x v="5"/>
    <s v="P102"/>
    <x v="0"/>
    <x v="0"/>
    <x v="0"/>
    <x v="2"/>
    <x v="242"/>
    <n v="1580"/>
    <x v="4"/>
    <x v="4"/>
    <x v="1"/>
    <d v="2024-07-03T00:00:00"/>
    <n v="4"/>
  </r>
  <r>
    <s v="ORD00322"/>
    <d v="2024-10-07T00:00:00"/>
    <s v="C0189"/>
    <s v="Suman Yadav"/>
    <x v="1"/>
    <n v="47"/>
    <x v="3"/>
    <x v="2"/>
    <s v="P401"/>
    <x v="10"/>
    <x v="3"/>
    <x v="7"/>
    <x v="1"/>
    <x v="243"/>
    <n v="1480"/>
    <x v="2"/>
    <x v="3"/>
    <x v="1"/>
    <d v="2024-10-14T00:00:00"/>
    <n v="5"/>
  </r>
  <r>
    <s v="ORD00323"/>
    <d v="2025-08-31T00:00:00"/>
    <s v="C0229"/>
    <s v="Deepak Singh"/>
    <x v="0"/>
    <n v="49"/>
    <x v="5"/>
    <x v="4"/>
    <s v="P304"/>
    <x v="1"/>
    <x v="1"/>
    <x v="1"/>
    <x v="0"/>
    <x v="159"/>
    <n v="2600"/>
    <x v="7"/>
    <x v="1"/>
    <x v="1"/>
    <d v="2025-09-06T00:00:00"/>
    <n v="3"/>
  </r>
  <r>
    <s v="ORD00324"/>
    <d v="2024-10-18T00:00:00"/>
    <s v="C0015"/>
    <s v="Aditya Jain"/>
    <x v="0"/>
    <n v="24"/>
    <x v="12"/>
    <x v="9"/>
    <s v="P102"/>
    <x v="0"/>
    <x v="0"/>
    <x v="0"/>
    <x v="2"/>
    <x v="31"/>
    <n v="1580"/>
    <x v="5"/>
    <x v="0"/>
    <x v="0"/>
    <d v="2024-10-23T00:00:00"/>
    <n v="4"/>
  </r>
  <r>
    <s v="ORD00325"/>
    <d v="2024-10-02T00:00:00"/>
    <s v="C0210"/>
    <s v="Kavita Solanki"/>
    <x v="1"/>
    <n v="46"/>
    <x v="11"/>
    <x v="0"/>
    <s v="P502"/>
    <x v="9"/>
    <x v="2"/>
    <x v="5"/>
    <x v="4"/>
    <x v="244"/>
    <n v="420"/>
    <x v="1"/>
    <x v="0"/>
    <x v="0"/>
    <d v="2024-10-06T00:00:00"/>
    <n v="2"/>
  </r>
  <r>
    <s v="ORD00326"/>
    <d v="2024-08-17T00:00:00"/>
    <s v="C0130"/>
    <s v="Deepak Joshi"/>
    <x v="0"/>
    <n v="51"/>
    <x v="1"/>
    <x v="1"/>
    <s v="P503"/>
    <x v="7"/>
    <x v="2"/>
    <x v="5"/>
    <x v="3"/>
    <x v="245"/>
    <n v="2370"/>
    <x v="3"/>
    <x v="4"/>
    <x v="2"/>
    <d v="2024-08-24T00:00:00"/>
    <n v="5"/>
  </r>
  <r>
    <s v="ORD00327"/>
    <d v="2024-09-15T00:00:00"/>
    <s v="C0112"/>
    <s v="Rahul Verma"/>
    <x v="0"/>
    <n v="56"/>
    <x v="3"/>
    <x v="2"/>
    <s v="P202"/>
    <x v="13"/>
    <x v="4"/>
    <x v="8"/>
    <x v="0"/>
    <x v="246"/>
    <n v="21500"/>
    <x v="3"/>
    <x v="2"/>
    <x v="1"/>
    <d v="2024-09-17T00:00:00"/>
    <n v="4"/>
  </r>
  <r>
    <s v="ORD00328"/>
    <d v="2025-07-28T00:00:00"/>
    <s v="C0145"/>
    <s v="Nisha Sharma"/>
    <x v="1"/>
    <n v="25"/>
    <x v="1"/>
    <x v="1"/>
    <s v="P502"/>
    <x v="9"/>
    <x v="2"/>
    <x v="5"/>
    <x v="4"/>
    <x v="244"/>
    <n v="420"/>
    <x v="1"/>
    <x v="3"/>
    <x v="1"/>
    <d v="2025-08-03T00:00:00"/>
    <n v="4"/>
  </r>
  <r>
    <s v="ORD00329"/>
    <d v="2024-10-10T00:00:00"/>
    <s v="C0134"/>
    <s v="Arjun Mishra"/>
    <x v="0"/>
    <n v="53"/>
    <x v="1"/>
    <x v="1"/>
    <s v="P107"/>
    <x v="5"/>
    <x v="0"/>
    <x v="4"/>
    <x v="2"/>
    <x v="247"/>
    <n v="1840"/>
    <x v="5"/>
    <x v="3"/>
    <x v="2"/>
    <d v="2024-10-21T00:00:00"/>
    <n v="5"/>
  </r>
  <r>
    <s v="ORD00330"/>
    <d v="2025-11-07T00:00:00"/>
    <s v="C0164"/>
    <s v="Aditya Gupta"/>
    <x v="0"/>
    <n v="40"/>
    <x v="13"/>
    <x v="4"/>
    <s v="P504"/>
    <x v="15"/>
    <x v="2"/>
    <x v="11"/>
    <x v="4"/>
    <x v="248"/>
    <n v="1620"/>
    <x v="1"/>
    <x v="1"/>
    <x v="1"/>
    <d v="2025-11-15T00:00:00"/>
    <n v="5"/>
  </r>
  <r>
    <s v="ORD00331"/>
    <d v="2025-02-01T00:00:00"/>
    <s v="C0019"/>
    <s v="Aditya Solanki"/>
    <x v="0"/>
    <n v="36"/>
    <x v="10"/>
    <x v="5"/>
    <s v="P203"/>
    <x v="16"/>
    <x v="4"/>
    <x v="12"/>
    <x v="2"/>
    <x v="134"/>
    <n v="6100"/>
    <x v="1"/>
    <x v="1"/>
    <x v="3"/>
    <s v="NA"/>
    <s v="NA"/>
  </r>
  <r>
    <s v="ORD00332"/>
    <d v="2024-11-03T00:00:00"/>
    <s v="C0088"/>
    <s v="Riya Mishra"/>
    <x v="1"/>
    <n v="21"/>
    <x v="5"/>
    <x v="4"/>
    <s v="P202"/>
    <x v="13"/>
    <x v="4"/>
    <x v="8"/>
    <x v="4"/>
    <x v="249"/>
    <n v="4300"/>
    <x v="1"/>
    <x v="0"/>
    <x v="0"/>
    <d v="2024-11-09T00:00:00"/>
    <n v="3"/>
  </r>
  <r>
    <s v="ORD00333"/>
    <d v="2025-11-27T00:00:00"/>
    <s v="C0172"/>
    <s v="Arjun Jain"/>
    <x v="0"/>
    <n v="54"/>
    <x v="2"/>
    <x v="0"/>
    <s v="P108"/>
    <x v="22"/>
    <x v="0"/>
    <x v="14"/>
    <x v="3"/>
    <x v="250"/>
    <n v="3240"/>
    <x v="5"/>
    <x v="1"/>
    <x v="1"/>
    <d v="2025-12-04T00:00:00"/>
    <n v="4"/>
  </r>
  <r>
    <s v="ORD00334"/>
    <d v="2024-09-23T00:00:00"/>
    <s v="C0300"/>
    <s v="Neha Sharma"/>
    <x v="1"/>
    <n v="52"/>
    <x v="1"/>
    <x v="1"/>
    <s v="P303"/>
    <x v="4"/>
    <x v="1"/>
    <x v="1"/>
    <x v="4"/>
    <x v="9"/>
    <n v="330"/>
    <x v="1"/>
    <x v="3"/>
    <x v="2"/>
    <d v="2024-10-05T00:00:00"/>
    <n v="3"/>
  </r>
  <r>
    <s v="ORD00335"/>
    <d v="2025-04-28T00:00:00"/>
    <s v="C0100"/>
    <s v="Vivaan Patel"/>
    <x v="0"/>
    <n v="42"/>
    <x v="4"/>
    <x v="3"/>
    <s v="P502"/>
    <x v="9"/>
    <x v="2"/>
    <x v="5"/>
    <x v="1"/>
    <x v="251"/>
    <n v="1680"/>
    <x v="0"/>
    <x v="4"/>
    <x v="1"/>
    <d v="2025-05-02T00:00:00"/>
    <n v="3"/>
  </r>
  <r>
    <s v="ORD00336"/>
    <d v="2024-07-24T00:00:00"/>
    <s v="C0176"/>
    <s v="Anjali Jain"/>
    <x v="1"/>
    <n v="22"/>
    <x v="8"/>
    <x v="7"/>
    <s v="P403"/>
    <x v="17"/>
    <x v="3"/>
    <x v="13"/>
    <x v="1"/>
    <x v="141"/>
    <n v="3040"/>
    <x v="6"/>
    <x v="1"/>
    <x v="2"/>
    <d v="2024-07-28T00:00:00"/>
    <n v="3"/>
  </r>
  <r>
    <s v="ORD00337"/>
    <d v="2025-05-14T00:00:00"/>
    <s v="C0171"/>
    <s v="Kavita Khan"/>
    <x v="1"/>
    <n v="50"/>
    <x v="5"/>
    <x v="4"/>
    <s v="P203"/>
    <x v="16"/>
    <x v="4"/>
    <x v="12"/>
    <x v="4"/>
    <x v="65"/>
    <n v="3050"/>
    <x v="4"/>
    <x v="4"/>
    <x v="1"/>
    <d v="2025-05-19T00:00:00"/>
    <n v="3"/>
  </r>
  <r>
    <s v="ORD00338"/>
    <d v="2025-08-13T00:00:00"/>
    <s v="C0082"/>
    <s v="Reena Mehta"/>
    <x v="1"/>
    <n v="31"/>
    <x v="7"/>
    <x v="6"/>
    <s v="P103"/>
    <x v="3"/>
    <x v="0"/>
    <x v="3"/>
    <x v="2"/>
    <x v="213"/>
    <n v="820"/>
    <x v="3"/>
    <x v="4"/>
    <x v="1"/>
    <d v="2025-08-21T00:00:00"/>
    <n v="5"/>
  </r>
  <r>
    <s v="ORD00339"/>
    <d v="2025-01-27T00:00:00"/>
    <s v="C0003"/>
    <s v="Kunal Patel"/>
    <x v="0"/>
    <n v="24"/>
    <x v="0"/>
    <x v="0"/>
    <s v="P402"/>
    <x v="18"/>
    <x v="3"/>
    <x v="7"/>
    <x v="2"/>
    <x v="155"/>
    <n v="1020"/>
    <x v="7"/>
    <x v="3"/>
    <x v="1"/>
    <d v="2025-02-06T00:00:00"/>
    <n v="4"/>
  </r>
  <r>
    <s v="ORD00340"/>
    <d v="2024-01-19T00:00:00"/>
    <s v="C0003"/>
    <s v="Kunal Patel"/>
    <x v="0"/>
    <n v="24"/>
    <x v="6"/>
    <x v="5"/>
    <s v="P108"/>
    <x v="22"/>
    <x v="0"/>
    <x v="14"/>
    <x v="3"/>
    <x v="252"/>
    <n v="3240"/>
    <x v="0"/>
    <x v="0"/>
    <x v="1"/>
    <d v="2024-01-27T00:00:00"/>
    <n v="4"/>
  </r>
  <r>
    <s v="ORD00341"/>
    <d v="2024-06-20T00:00:00"/>
    <s v="C0034"/>
    <s v="Vivaan Singh"/>
    <x v="0"/>
    <n v="20"/>
    <x v="0"/>
    <x v="0"/>
    <s v="P202"/>
    <x v="13"/>
    <x v="4"/>
    <x v="8"/>
    <x v="3"/>
    <x v="22"/>
    <n v="12900"/>
    <x v="1"/>
    <x v="2"/>
    <x v="3"/>
    <s v="NA"/>
    <s v="NA"/>
  </r>
  <r>
    <s v="ORD00342"/>
    <d v="2025-06-20T00:00:00"/>
    <s v="C0173"/>
    <s v="Mohit Gupta"/>
    <x v="0"/>
    <n v="20"/>
    <x v="8"/>
    <x v="7"/>
    <s v="P502"/>
    <x v="9"/>
    <x v="2"/>
    <x v="5"/>
    <x v="2"/>
    <x v="186"/>
    <n v="840"/>
    <x v="7"/>
    <x v="4"/>
    <x v="1"/>
    <d v="2025-06-25T00:00:00"/>
    <n v="3"/>
  </r>
  <r>
    <s v="ORD00343"/>
    <d v="2025-02-17T00:00:00"/>
    <s v="C0010"/>
    <s v="Kavita Singh"/>
    <x v="1"/>
    <n v="46"/>
    <x v="6"/>
    <x v="5"/>
    <s v="P108"/>
    <x v="22"/>
    <x v="0"/>
    <x v="14"/>
    <x v="2"/>
    <x v="253"/>
    <n v="2160"/>
    <x v="5"/>
    <x v="3"/>
    <x v="3"/>
    <s v="NA"/>
    <s v="NA"/>
  </r>
  <r>
    <s v="ORD00344"/>
    <d v="2025-05-31T00:00:00"/>
    <s v="C0087"/>
    <s v="Anjali Jain"/>
    <x v="1"/>
    <n v="44"/>
    <x v="4"/>
    <x v="3"/>
    <s v="P204"/>
    <x v="20"/>
    <x v="4"/>
    <x v="15"/>
    <x v="4"/>
    <x v="142"/>
    <n v="1870"/>
    <x v="3"/>
    <x v="1"/>
    <x v="2"/>
    <d v="2025-06-10T00:00:00"/>
    <n v="2"/>
  </r>
  <r>
    <s v="ORD00345"/>
    <d v="2025-08-31T00:00:00"/>
    <s v="C0025"/>
    <s v="Riya Joshi"/>
    <x v="1"/>
    <n v="41"/>
    <x v="4"/>
    <x v="3"/>
    <s v="P501"/>
    <x v="8"/>
    <x v="2"/>
    <x v="6"/>
    <x v="4"/>
    <x v="254"/>
    <n v="930"/>
    <x v="4"/>
    <x v="6"/>
    <x v="1"/>
    <d v="2025-09-09T00:00:00"/>
    <n v="5"/>
  </r>
  <r>
    <s v="ORD00346"/>
    <d v="2024-05-06T00:00:00"/>
    <s v="C0281"/>
    <s v="Aditya Singh"/>
    <x v="0"/>
    <n v="44"/>
    <x v="14"/>
    <x v="1"/>
    <s v="P304"/>
    <x v="1"/>
    <x v="1"/>
    <x v="1"/>
    <x v="2"/>
    <x v="255"/>
    <n v="1040"/>
    <x v="5"/>
    <x v="3"/>
    <x v="1"/>
    <d v="2024-05-14T00:00:00"/>
    <n v="3"/>
  </r>
  <r>
    <s v="ORD00347"/>
    <d v="2025-11-09T00:00:00"/>
    <s v="C0267"/>
    <s v="Kavita Patel"/>
    <x v="1"/>
    <n v="51"/>
    <x v="14"/>
    <x v="1"/>
    <s v="P404"/>
    <x v="14"/>
    <x v="3"/>
    <x v="10"/>
    <x v="0"/>
    <x v="21"/>
    <n v="3050"/>
    <x v="6"/>
    <x v="4"/>
    <x v="2"/>
    <d v="2025-11-12T00:00:00"/>
    <n v="3"/>
  </r>
  <r>
    <s v="ORD00348"/>
    <d v="2024-10-16T00:00:00"/>
    <s v="C0059"/>
    <s v="Mohit Patel"/>
    <x v="0"/>
    <n v="41"/>
    <x v="4"/>
    <x v="3"/>
    <s v="P304"/>
    <x v="1"/>
    <x v="1"/>
    <x v="1"/>
    <x v="2"/>
    <x v="255"/>
    <n v="1040"/>
    <x v="5"/>
    <x v="1"/>
    <x v="2"/>
    <d v="2024-10-26T00:00:00"/>
    <n v="4"/>
  </r>
  <r>
    <s v="ORD00349"/>
    <d v="2025-01-01T00:00:00"/>
    <s v="C0210"/>
    <s v="Kavita Solanki"/>
    <x v="1"/>
    <n v="46"/>
    <x v="1"/>
    <x v="1"/>
    <s v="P106"/>
    <x v="23"/>
    <x v="0"/>
    <x v="0"/>
    <x v="4"/>
    <x v="256"/>
    <n v="710"/>
    <x v="1"/>
    <x v="0"/>
    <x v="0"/>
    <d v="2025-01-10T00:00:00"/>
    <n v="4"/>
  </r>
  <r>
    <s v="ORD00351"/>
    <d v="2024-04-02T00:00:00"/>
    <s v="C0262"/>
    <s v="Nisha Jain"/>
    <x v="1"/>
    <n v="41"/>
    <x v="2"/>
    <x v="0"/>
    <s v="P504"/>
    <x v="15"/>
    <x v="2"/>
    <x v="11"/>
    <x v="4"/>
    <x v="257"/>
    <n v="1620"/>
    <x v="0"/>
    <x v="0"/>
    <x v="1"/>
    <d v="2024-04-08T00:00:00"/>
    <n v="4"/>
  </r>
  <r>
    <s v="ORD00352"/>
    <d v="2025-04-20T00:00:00"/>
    <s v="C0026"/>
    <s v="Rahul Yadav"/>
    <x v="0"/>
    <n v="40"/>
    <x v="4"/>
    <x v="3"/>
    <s v="P106"/>
    <x v="23"/>
    <x v="0"/>
    <x v="0"/>
    <x v="4"/>
    <x v="258"/>
    <n v="710"/>
    <x v="0"/>
    <x v="1"/>
    <x v="2"/>
    <d v="2025-05-02T00:00:00"/>
    <n v="4"/>
  </r>
  <r>
    <s v="ORD00353"/>
    <d v="2025-03-12T00:00:00"/>
    <s v="C0060"/>
    <s v="Rahul Solanki"/>
    <x v="0"/>
    <n v="51"/>
    <x v="4"/>
    <x v="3"/>
    <s v="P102"/>
    <x v="0"/>
    <x v="0"/>
    <x v="0"/>
    <x v="4"/>
    <x v="232"/>
    <n v="790"/>
    <x v="6"/>
    <x v="0"/>
    <x v="1"/>
    <d v="2025-03-19T00:00:00"/>
    <n v="5"/>
  </r>
  <r>
    <s v="ORD00354"/>
    <d v="2025-09-28T00:00:00"/>
    <s v="C0138"/>
    <s v="Priya Solanki"/>
    <x v="1"/>
    <n v="49"/>
    <x v="2"/>
    <x v="0"/>
    <s v="P204"/>
    <x v="20"/>
    <x v="4"/>
    <x v="15"/>
    <x v="3"/>
    <x v="200"/>
    <n v="5610"/>
    <x v="6"/>
    <x v="3"/>
    <x v="1"/>
    <d v="2025-10-06T00:00:00"/>
    <n v="5"/>
  </r>
  <r>
    <s v="ORD00355"/>
    <d v="2024-10-05T00:00:00"/>
    <s v="C0198"/>
    <s v="Muskan Khan"/>
    <x v="1"/>
    <n v="22"/>
    <x v="7"/>
    <x v="6"/>
    <s v="P302"/>
    <x v="12"/>
    <x v="1"/>
    <x v="9"/>
    <x v="2"/>
    <x v="259"/>
    <n v="180"/>
    <x v="2"/>
    <x v="0"/>
    <x v="0"/>
    <d v="2024-10-07T00:00:00"/>
    <n v="3"/>
  </r>
  <r>
    <s v="ORD00356"/>
    <d v="2024-04-16T00:00:00"/>
    <s v="C0214"/>
    <s v="Muskan Joshi"/>
    <x v="1"/>
    <n v="33"/>
    <x v="7"/>
    <x v="6"/>
    <s v="P403"/>
    <x v="17"/>
    <x v="3"/>
    <x v="13"/>
    <x v="1"/>
    <x v="141"/>
    <n v="3040"/>
    <x v="6"/>
    <x v="2"/>
    <x v="1"/>
    <d v="2024-04-23T00:00:00"/>
    <n v="2"/>
  </r>
  <r>
    <s v="ORD00357"/>
    <d v="2025-12-01T00:00:00"/>
    <s v="C0067"/>
    <s v="Rohan Joshi"/>
    <x v="0"/>
    <n v="48"/>
    <x v="7"/>
    <x v="6"/>
    <s v="P304"/>
    <x v="1"/>
    <x v="1"/>
    <x v="1"/>
    <x v="4"/>
    <x v="233"/>
    <n v="520"/>
    <x v="3"/>
    <x v="4"/>
    <x v="1"/>
    <d v="2025-12-04T00:00:00"/>
    <n v="4"/>
  </r>
  <r>
    <s v="ORD00358"/>
    <d v="2025-11-01T00:00:00"/>
    <s v="C0161"/>
    <s v="Anjali Gupta"/>
    <x v="1"/>
    <n v="32"/>
    <x v="11"/>
    <x v="0"/>
    <s v="P503"/>
    <x v="7"/>
    <x v="2"/>
    <x v="5"/>
    <x v="0"/>
    <x v="156"/>
    <n v="3950"/>
    <x v="5"/>
    <x v="1"/>
    <x v="3"/>
    <s v="NA"/>
    <s v="NA"/>
  </r>
  <r>
    <s v="ORD00359"/>
    <d v="2025-06-19T00:00:00"/>
    <s v="C0049"/>
    <s v="Sneha Khan"/>
    <x v="1"/>
    <n v="47"/>
    <x v="8"/>
    <x v="7"/>
    <s v="P502"/>
    <x v="9"/>
    <x v="2"/>
    <x v="5"/>
    <x v="2"/>
    <x v="260"/>
    <n v="840"/>
    <x v="1"/>
    <x v="1"/>
    <x v="0"/>
    <d v="2025-07-01T00:00:00"/>
    <n v="5"/>
  </r>
  <r>
    <s v="ORD00360"/>
    <d v="2024-06-01T00:00:00"/>
    <s v="C0286"/>
    <s v="Akash Singh"/>
    <x v="0"/>
    <n v="37"/>
    <x v="0"/>
    <x v="0"/>
    <s v="P101"/>
    <x v="6"/>
    <x v="0"/>
    <x v="0"/>
    <x v="2"/>
    <x v="260"/>
    <n v="940"/>
    <x v="1"/>
    <x v="4"/>
    <x v="2"/>
    <d v="2024-06-05T00:00:00"/>
    <n v="3"/>
  </r>
  <r>
    <s v="ORD00361"/>
    <d v="2025-05-18T00:00:00"/>
    <s v="C0165"/>
    <s v="Suman Solanki"/>
    <x v="1"/>
    <n v="43"/>
    <x v="6"/>
    <x v="5"/>
    <s v="P203"/>
    <x v="16"/>
    <x v="4"/>
    <x v="12"/>
    <x v="3"/>
    <x v="59"/>
    <n v="9150"/>
    <x v="4"/>
    <x v="2"/>
    <x v="1"/>
    <d v="2025-05-28T00:00:00"/>
    <n v="5"/>
  </r>
  <r>
    <s v="ORD00362"/>
    <d v="2025-02-16T00:00:00"/>
    <s v="C0121"/>
    <s v="Rohan Joshi"/>
    <x v="0"/>
    <n v="37"/>
    <x v="2"/>
    <x v="0"/>
    <s v="P303"/>
    <x v="4"/>
    <x v="1"/>
    <x v="1"/>
    <x v="1"/>
    <x v="62"/>
    <n v="1320"/>
    <x v="1"/>
    <x v="3"/>
    <x v="2"/>
    <d v="2025-02-25T00:00:00"/>
    <n v="5"/>
  </r>
  <r>
    <s v="ORD00363"/>
    <d v="2024-11-19T00:00:00"/>
    <s v="C0061"/>
    <s v="Aarav Khan"/>
    <x v="0"/>
    <n v="38"/>
    <x v="7"/>
    <x v="6"/>
    <s v="P504"/>
    <x v="15"/>
    <x v="2"/>
    <x v="11"/>
    <x v="4"/>
    <x v="261"/>
    <n v="1620"/>
    <x v="2"/>
    <x v="4"/>
    <x v="1"/>
    <d v="2024-11-21T00:00:00"/>
    <n v="2"/>
  </r>
  <r>
    <s v="ORD00364"/>
    <d v="2024-04-03T00:00:00"/>
    <s v="C0156"/>
    <s v="Aarav Patel"/>
    <x v="0"/>
    <n v="39"/>
    <x v="10"/>
    <x v="5"/>
    <s v="P501"/>
    <x v="8"/>
    <x v="2"/>
    <x v="6"/>
    <x v="1"/>
    <x v="262"/>
    <n v="3720"/>
    <x v="7"/>
    <x v="1"/>
    <x v="2"/>
    <d v="2024-04-05T00:00:00"/>
    <n v="4"/>
  </r>
  <r>
    <s v="ORD00365"/>
    <d v="2025-04-10T00:00:00"/>
    <s v="C0170"/>
    <s v="Kavita Yadav"/>
    <x v="1"/>
    <n v="38"/>
    <x v="7"/>
    <x v="6"/>
    <s v="P503"/>
    <x v="7"/>
    <x v="2"/>
    <x v="5"/>
    <x v="3"/>
    <x v="263"/>
    <n v="2370"/>
    <x v="1"/>
    <x v="3"/>
    <x v="1"/>
    <d v="2025-04-22T00:00:00"/>
    <n v="4"/>
  </r>
  <r>
    <s v="ORD00366"/>
    <d v="2024-01-03T00:00:00"/>
    <s v="C0175"/>
    <s v="Rashmi Solanki"/>
    <x v="1"/>
    <n v="30"/>
    <x v="15"/>
    <x v="8"/>
    <s v="P501"/>
    <x v="8"/>
    <x v="2"/>
    <x v="6"/>
    <x v="3"/>
    <x v="264"/>
    <n v="2790"/>
    <x v="7"/>
    <x v="3"/>
    <x v="1"/>
    <d v="2024-01-07T00:00:00"/>
    <n v="5"/>
  </r>
  <r>
    <s v="ORD00367"/>
    <d v="2024-05-23T00:00:00"/>
    <s v="C0210"/>
    <s v="Kavita Solanki"/>
    <x v="1"/>
    <n v="46"/>
    <x v="4"/>
    <x v="3"/>
    <s v="P201"/>
    <x v="11"/>
    <x v="4"/>
    <x v="8"/>
    <x v="0"/>
    <x v="265"/>
    <n v="25500"/>
    <x v="5"/>
    <x v="0"/>
    <x v="1"/>
    <d v="2024-05-31T00:00:00"/>
    <n v="4"/>
  </r>
  <r>
    <s v="ORD00368"/>
    <d v="2025-04-13T00:00:00"/>
    <s v="C0098"/>
    <s v="Rahul Jain"/>
    <x v="0"/>
    <n v="49"/>
    <x v="9"/>
    <x v="8"/>
    <s v="P104"/>
    <x v="19"/>
    <x v="0"/>
    <x v="14"/>
    <x v="1"/>
    <x v="86"/>
    <n v="4920"/>
    <x v="4"/>
    <x v="2"/>
    <x v="1"/>
    <d v="2025-04-22T00:00:00"/>
    <n v="5"/>
  </r>
  <r>
    <s v="ORD00369"/>
    <d v="2025-11-05T00:00:00"/>
    <s v="C0259"/>
    <s v="Kunal Verma"/>
    <x v="0"/>
    <n v="37"/>
    <x v="13"/>
    <x v="4"/>
    <s v="P304"/>
    <x v="1"/>
    <x v="1"/>
    <x v="1"/>
    <x v="4"/>
    <x v="205"/>
    <n v="520"/>
    <x v="4"/>
    <x v="2"/>
    <x v="1"/>
    <d v="2025-11-16T00:00:00"/>
    <n v="5"/>
  </r>
  <r>
    <s v="ORD00370"/>
    <d v="2025-06-04T00:00:00"/>
    <s v="C0091"/>
    <s v="Arjun Singh"/>
    <x v="0"/>
    <n v="30"/>
    <x v="5"/>
    <x v="4"/>
    <s v="P504"/>
    <x v="15"/>
    <x v="2"/>
    <x v="11"/>
    <x v="2"/>
    <x v="266"/>
    <n v="3240"/>
    <x v="2"/>
    <x v="4"/>
    <x v="0"/>
    <d v="2025-06-15T00:00:00"/>
    <n v="4"/>
  </r>
  <r>
    <s v="ORD00371"/>
    <d v="2025-05-31T00:00:00"/>
    <s v="C0197"/>
    <s v="Aarav Sharma"/>
    <x v="0"/>
    <n v="33"/>
    <x v="8"/>
    <x v="7"/>
    <s v="P404"/>
    <x v="14"/>
    <x v="3"/>
    <x v="10"/>
    <x v="2"/>
    <x v="267"/>
    <n v="1220"/>
    <x v="0"/>
    <x v="4"/>
    <x v="1"/>
    <d v="2025-06-06T00:00:00"/>
    <n v="5"/>
  </r>
  <r>
    <s v="ORD00372"/>
    <d v="2024-05-16T00:00:00"/>
    <s v="C0071"/>
    <s v="Akash Gupta"/>
    <x v="0"/>
    <n v="43"/>
    <x v="8"/>
    <x v="7"/>
    <s v="P404"/>
    <x v="14"/>
    <x v="3"/>
    <x v="10"/>
    <x v="0"/>
    <x v="268"/>
    <n v="3050"/>
    <x v="0"/>
    <x v="2"/>
    <x v="2"/>
    <d v="2024-05-23T00:00:00"/>
    <n v="4"/>
  </r>
  <r>
    <s v="ORD00373"/>
    <d v="2024-07-24T00:00:00"/>
    <s v="C0108"/>
    <s v="Vikas Yadav"/>
    <x v="0"/>
    <n v="21"/>
    <x v="1"/>
    <x v="1"/>
    <s v="P502"/>
    <x v="9"/>
    <x v="2"/>
    <x v="5"/>
    <x v="3"/>
    <x v="66"/>
    <n v="1260"/>
    <x v="6"/>
    <x v="0"/>
    <x v="3"/>
    <s v="NA"/>
    <s v="NA"/>
  </r>
  <r>
    <s v="ORD00374"/>
    <d v="2025-07-09T00:00:00"/>
    <s v="C0166"/>
    <s v="Reena Solanki"/>
    <x v="1"/>
    <n v="39"/>
    <x v="4"/>
    <x v="3"/>
    <s v="P204"/>
    <x v="20"/>
    <x v="4"/>
    <x v="15"/>
    <x v="0"/>
    <x v="212"/>
    <n v="9350"/>
    <x v="1"/>
    <x v="2"/>
    <x v="3"/>
    <s v="NA"/>
    <s v="NA"/>
  </r>
  <r>
    <s v="ORD00375"/>
    <d v="2025-11-14T00:00:00"/>
    <s v="C0214"/>
    <s v="Muskan Joshi"/>
    <x v="1"/>
    <n v="33"/>
    <x v="1"/>
    <x v="1"/>
    <s v="P302"/>
    <x v="12"/>
    <x v="1"/>
    <x v="9"/>
    <x v="4"/>
    <x v="269"/>
    <n v="90"/>
    <x v="2"/>
    <x v="3"/>
    <x v="1"/>
    <d v="2025-11-18T00:00:00"/>
    <n v="2"/>
  </r>
  <r>
    <s v="ORD00376"/>
    <d v="2025-11-17T00:00:00"/>
    <s v="C0029"/>
    <s v="Deepak Joshi"/>
    <x v="0"/>
    <n v="28"/>
    <x v="10"/>
    <x v="5"/>
    <s v="P201"/>
    <x v="11"/>
    <x v="4"/>
    <x v="8"/>
    <x v="2"/>
    <x v="107"/>
    <n v="10200"/>
    <x v="0"/>
    <x v="1"/>
    <x v="1"/>
    <d v="2025-11-19T00:00:00"/>
    <n v="4"/>
  </r>
  <r>
    <s v="ORD00377"/>
    <d v="2024-07-27T00:00:00"/>
    <s v="C0278"/>
    <s v="Pooja Gupta"/>
    <x v="1"/>
    <n v="56"/>
    <x v="0"/>
    <x v="0"/>
    <s v="P204"/>
    <x v="20"/>
    <x v="4"/>
    <x v="15"/>
    <x v="1"/>
    <x v="63"/>
    <n v="7480"/>
    <x v="2"/>
    <x v="2"/>
    <x v="2"/>
    <d v="2024-08-08T00:00:00"/>
    <n v="4"/>
  </r>
  <r>
    <s v="ORD00378"/>
    <d v="2025-10-24T00:00:00"/>
    <s v="C0288"/>
    <s v="Muskan Solanki"/>
    <x v="1"/>
    <n v="51"/>
    <x v="12"/>
    <x v="9"/>
    <s v="P108"/>
    <x v="22"/>
    <x v="0"/>
    <x v="14"/>
    <x v="0"/>
    <x v="64"/>
    <n v="5400"/>
    <x v="0"/>
    <x v="3"/>
    <x v="1"/>
    <d v="2025-11-01T00:00:00"/>
    <n v="5"/>
  </r>
  <r>
    <s v="ORD00379"/>
    <d v="2025-12-02T00:00:00"/>
    <s v="C0161"/>
    <s v="Anjali Gupta"/>
    <x v="1"/>
    <n v="32"/>
    <x v="0"/>
    <x v="0"/>
    <s v="P101"/>
    <x v="6"/>
    <x v="0"/>
    <x v="0"/>
    <x v="3"/>
    <x v="203"/>
    <n v="1410"/>
    <x v="5"/>
    <x v="2"/>
    <x v="2"/>
    <d v="2025-12-11T00:00:00"/>
    <n v="4"/>
  </r>
  <r>
    <s v="ORD00380"/>
    <d v="2025-10-10T00:00:00"/>
    <s v="C0189"/>
    <s v="Suman Yadav"/>
    <x v="1"/>
    <n v="47"/>
    <x v="10"/>
    <x v="5"/>
    <s v="P504"/>
    <x v="15"/>
    <x v="2"/>
    <x v="11"/>
    <x v="2"/>
    <x v="208"/>
    <n v="3240"/>
    <x v="0"/>
    <x v="4"/>
    <x v="1"/>
    <d v="2025-10-22T00:00:00"/>
    <n v="3"/>
  </r>
  <r>
    <s v="ORD00381"/>
    <d v="2024-07-10T00:00:00"/>
    <s v="C0089"/>
    <s v="Reena Joshi"/>
    <x v="1"/>
    <n v="24"/>
    <x v="4"/>
    <x v="3"/>
    <s v="P301"/>
    <x v="2"/>
    <x v="1"/>
    <x v="2"/>
    <x v="4"/>
    <x v="270"/>
    <n v="210"/>
    <x v="3"/>
    <x v="1"/>
    <x v="3"/>
    <s v="NA"/>
    <s v="NA"/>
  </r>
  <r>
    <s v="ORD00382"/>
    <d v="2024-09-27T00:00:00"/>
    <s v="C0067"/>
    <s v="Rohan Joshi"/>
    <x v="0"/>
    <n v="48"/>
    <x v="5"/>
    <x v="4"/>
    <s v="P403"/>
    <x v="17"/>
    <x v="3"/>
    <x v="13"/>
    <x v="3"/>
    <x v="80"/>
    <n v="2280"/>
    <x v="4"/>
    <x v="1"/>
    <x v="1"/>
    <d v="2024-10-01T00:00:00"/>
    <n v="2"/>
  </r>
  <r>
    <s v="ORD00383"/>
    <d v="2024-06-06T00:00:00"/>
    <s v="C0166"/>
    <s v="Reena Solanki"/>
    <x v="1"/>
    <n v="39"/>
    <x v="0"/>
    <x v="0"/>
    <s v="P501"/>
    <x v="8"/>
    <x v="2"/>
    <x v="6"/>
    <x v="5"/>
    <x v="271"/>
    <n v="4650"/>
    <x v="0"/>
    <x v="4"/>
    <x v="2"/>
    <d v="2024-06-17T00:00:00"/>
    <n v="4"/>
  </r>
  <r>
    <s v="ORD00384"/>
    <d v="2024-03-15T00:00:00"/>
    <s v="C0163"/>
    <s v="Sneha Yadav"/>
    <x v="1"/>
    <n v="35"/>
    <x v="6"/>
    <x v="5"/>
    <s v="P106"/>
    <x v="23"/>
    <x v="0"/>
    <x v="0"/>
    <x v="0"/>
    <x v="272"/>
    <n v="3550"/>
    <x v="2"/>
    <x v="2"/>
    <x v="1"/>
    <d v="2024-03-23T00:00:00"/>
    <n v="5"/>
  </r>
  <r>
    <s v="ORD00385"/>
    <d v="2024-04-04T00:00:00"/>
    <s v="C0179"/>
    <s v="Vikas Gupta"/>
    <x v="0"/>
    <n v="50"/>
    <x v="6"/>
    <x v="5"/>
    <s v="P107"/>
    <x v="5"/>
    <x v="0"/>
    <x v="4"/>
    <x v="3"/>
    <x v="273"/>
    <n v="2760"/>
    <x v="7"/>
    <x v="1"/>
    <x v="1"/>
    <d v="2024-04-09T00:00:00"/>
    <n v="5"/>
  </r>
  <r>
    <s v="ORD00386"/>
    <d v="2025-07-28T00:00:00"/>
    <s v="C0005"/>
    <s v="Aditya Khan"/>
    <x v="0"/>
    <n v="45"/>
    <x v="4"/>
    <x v="3"/>
    <s v="P502"/>
    <x v="9"/>
    <x v="2"/>
    <x v="5"/>
    <x v="3"/>
    <x v="168"/>
    <n v="1260"/>
    <x v="1"/>
    <x v="0"/>
    <x v="0"/>
    <d v="2025-08-08T00:00:00"/>
    <n v="4"/>
  </r>
  <r>
    <s v="ORD00387"/>
    <d v="2024-02-10T00:00:00"/>
    <s v="C0165"/>
    <s v="Suman Solanki"/>
    <x v="1"/>
    <n v="43"/>
    <x v="12"/>
    <x v="9"/>
    <s v="P104"/>
    <x v="19"/>
    <x v="0"/>
    <x v="14"/>
    <x v="1"/>
    <x v="274"/>
    <n v="4920"/>
    <x v="0"/>
    <x v="2"/>
    <x v="0"/>
    <d v="2024-02-16T00:00:00"/>
    <n v="2"/>
  </r>
  <r>
    <s v="ORD00388"/>
    <d v="2025-06-13T00:00:00"/>
    <s v="C0192"/>
    <s v="Reena Verma"/>
    <x v="1"/>
    <n v="36"/>
    <x v="3"/>
    <x v="2"/>
    <s v="P304"/>
    <x v="1"/>
    <x v="1"/>
    <x v="1"/>
    <x v="4"/>
    <x v="101"/>
    <n v="520"/>
    <x v="0"/>
    <x v="0"/>
    <x v="1"/>
    <d v="2025-06-23T00:00:00"/>
    <n v="3"/>
  </r>
  <r>
    <s v="ORD00389"/>
    <d v="2024-04-08T00:00:00"/>
    <s v="C0086"/>
    <s v="Arjun Verma"/>
    <x v="0"/>
    <n v="45"/>
    <x v="11"/>
    <x v="0"/>
    <s v="P501"/>
    <x v="8"/>
    <x v="2"/>
    <x v="6"/>
    <x v="4"/>
    <x v="275"/>
    <n v="930"/>
    <x v="5"/>
    <x v="0"/>
    <x v="2"/>
    <d v="2024-04-20T00:00:00"/>
    <n v="5"/>
  </r>
  <r>
    <s v="ORD00390"/>
    <d v="2024-04-16T00:00:00"/>
    <s v="C0106"/>
    <s v="Mohit Sharma"/>
    <x v="0"/>
    <n v="55"/>
    <x v="8"/>
    <x v="7"/>
    <s v="P501"/>
    <x v="8"/>
    <x v="2"/>
    <x v="6"/>
    <x v="4"/>
    <x v="165"/>
    <n v="930"/>
    <x v="6"/>
    <x v="3"/>
    <x v="1"/>
    <d v="2024-04-23T00:00:00"/>
    <n v="2"/>
  </r>
  <r>
    <s v="ORD00391"/>
    <d v="2024-03-30T00:00:00"/>
    <s v="C0038"/>
    <s v="Suman Mehta"/>
    <x v="1"/>
    <n v="43"/>
    <x v="0"/>
    <x v="0"/>
    <s v="P106"/>
    <x v="23"/>
    <x v="0"/>
    <x v="0"/>
    <x v="3"/>
    <x v="276"/>
    <n v="2130"/>
    <x v="2"/>
    <x v="5"/>
    <x v="2"/>
    <d v="2024-04-04T00:00:00"/>
    <n v="4"/>
  </r>
  <r>
    <s v="ORD00392"/>
    <d v="2025-02-21T00:00:00"/>
    <s v="C0199"/>
    <s v="Riya Jain"/>
    <x v="1"/>
    <n v="58"/>
    <x v="3"/>
    <x v="2"/>
    <s v="P501"/>
    <x v="8"/>
    <x v="2"/>
    <x v="6"/>
    <x v="1"/>
    <x v="277"/>
    <n v="3720"/>
    <x v="3"/>
    <x v="1"/>
    <x v="1"/>
    <d v="2025-03-01T00:00:00"/>
    <n v="3"/>
  </r>
  <r>
    <s v="ORD00393"/>
    <d v="2025-07-01T00:00:00"/>
    <s v="C0004"/>
    <s v="Reena Mishra"/>
    <x v="1"/>
    <n v="52"/>
    <x v="2"/>
    <x v="0"/>
    <s v="P504"/>
    <x v="15"/>
    <x v="2"/>
    <x v="11"/>
    <x v="0"/>
    <x v="209"/>
    <n v="8100"/>
    <x v="4"/>
    <x v="3"/>
    <x v="1"/>
    <d v="2025-07-11T00:00:00"/>
    <n v="3"/>
  </r>
  <r>
    <s v="ORD00394"/>
    <d v="2024-10-23T00:00:00"/>
    <s v="C0155"/>
    <s v="Rahul Patel"/>
    <x v="0"/>
    <n v="44"/>
    <x v="2"/>
    <x v="0"/>
    <s v="P202"/>
    <x v="13"/>
    <x v="4"/>
    <x v="8"/>
    <x v="1"/>
    <x v="278"/>
    <n v="17200"/>
    <x v="3"/>
    <x v="4"/>
    <x v="2"/>
    <d v="2024-11-04T00:00:00"/>
    <n v="2"/>
  </r>
  <r>
    <s v="ORD00395"/>
    <d v="2025-04-30T00:00:00"/>
    <s v="C0081"/>
    <s v="Rashmi Singh"/>
    <x v="1"/>
    <n v="35"/>
    <x v="6"/>
    <x v="5"/>
    <s v="P105"/>
    <x v="21"/>
    <x v="0"/>
    <x v="16"/>
    <x v="1"/>
    <x v="279"/>
    <n v="7600"/>
    <x v="0"/>
    <x v="0"/>
    <x v="1"/>
    <d v="2025-05-12T00:00:00"/>
    <n v="4"/>
  </r>
  <r>
    <s v="ORD00396"/>
    <d v="2024-01-12T00:00:00"/>
    <s v="C0284"/>
    <s v="Riya Sharma"/>
    <x v="1"/>
    <n v="23"/>
    <x v="13"/>
    <x v="4"/>
    <s v="P104"/>
    <x v="19"/>
    <x v="0"/>
    <x v="14"/>
    <x v="4"/>
    <x v="280"/>
    <n v="1230"/>
    <x v="4"/>
    <x v="2"/>
    <x v="3"/>
    <s v="NA"/>
    <s v="NA"/>
  </r>
  <r>
    <s v="ORD00397"/>
    <d v="2025-02-07T00:00:00"/>
    <s v="C0276"/>
    <s v="Pooja Patel"/>
    <x v="1"/>
    <n v="49"/>
    <x v="2"/>
    <x v="0"/>
    <s v="P202"/>
    <x v="13"/>
    <x v="4"/>
    <x v="8"/>
    <x v="2"/>
    <x v="281"/>
    <n v="8600"/>
    <x v="7"/>
    <x v="0"/>
    <x v="1"/>
    <d v="2025-02-19T00:00:00"/>
    <n v="3"/>
  </r>
  <r>
    <s v="ORD00398"/>
    <d v="2024-06-13T00:00:00"/>
    <s v="C0095"/>
    <s v="Aditya Mehta"/>
    <x v="0"/>
    <n v="53"/>
    <x v="6"/>
    <x v="5"/>
    <s v="P404"/>
    <x v="14"/>
    <x v="3"/>
    <x v="10"/>
    <x v="3"/>
    <x v="282"/>
    <n v="1830"/>
    <x v="5"/>
    <x v="3"/>
    <x v="1"/>
    <d v="2024-06-25T00:00:00"/>
    <n v="2"/>
  </r>
  <r>
    <s v="ORD00399"/>
    <d v="2025-07-16T00:00:00"/>
    <s v="C0237"/>
    <s v="Aditya Joshi"/>
    <x v="0"/>
    <n v="45"/>
    <x v="2"/>
    <x v="0"/>
    <s v="P202"/>
    <x v="13"/>
    <x v="4"/>
    <x v="8"/>
    <x v="4"/>
    <x v="190"/>
    <n v="4300"/>
    <x v="0"/>
    <x v="3"/>
    <x v="1"/>
    <d v="2025-07-27T00:00:00"/>
    <n v="5"/>
  </r>
  <r>
    <s v="ORD00400"/>
    <d v="2024-12-04T00:00:00"/>
    <s v="C0183"/>
    <s v="Kavita Joshi"/>
    <x v="1"/>
    <n v="42"/>
    <x v="13"/>
    <x v="4"/>
    <s v="P502"/>
    <x v="9"/>
    <x v="2"/>
    <x v="5"/>
    <x v="2"/>
    <x v="283"/>
    <n v="840"/>
    <x v="2"/>
    <x v="1"/>
    <x v="3"/>
    <s v="NA"/>
    <s v="NA"/>
  </r>
  <r>
    <s v="ORD00401"/>
    <d v="2024-03-12T00:00:00"/>
    <s v="C0100"/>
    <s v="Vivaan Patel"/>
    <x v="0"/>
    <n v="42"/>
    <x v="9"/>
    <x v="8"/>
    <s v="P304"/>
    <x v="1"/>
    <x v="1"/>
    <x v="1"/>
    <x v="1"/>
    <x v="78"/>
    <n v="2080"/>
    <x v="7"/>
    <x v="2"/>
    <x v="0"/>
    <d v="2024-03-18T00:00:00"/>
    <n v="3"/>
  </r>
  <r>
    <s v="ORD00402"/>
    <d v="2025-08-02T00:00:00"/>
    <s v="C0291"/>
    <s v="Priya Gupta"/>
    <x v="1"/>
    <n v="34"/>
    <x v="15"/>
    <x v="8"/>
    <s v="P203"/>
    <x v="16"/>
    <x v="4"/>
    <x v="12"/>
    <x v="1"/>
    <x v="284"/>
    <n v="12200"/>
    <x v="6"/>
    <x v="3"/>
    <x v="1"/>
    <d v="2025-08-07T00:00:00"/>
    <n v="4"/>
  </r>
  <r>
    <s v="ORD00403"/>
    <d v="2025-12-30T00:00:00"/>
    <s v="C0224"/>
    <s v="Kavita Jain"/>
    <x v="1"/>
    <n v="55"/>
    <x v="14"/>
    <x v="1"/>
    <s v="P204"/>
    <x v="20"/>
    <x v="4"/>
    <x v="15"/>
    <x v="2"/>
    <x v="285"/>
    <n v="3740"/>
    <x v="7"/>
    <x v="4"/>
    <x v="1"/>
    <d v="2026-01-08T00:00:00"/>
    <n v="4"/>
  </r>
  <r>
    <s v="ORD00404"/>
    <d v="2024-11-08T00:00:00"/>
    <s v="C0250"/>
    <s v="Aman Singh"/>
    <x v="0"/>
    <n v="47"/>
    <x v="4"/>
    <x v="3"/>
    <s v="P106"/>
    <x v="23"/>
    <x v="0"/>
    <x v="0"/>
    <x v="0"/>
    <x v="272"/>
    <n v="3550"/>
    <x v="2"/>
    <x v="1"/>
    <x v="2"/>
    <d v="2024-11-12T00:00:00"/>
    <n v="4"/>
  </r>
  <r>
    <s v="ORD00405"/>
    <d v="2024-09-26T00:00:00"/>
    <s v="C0040"/>
    <s v="Priya Patel"/>
    <x v="1"/>
    <n v="33"/>
    <x v="2"/>
    <x v="0"/>
    <s v="P101"/>
    <x v="6"/>
    <x v="0"/>
    <x v="0"/>
    <x v="0"/>
    <x v="11"/>
    <n v="2350"/>
    <x v="4"/>
    <x v="2"/>
    <x v="3"/>
    <s v="NA"/>
    <s v="NA"/>
  </r>
  <r>
    <s v="ORD00406"/>
    <d v="2025-02-18T00:00:00"/>
    <s v="C0109"/>
    <s v="Vivaan Khan"/>
    <x v="0"/>
    <n v="48"/>
    <x v="0"/>
    <x v="0"/>
    <s v="P402"/>
    <x v="18"/>
    <x v="3"/>
    <x v="7"/>
    <x v="3"/>
    <x v="114"/>
    <n v="1530"/>
    <x v="1"/>
    <x v="0"/>
    <x v="1"/>
    <d v="2025-02-26T00:00:00"/>
    <n v="4"/>
  </r>
  <r>
    <s v="ORD00407"/>
    <s v="NA"/>
    <s v="C0149"/>
    <s v="Kavita Patel"/>
    <x v="1"/>
    <n v="20"/>
    <x v="13"/>
    <x v="4"/>
    <s v="P303"/>
    <x v="4"/>
    <x v="1"/>
    <x v="1"/>
    <x v="0"/>
    <x v="286"/>
    <n v="1650"/>
    <x v="2"/>
    <x v="4"/>
    <x v="1"/>
    <d v="2025-09-05T00:00:00"/>
    <n v="2"/>
  </r>
  <r>
    <s v="ORD00408"/>
    <d v="2025-11-09T00:00:00"/>
    <s v="C0123"/>
    <s v="Aarav Mehta"/>
    <x v="0"/>
    <n v="57"/>
    <x v="5"/>
    <x v="4"/>
    <s v="P401"/>
    <x v="10"/>
    <x v="3"/>
    <x v="7"/>
    <x v="2"/>
    <x v="219"/>
    <n v="740"/>
    <x v="1"/>
    <x v="0"/>
    <x v="1"/>
    <d v="2025-11-20T00:00:00"/>
    <n v="3"/>
  </r>
  <r>
    <s v="ORD00409"/>
    <d v="2025-05-10T00:00:00"/>
    <s v="C0184"/>
    <s v="Reena Mishra"/>
    <x v="1"/>
    <n v="29"/>
    <x v="0"/>
    <x v="0"/>
    <s v="P108"/>
    <x v="22"/>
    <x v="0"/>
    <x v="14"/>
    <x v="1"/>
    <x v="287"/>
    <n v="4320"/>
    <x v="5"/>
    <x v="3"/>
    <x v="1"/>
    <d v="2025-05-17T00:00:00"/>
    <n v="4"/>
  </r>
  <r>
    <s v="ORD00410"/>
    <d v="2024-02-13T00:00:00"/>
    <s v="C0106"/>
    <s v="Mohit Sharma"/>
    <x v="0"/>
    <n v="55"/>
    <x v="15"/>
    <x v="8"/>
    <s v="P301"/>
    <x v="2"/>
    <x v="1"/>
    <x v="2"/>
    <x v="1"/>
    <x v="100"/>
    <n v="840"/>
    <x v="1"/>
    <x v="3"/>
    <x v="1"/>
    <d v="2024-02-25T00:00:00"/>
    <n v="4"/>
  </r>
  <r>
    <s v="ORD00411"/>
    <d v="2024-04-15T00:00:00"/>
    <s v="C0267"/>
    <s v="Kavita Patel"/>
    <x v="1"/>
    <n v="51"/>
    <x v="14"/>
    <x v="1"/>
    <s v="P504"/>
    <x v="15"/>
    <x v="2"/>
    <x v="11"/>
    <x v="3"/>
    <x v="200"/>
    <n v="4860"/>
    <x v="6"/>
    <x v="4"/>
    <x v="0"/>
    <d v="2024-04-23T00:00:00"/>
    <n v="4"/>
  </r>
  <r>
    <s v="ORD00412"/>
    <d v="2025-08-24T00:00:00"/>
    <s v="C0040"/>
    <s v="Priya Patel"/>
    <x v="1"/>
    <n v="33"/>
    <x v="14"/>
    <x v="1"/>
    <s v="P301"/>
    <x v="2"/>
    <x v="1"/>
    <x v="2"/>
    <x v="2"/>
    <x v="288"/>
    <n v="420"/>
    <x v="3"/>
    <x v="1"/>
    <x v="2"/>
    <d v="2025-08-31T00:00:00"/>
    <n v="5"/>
  </r>
  <r>
    <s v="ORD00413"/>
    <d v="2025-05-08T00:00:00"/>
    <s v="C0004"/>
    <s v="Reena Mishra"/>
    <x v="1"/>
    <n v="52"/>
    <x v="13"/>
    <x v="4"/>
    <s v="P303"/>
    <x v="4"/>
    <x v="1"/>
    <x v="1"/>
    <x v="2"/>
    <x v="289"/>
    <n v="660"/>
    <x v="5"/>
    <x v="3"/>
    <x v="3"/>
    <s v="NA"/>
    <s v="NA"/>
  </r>
  <r>
    <s v="ORD00414"/>
    <d v="2025-10-20T00:00:00"/>
    <s v="C0144"/>
    <s v="Nisha Mishra"/>
    <x v="1"/>
    <n v="45"/>
    <x v="10"/>
    <x v="5"/>
    <s v="P105"/>
    <x v="21"/>
    <x v="0"/>
    <x v="16"/>
    <x v="2"/>
    <x v="290"/>
    <n v="3800"/>
    <x v="6"/>
    <x v="1"/>
    <x v="3"/>
    <s v="NA"/>
    <s v="NA"/>
  </r>
  <r>
    <s v="ORD00415"/>
    <d v="2024-05-01T00:00:00"/>
    <s v="C0118"/>
    <s v="Aman Solanki"/>
    <x v="0"/>
    <n v="38"/>
    <x v="8"/>
    <x v="7"/>
    <s v="P203"/>
    <x v="16"/>
    <x v="4"/>
    <x v="12"/>
    <x v="4"/>
    <x v="291"/>
    <n v="3050"/>
    <x v="1"/>
    <x v="4"/>
    <x v="1"/>
    <d v="2024-05-06T00:00:00"/>
    <n v="3"/>
  </r>
  <r>
    <s v="ORD00416"/>
    <d v="2025-10-24T00:00:00"/>
    <s v="C0211"/>
    <s v="Rahul Mishra"/>
    <x v="0"/>
    <n v="48"/>
    <x v="11"/>
    <x v="0"/>
    <s v="P108"/>
    <x v="22"/>
    <x v="0"/>
    <x v="14"/>
    <x v="4"/>
    <x v="292"/>
    <n v="1080"/>
    <x v="6"/>
    <x v="2"/>
    <x v="3"/>
    <s v="NA"/>
    <s v="NA"/>
  </r>
  <r>
    <s v="ORD00417"/>
    <d v="2024-06-13T00:00:00"/>
    <s v="C0069"/>
    <s v="Rashmi Khan"/>
    <x v="1"/>
    <n v="45"/>
    <x v="0"/>
    <x v="0"/>
    <s v="P403"/>
    <x v="17"/>
    <x v="3"/>
    <x v="13"/>
    <x v="2"/>
    <x v="242"/>
    <n v="1520"/>
    <x v="4"/>
    <x v="0"/>
    <x v="1"/>
    <d v="2024-06-17T00:00:00"/>
    <n v="5"/>
  </r>
  <r>
    <s v="ORD00418"/>
    <d v="2025-09-05T00:00:00"/>
    <s v="C0289"/>
    <s v="Anjali Jain"/>
    <x v="1"/>
    <n v="53"/>
    <x v="11"/>
    <x v="0"/>
    <s v="P504"/>
    <x v="15"/>
    <x v="2"/>
    <x v="11"/>
    <x v="3"/>
    <x v="61"/>
    <n v="4860"/>
    <x v="2"/>
    <x v="0"/>
    <x v="1"/>
    <d v="2025-09-16T00:00:00"/>
    <n v="5"/>
  </r>
  <r>
    <s v="ORD00419"/>
    <d v="2025-05-08T00:00:00"/>
    <s v="C0088"/>
    <s v="Riya Mishra"/>
    <x v="1"/>
    <n v="21"/>
    <x v="6"/>
    <x v="5"/>
    <s v="P302"/>
    <x v="12"/>
    <x v="1"/>
    <x v="9"/>
    <x v="0"/>
    <x v="293"/>
    <n v="450"/>
    <x v="6"/>
    <x v="2"/>
    <x v="2"/>
    <d v="2025-05-12T00:00:00"/>
    <n v="4"/>
  </r>
  <r>
    <s v="ORD00420"/>
    <d v="2024-06-20T00:00:00"/>
    <s v="C0176"/>
    <s v="Anjali Jain"/>
    <x v="1"/>
    <n v="22"/>
    <x v="3"/>
    <x v="2"/>
    <s v="P404"/>
    <x v="14"/>
    <x v="3"/>
    <x v="10"/>
    <x v="0"/>
    <x v="294"/>
    <n v="3050"/>
    <x v="2"/>
    <x v="0"/>
    <x v="1"/>
    <d v="2024-06-28T00:00:00"/>
    <n v="3"/>
  </r>
  <r>
    <s v="ORD00421"/>
    <d v="2024-04-21T00:00:00"/>
    <s v="C0009"/>
    <s v="Mohit Mishra"/>
    <x v="0"/>
    <n v="52"/>
    <x v="10"/>
    <x v="5"/>
    <s v="P401"/>
    <x v="10"/>
    <x v="3"/>
    <x v="7"/>
    <x v="0"/>
    <x v="82"/>
    <n v="1850"/>
    <x v="3"/>
    <x v="0"/>
    <x v="3"/>
    <s v="NA"/>
    <s v="NA"/>
  </r>
  <r>
    <s v="ORD00422"/>
    <d v="2024-04-08T00:00:00"/>
    <s v="C0091"/>
    <s v="Arjun Singh"/>
    <x v="0"/>
    <n v="30"/>
    <x v="7"/>
    <x v="6"/>
    <s v="P404"/>
    <x v="14"/>
    <x v="3"/>
    <x v="10"/>
    <x v="0"/>
    <x v="295"/>
    <n v="3050"/>
    <x v="4"/>
    <x v="2"/>
    <x v="3"/>
    <s v="NA"/>
    <s v="NA"/>
  </r>
  <r>
    <s v="ORD00423"/>
    <d v="2024-04-30T00:00:00"/>
    <s v="C0048"/>
    <s v="Deepak Verma"/>
    <x v="0"/>
    <n v="42"/>
    <x v="7"/>
    <x v="6"/>
    <s v="P502"/>
    <x v="9"/>
    <x v="2"/>
    <x v="5"/>
    <x v="2"/>
    <x v="207"/>
    <n v="840"/>
    <x v="4"/>
    <x v="4"/>
    <x v="3"/>
    <s v="NA"/>
    <s v="NA"/>
  </r>
  <r>
    <s v="ORD00424"/>
    <d v="2025-03-06T00:00:00"/>
    <s v="C0190"/>
    <s v="Riya Mehta"/>
    <x v="1"/>
    <n v="31"/>
    <x v="0"/>
    <x v="0"/>
    <s v="P503"/>
    <x v="7"/>
    <x v="2"/>
    <x v="5"/>
    <x v="0"/>
    <x v="241"/>
    <n v="3950"/>
    <x v="3"/>
    <x v="0"/>
    <x v="2"/>
    <d v="2025-03-15T00:00:00"/>
    <n v="5"/>
  </r>
  <r>
    <s v="ORD00425"/>
    <d v="2024-12-24T00:00:00"/>
    <s v="C0295"/>
    <s v="Mohit Mishra"/>
    <x v="0"/>
    <n v="48"/>
    <x v="4"/>
    <x v="3"/>
    <s v="P302"/>
    <x v="12"/>
    <x v="1"/>
    <x v="9"/>
    <x v="2"/>
    <x v="152"/>
    <n v="180"/>
    <x v="0"/>
    <x v="4"/>
    <x v="2"/>
    <d v="2024-12-29T00:00:00"/>
    <n v="3"/>
  </r>
  <r>
    <s v="ORD00426"/>
    <d v="2024-10-17T00:00:00"/>
    <s v="C0279"/>
    <s v="Akash Gupta"/>
    <x v="0"/>
    <n v="53"/>
    <x v="8"/>
    <x v="7"/>
    <s v="P201"/>
    <x v="11"/>
    <x v="4"/>
    <x v="8"/>
    <x v="2"/>
    <x v="296"/>
    <n v="10200"/>
    <x v="4"/>
    <x v="3"/>
    <x v="3"/>
    <s v="NA"/>
    <s v="NA"/>
  </r>
  <r>
    <s v="ORD00427"/>
    <d v="2025-06-19T00:00:00"/>
    <s v="C0061"/>
    <s v="Aarav Khan"/>
    <x v="0"/>
    <n v="38"/>
    <x v="11"/>
    <x v="0"/>
    <s v="P301"/>
    <x v="2"/>
    <x v="1"/>
    <x v="2"/>
    <x v="2"/>
    <x v="297"/>
    <n v="420"/>
    <x v="7"/>
    <x v="4"/>
    <x v="1"/>
    <d v="2025-06-22T00:00:00"/>
    <n v="3"/>
  </r>
  <r>
    <s v="ORD00428"/>
    <d v="2025-03-12T00:00:00"/>
    <s v="C0300"/>
    <s v="Neha Sharma"/>
    <x v="1"/>
    <n v="52"/>
    <x v="14"/>
    <x v="1"/>
    <s v="P201"/>
    <x v="11"/>
    <x v="4"/>
    <x v="8"/>
    <x v="0"/>
    <x v="298"/>
    <n v="25500"/>
    <x v="3"/>
    <x v="2"/>
    <x v="1"/>
    <d v="2025-03-23T00:00:00"/>
    <n v="4"/>
  </r>
  <r>
    <s v="ORD00429"/>
    <d v="2025-11-27T00:00:00"/>
    <s v="C0204"/>
    <s v="Rahul Mishra"/>
    <x v="0"/>
    <n v="51"/>
    <x v="10"/>
    <x v="5"/>
    <s v="P302"/>
    <x v="12"/>
    <x v="1"/>
    <x v="9"/>
    <x v="0"/>
    <x v="240"/>
    <n v="450"/>
    <x v="1"/>
    <x v="0"/>
    <x v="1"/>
    <d v="2025-12-07T00:00:00"/>
    <n v="5"/>
  </r>
  <r>
    <s v="ORD00430"/>
    <d v="2024-09-16T00:00:00"/>
    <s v="C0158"/>
    <s v="Priya Patel"/>
    <x v="1"/>
    <n v="24"/>
    <x v="15"/>
    <x v="8"/>
    <s v="P503"/>
    <x v="7"/>
    <x v="2"/>
    <x v="5"/>
    <x v="1"/>
    <x v="91"/>
    <n v="3160"/>
    <x v="6"/>
    <x v="3"/>
    <x v="0"/>
    <d v="2024-09-21T00:00:00"/>
    <n v="5"/>
  </r>
  <r>
    <s v="ORD00431"/>
    <d v="2025-12-17T00:00:00"/>
    <s v="C0083"/>
    <s v="Nisha Patel"/>
    <x v="1"/>
    <n v="54"/>
    <x v="4"/>
    <x v="3"/>
    <s v="P107"/>
    <x v="5"/>
    <x v="0"/>
    <x v="4"/>
    <x v="0"/>
    <x v="299"/>
    <n v="4600"/>
    <x v="3"/>
    <x v="1"/>
    <x v="2"/>
    <d v="2025-12-27T00:00:00"/>
    <n v="2"/>
  </r>
  <r>
    <s v="ORD00432"/>
    <d v="2024-06-13T00:00:00"/>
    <s v="C0200"/>
    <s v="Aman Singh"/>
    <x v="0"/>
    <n v="42"/>
    <x v="11"/>
    <x v="0"/>
    <s v="P103"/>
    <x v="3"/>
    <x v="0"/>
    <x v="3"/>
    <x v="2"/>
    <x v="219"/>
    <n v="820"/>
    <x v="1"/>
    <x v="2"/>
    <x v="1"/>
    <d v="2024-06-16T00:00:00"/>
    <n v="3"/>
  </r>
  <r>
    <s v="ORD00433"/>
    <d v="2024-09-26T00:00:00"/>
    <s v="C0114"/>
    <s v="Sneha Verma"/>
    <x v="1"/>
    <n v="54"/>
    <x v="15"/>
    <x v="8"/>
    <s v="P103"/>
    <x v="3"/>
    <x v="0"/>
    <x v="3"/>
    <x v="0"/>
    <x v="214"/>
    <n v="2050"/>
    <x v="4"/>
    <x v="4"/>
    <x v="1"/>
    <d v="2024-10-07T00:00:00"/>
    <n v="4"/>
  </r>
  <r>
    <s v="ORD00434"/>
    <d v="2025-12-29T00:00:00"/>
    <s v="C0030"/>
    <s v="NA"/>
    <x v="1"/>
    <n v="33"/>
    <x v="5"/>
    <x v="4"/>
    <s v="P501"/>
    <x v="8"/>
    <x v="2"/>
    <x v="6"/>
    <x v="1"/>
    <x v="198"/>
    <n v="3720"/>
    <x v="1"/>
    <x v="3"/>
    <x v="1"/>
    <d v="2026-01-10T00:00:00"/>
    <n v="4"/>
  </r>
  <r>
    <s v="ORD00435"/>
    <d v="2024-07-18T00:00:00"/>
    <s v="C0018"/>
    <s v="Nisha Verma"/>
    <x v="1"/>
    <n v="42"/>
    <x v="6"/>
    <x v="5"/>
    <s v="P404"/>
    <x v="14"/>
    <x v="3"/>
    <x v="10"/>
    <x v="2"/>
    <x v="300"/>
    <n v="1220"/>
    <x v="4"/>
    <x v="1"/>
    <x v="1"/>
    <d v="2024-07-30T00:00:00"/>
    <n v="2"/>
  </r>
  <r>
    <s v="ORD00436"/>
    <d v="2024-06-10T00:00:00"/>
    <s v="C0045"/>
    <s v="Rashmi Mehta"/>
    <x v="1"/>
    <n v="23"/>
    <x v="14"/>
    <x v="1"/>
    <s v="P301"/>
    <x v="2"/>
    <x v="1"/>
    <x v="2"/>
    <x v="3"/>
    <x v="177"/>
    <n v="630"/>
    <x v="3"/>
    <x v="4"/>
    <x v="3"/>
    <s v="NA"/>
    <s v="NA"/>
  </r>
  <r>
    <s v="ORD00437"/>
    <d v="2024-07-24T00:00:00"/>
    <s v="C0266"/>
    <s v="Suman Mehta"/>
    <x v="1"/>
    <n v="27"/>
    <x v="11"/>
    <x v="0"/>
    <s v="P504"/>
    <x v="15"/>
    <x v="2"/>
    <x v="11"/>
    <x v="4"/>
    <x v="261"/>
    <n v="1620"/>
    <x v="2"/>
    <x v="2"/>
    <x v="1"/>
    <d v="2024-08-03T00:00:00"/>
    <n v="4"/>
  </r>
  <r>
    <s v="ORD00438"/>
    <d v="2024-12-21T00:00:00"/>
    <s v="C0142"/>
    <s v="Rohan Joshi"/>
    <x v="0"/>
    <n v="34"/>
    <x v="6"/>
    <x v="5"/>
    <s v="P404"/>
    <x v="14"/>
    <x v="3"/>
    <x v="10"/>
    <x v="2"/>
    <x v="301"/>
    <n v="1220"/>
    <x v="1"/>
    <x v="4"/>
    <x v="3"/>
    <s v="NA"/>
    <s v="NA"/>
  </r>
  <r>
    <s v="ORD00439"/>
    <d v="2024-01-05T00:00:00"/>
    <s v="C0134"/>
    <s v="Arjun Mishra"/>
    <x v="0"/>
    <n v="53"/>
    <x v="5"/>
    <x v="4"/>
    <s v="P302"/>
    <x v="12"/>
    <x v="1"/>
    <x v="9"/>
    <x v="0"/>
    <x v="105"/>
    <n v="450"/>
    <x v="2"/>
    <x v="2"/>
    <x v="1"/>
    <d v="2024-01-15T00:00:00"/>
    <n v="4"/>
  </r>
  <r>
    <s v="ORD00440"/>
    <d v="2024-12-14T00:00:00"/>
    <s v="C0060"/>
    <s v="Rahul Solanki"/>
    <x v="0"/>
    <n v="51"/>
    <x v="14"/>
    <x v="1"/>
    <s v="P402"/>
    <x v="18"/>
    <x v="3"/>
    <x v="7"/>
    <x v="0"/>
    <x v="151"/>
    <n v="2550"/>
    <x v="0"/>
    <x v="4"/>
    <x v="1"/>
    <d v="2024-12-25T00:00:00"/>
    <n v="5"/>
  </r>
  <r>
    <s v="ORD00441"/>
    <d v="2024-09-06T00:00:00"/>
    <s v="C0174"/>
    <s v="Akash Jain"/>
    <x v="0"/>
    <n v="18"/>
    <x v="3"/>
    <x v="2"/>
    <s v="P502"/>
    <x v="9"/>
    <x v="2"/>
    <x v="5"/>
    <x v="1"/>
    <x v="302"/>
    <n v="1680"/>
    <x v="4"/>
    <x v="4"/>
    <x v="1"/>
    <d v="2024-09-12T00:00:00"/>
    <n v="3"/>
  </r>
  <r>
    <s v="ORD00442"/>
    <d v="2025-01-26T00:00:00"/>
    <s v="C0113"/>
    <s v="Aditya Joshi"/>
    <x v="0"/>
    <n v="33"/>
    <x v="6"/>
    <x v="5"/>
    <s v="P203"/>
    <x v="16"/>
    <x v="4"/>
    <x v="12"/>
    <x v="1"/>
    <x v="59"/>
    <n v="12200"/>
    <x v="7"/>
    <x v="2"/>
    <x v="3"/>
    <s v="NA"/>
    <s v="NA"/>
  </r>
  <r>
    <s v="ORD00443"/>
    <d v="2024-01-10T00:00:00"/>
    <s v="C0135"/>
    <s v="Rohan Gupta"/>
    <x v="0"/>
    <n v="36"/>
    <x v="6"/>
    <x v="5"/>
    <s v="P202"/>
    <x v="13"/>
    <x v="4"/>
    <x v="8"/>
    <x v="4"/>
    <x v="234"/>
    <n v="4300"/>
    <x v="3"/>
    <x v="1"/>
    <x v="1"/>
    <d v="2024-01-20T00:00:00"/>
    <n v="3"/>
  </r>
  <r>
    <s v="ORD00444"/>
    <d v="2025-05-02T00:00:00"/>
    <s v="C0161"/>
    <s v="Anjali Gupta"/>
    <x v="1"/>
    <n v="32"/>
    <x v="15"/>
    <x v="8"/>
    <s v="P107"/>
    <x v="5"/>
    <x v="0"/>
    <x v="4"/>
    <x v="0"/>
    <x v="303"/>
    <n v="4600"/>
    <x v="0"/>
    <x v="0"/>
    <x v="0"/>
    <d v="2025-05-14T00:00:00"/>
    <n v="4"/>
  </r>
  <r>
    <s v="ORD00445"/>
    <d v="2025-05-25T00:00:00"/>
    <s v="C0103"/>
    <s v="Akash Mishra"/>
    <x v="0"/>
    <n v="53"/>
    <x v="6"/>
    <x v="5"/>
    <s v="P504"/>
    <x v="15"/>
    <x v="2"/>
    <x v="11"/>
    <x v="2"/>
    <x v="208"/>
    <n v="3240"/>
    <x v="0"/>
    <x v="0"/>
    <x v="1"/>
    <d v="2025-05-30T00:00:00"/>
    <n v="4"/>
  </r>
  <r>
    <s v="ORD00446"/>
    <d v="2025-09-25T00:00:00"/>
    <s v="C0183"/>
    <s v="Kavita Joshi"/>
    <x v="1"/>
    <n v="42"/>
    <x v="13"/>
    <x v="4"/>
    <s v="P104"/>
    <x v="19"/>
    <x v="0"/>
    <x v="14"/>
    <x v="4"/>
    <x v="171"/>
    <n v="1230"/>
    <x v="2"/>
    <x v="4"/>
    <x v="3"/>
    <s v="NA"/>
    <s v="NA"/>
  </r>
  <r>
    <s v="ORD00447"/>
    <d v="2024-01-07T00:00:00"/>
    <s v="C0278"/>
    <s v="Pooja Gupta"/>
    <x v="1"/>
    <n v="56"/>
    <x v="0"/>
    <x v="0"/>
    <s v="P304"/>
    <x v="1"/>
    <x v="1"/>
    <x v="1"/>
    <x v="3"/>
    <x v="304"/>
    <n v="1560"/>
    <x v="7"/>
    <x v="4"/>
    <x v="3"/>
    <s v="NA"/>
    <s v="NA"/>
  </r>
  <r>
    <s v="ORD00448"/>
    <d v="2024-10-08T00:00:00"/>
    <s v="C0252"/>
    <s v="Rahul Khan"/>
    <x v="0"/>
    <n v="56"/>
    <x v="5"/>
    <x v="4"/>
    <s v="P401"/>
    <x v="10"/>
    <x v="3"/>
    <x v="7"/>
    <x v="3"/>
    <x v="305"/>
    <n v="1110"/>
    <x v="3"/>
    <x v="0"/>
    <x v="2"/>
    <d v="2024-10-19T00:00:00"/>
    <n v="3"/>
  </r>
  <r>
    <s v="ORD00449"/>
    <d v="2024-02-25T00:00:00"/>
    <s v="C0270"/>
    <s v="Kavita Mishra"/>
    <x v="1"/>
    <n v="55"/>
    <x v="8"/>
    <x v="7"/>
    <s v="P304"/>
    <x v="1"/>
    <x v="1"/>
    <x v="1"/>
    <x v="0"/>
    <x v="306"/>
    <n v="2600"/>
    <x v="4"/>
    <x v="2"/>
    <x v="1"/>
    <d v="2024-03-04T00:00:00"/>
    <n v="3"/>
  </r>
  <r>
    <s v="ORD00450"/>
    <d v="2025-04-13T00:00:00"/>
    <s v="C0062"/>
    <s v="Muskan Sharma"/>
    <x v="1"/>
    <n v="25"/>
    <x v="3"/>
    <x v="2"/>
    <s v="P203"/>
    <x v="16"/>
    <x v="4"/>
    <x v="12"/>
    <x v="4"/>
    <x v="65"/>
    <n v="3050"/>
    <x v="4"/>
    <x v="0"/>
    <x v="1"/>
    <d v="2025-04-24T00:00:00"/>
    <n v="3"/>
  </r>
  <r>
    <s v="ORD00451"/>
    <d v="2024-11-29T00:00:00"/>
    <s v="C0186"/>
    <s v="Sneha Solanki"/>
    <x v="1"/>
    <n v="18"/>
    <x v="14"/>
    <x v="1"/>
    <s v="P106"/>
    <x v="23"/>
    <x v="0"/>
    <x v="0"/>
    <x v="0"/>
    <x v="307"/>
    <n v="3550"/>
    <x v="0"/>
    <x v="0"/>
    <x v="1"/>
    <d v="2024-12-08T00:00:00"/>
    <n v="4"/>
  </r>
  <r>
    <s v="ORD00452"/>
    <d v="2025-01-09T00:00:00"/>
    <s v="C0095"/>
    <s v="Aditya Mehta"/>
    <x v="0"/>
    <n v="53"/>
    <x v="7"/>
    <x v="6"/>
    <s v="P302"/>
    <x v="12"/>
    <x v="1"/>
    <x v="9"/>
    <x v="2"/>
    <x v="229"/>
    <n v="180"/>
    <x v="3"/>
    <x v="1"/>
    <x v="1"/>
    <d v="2025-01-17T00:00:00"/>
    <n v="4"/>
  </r>
  <r>
    <s v="ORD00453"/>
    <d v="2025-04-06T00:00:00"/>
    <s v="C0093"/>
    <s v="Rohan Jain"/>
    <x v="0"/>
    <n v="29"/>
    <x v="13"/>
    <x v="4"/>
    <s v="P403"/>
    <x v="17"/>
    <x v="3"/>
    <x v="13"/>
    <x v="2"/>
    <x v="206"/>
    <n v="1520"/>
    <x v="2"/>
    <x v="1"/>
    <x v="2"/>
    <d v="2025-04-11T00:00:00"/>
    <n v="5"/>
  </r>
  <r>
    <s v="ORD00454"/>
    <d v="2025-01-25T00:00:00"/>
    <s v="C0101"/>
    <s v="Aarav Jain"/>
    <x v="0"/>
    <n v="34"/>
    <x v="13"/>
    <x v="4"/>
    <s v="P504"/>
    <x v="15"/>
    <x v="2"/>
    <x v="11"/>
    <x v="2"/>
    <x v="54"/>
    <n v="3240"/>
    <x v="1"/>
    <x v="3"/>
    <x v="1"/>
    <d v="2025-02-02T00:00:00"/>
    <n v="5"/>
  </r>
  <r>
    <s v="ORD00455"/>
    <d v="2024-05-17T00:00:00"/>
    <s v="C0265"/>
    <s v="Arjun Jain"/>
    <x v="0"/>
    <n v="41"/>
    <x v="9"/>
    <x v="8"/>
    <s v="P304"/>
    <x v="1"/>
    <x v="1"/>
    <x v="1"/>
    <x v="3"/>
    <x v="1"/>
    <n v="1560"/>
    <x v="0"/>
    <x v="2"/>
    <x v="2"/>
    <d v="2024-05-28T00:00:00"/>
    <n v="2"/>
  </r>
  <r>
    <s v="ORD00456"/>
    <d v="2025-02-11T00:00:00"/>
    <s v="C0051"/>
    <s v="Aarav Joshi"/>
    <x v="0"/>
    <n v="25"/>
    <x v="5"/>
    <x v="4"/>
    <s v="P102"/>
    <x v="0"/>
    <x v="0"/>
    <x v="0"/>
    <x v="2"/>
    <x v="308"/>
    <n v="1580"/>
    <x v="0"/>
    <x v="4"/>
    <x v="2"/>
    <d v="2025-02-23T00:00:00"/>
    <n v="3"/>
  </r>
  <r>
    <s v="ORD00457"/>
    <d v="2025-04-05T00:00:00"/>
    <s v="C0172"/>
    <s v="Arjun Jain"/>
    <x v="0"/>
    <n v="54"/>
    <x v="14"/>
    <x v="1"/>
    <s v="P204"/>
    <x v="20"/>
    <x v="4"/>
    <x v="15"/>
    <x v="3"/>
    <x v="309"/>
    <n v="5610"/>
    <x v="0"/>
    <x v="1"/>
    <x v="1"/>
    <d v="2025-04-13T00:00:00"/>
    <n v="3"/>
  </r>
  <r>
    <s v="ORD00458"/>
    <d v="2024-12-25T00:00:00"/>
    <s v="C0102"/>
    <s v="Riya Gupta"/>
    <x v="1"/>
    <n v="45"/>
    <x v="5"/>
    <x v="4"/>
    <s v="P202"/>
    <x v="13"/>
    <x v="4"/>
    <x v="8"/>
    <x v="3"/>
    <x v="310"/>
    <n v="12900"/>
    <x v="7"/>
    <x v="2"/>
    <x v="1"/>
    <d v="2025-01-03T00:00:00"/>
    <n v="3"/>
  </r>
  <r>
    <s v="ORD00459"/>
    <d v="2025-01-25T00:00:00"/>
    <s v="C0147"/>
    <s v="Nisha Sharma"/>
    <x v="1"/>
    <n v="41"/>
    <x v="3"/>
    <x v="2"/>
    <s v="P501"/>
    <x v="8"/>
    <x v="2"/>
    <x v="6"/>
    <x v="2"/>
    <x v="110"/>
    <n v="1860"/>
    <x v="6"/>
    <x v="1"/>
    <x v="1"/>
    <d v="2025-02-06T00:00:00"/>
    <n v="5"/>
  </r>
  <r>
    <s v="ORD00460"/>
    <d v="2024-03-14T00:00:00"/>
    <s v="C0041"/>
    <s v="Vikas Solanki"/>
    <x v="0"/>
    <n v="52"/>
    <x v="5"/>
    <x v="4"/>
    <s v="P203"/>
    <x v="16"/>
    <x v="4"/>
    <x v="12"/>
    <x v="2"/>
    <x v="157"/>
    <n v="6100"/>
    <x v="7"/>
    <x v="1"/>
    <x v="0"/>
    <d v="2024-03-20T00:00:00"/>
    <n v="4"/>
  </r>
  <r>
    <s v="ORD00461"/>
    <d v="2025-09-11T00:00:00"/>
    <s v="C0203"/>
    <s v="Arjun Jain"/>
    <x v="0"/>
    <n v="32"/>
    <x v="14"/>
    <x v="1"/>
    <s v="P303"/>
    <x v="4"/>
    <x v="1"/>
    <x v="1"/>
    <x v="3"/>
    <x v="311"/>
    <n v="990"/>
    <x v="1"/>
    <x v="4"/>
    <x v="1"/>
    <d v="2025-09-15T00:00:00"/>
    <n v="2"/>
  </r>
  <r>
    <s v="ORD00462"/>
    <d v="2024-05-08T00:00:00"/>
    <s v="C0121"/>
    <s v="Rohan Joshi"/>
    <x v="0"/>
    <n v="37"/>
    <x v="14"/>
    <x v="1"/>
    <s v="P504"/>
    <x v="15"/>
    <x v="2"/>
    <x v="11"/>
    <x v="4"/>
    <x v="312"/>
    <n v="1620"/>
    <x v="5"/>
    <x v="0"/>
    <x v="1"/>
    <d v="2024-05-11T00:00:00"/>
    <n v="3"/>
  </r>
  <r>
    <s v="ORD00463"/>
    <d v="2024-03-06T00:00:00"/>
    <s v="C0243"/>
    <s v="Aditya Mehta"/>
    <x v="0"/>
    <n v="19"/>
    <x v="0"/>
    <x v="0"/>
    <s v="P101"/>
    <x v="6"/>
    <x v="0"/>
    <x v="0"/>
    <x v="1"/>
    <x v="313"/>
    <n v="1880"/>
    <x v="2"/>
    <x v="3"/>
    <x v="1"/>
    <d v="2024-03-17T00:00:00"/>
    <n v="3"/>
  </r>
  <r>
    <s v="ORD00464"/>
    <d v="2024-03-27T00:00:00"/>
    <s v="C0200"/>
    <s v="Aman Singh"/>
    <x v="0"/>
    <n v="42"/>
    <x v="1"/>
    <x v="1"/>
    <s v="P108"/>
    <x v="22"/>
    <x v="0"/>
    <x v="14"/>
    <x v="2"/>
    <x v="314"/>
    <n v="2160"/>
    <x v="0"/>
    <x v="4"/>
    <x v="0"/>
    <d v="2024-03-31T00:00:00"/>
    <n v="3"/>
  </r>
  <r>
    <s v="ORD00465"/>
    <d v="2025-06-23T00:00:00"/>
    <s v="C0088"/>
    <s v="Riya Mishra"/>
    <x v="1"/>
    <n v="21"/>
    <x v="11"/>
    <x v="0"/>
    <s v="P102"/>
    <x v="0"/>
    <x v="0"/>
    <x v="0"/>
    <x v="3"/>
    <x v="315"/>
    <n v="2370"/>
    <x v="7"/>
    <x v="4"/>
    <x v="1"/>
    <d v="2025-07-03T00:00:00"/>
    <n v="4"/>
  </r>
  <r>
    <s v="ORD00466"/>
    <d v="2025-07-15T00:00:00"/>
    <s v="C0228"/>
    <s v="Kavita Solanki"/>
    <x v="1"/>
    <n v="52"/>
    <x v="13"/>
    <x v="4"/>
    <s v="P503"/>
    <x v="7"/>
    <x v="2"/>
    <x v="5"/>
    <x v="0"/>
    <x v="316"/>
    <n v="3950"/>
    <x v="6"/>
    <x v="2"/>
    <x v="3"/>
    <s v="NA"/>
    <s v="NA"/>
  </r>
  <r>
    <s v="ORD00467"/>
    <d v="2025-04-12T00:00:00"/>
    <s v="C0289"/>
    <s v="Anjali Jain"/>
    <x v="1"/>
    <n v="53"/>
    <x v="8"/>
    <x v="7"/>
    <s v="P401"/>
    <x v="10"/>
    <x v="3"/>
    <x v="7"/>
    <x v="0"/>
    <x v="169"/>
    <n v="1850"/>
    <x v="0"/>
    <x v="1"/>
    <x v="1"/>
    <d v="2025-04-22T00:00:00"/>
    <n v="4"/>
  </r>
  <r>
    <s v="ORD00468"/>
    <d v="2024-04-01T00:00:00"/>
    <s v="C0227"/>
    <s v="Anjali Gupta"/>
    <x v="1"/>
    <n v="42"/>
    <x v="1"/>
    <x v="1"/>
    <s v="P204"/>
    <x v="20"/>
    <x v="4"/>
    <x v="15"/>
    <x v="1"/>
    <x v="317"/>
    <n v="7480"/>
    <x v="0"/>
    <x v="0"/>
    <x v="1"/>
    <d v="2024-04-03T00:00:00"/>
    <n v="2"/>
  </r>
  <r>
    <s v="ORD00469"/>
    <d v="2025-06-19T00:00:00"/>
    <s v="C0070"/>
    <s v="Mohit Solanki"/>
    <x v="0"/>
    <n v="30"/>
    <x v="15"/>
    <x v="8"/>
    <s v="P202"/>
    <x v="13"/>
    <x v="4"/>
    <x v="8"/>
    <x v="1"/>
    <x v="318"/>
    <n v="17200"/>
    <x v="4"/>
    <x v="4"/>
    <x v="2"/>
    <d v="2025-06-28T00:00:00"/>
    <n v="4"/>
  </r>
  <r>
    <s v="ORD00470"/>
    <d v="2024-01-10T00:00:00"/>
    <s v="C0221"/>
    <s v="Aditya Jain"/>
    <x v="0"/>
    <n v="44"/>
    <x v="1"/>
    <x v="1"/>
    <s v="P404"/>
    <x v="14"/>
    <x v="3"/>
    <x v="10"/>
    <x v="2"/>
    <x v="300"/>
    <n v="1220"/>
    <x v="4"/>
    <x v="2"/>
    <x v="1"/>
    <d v="2024-01-15T00:00:00"/>
    <n v="5"/>
  </r>
  <r>
    <s v="ORD00471"/>
    <d v="2025-07-28T00:00:00"/>
    <s v="C0224"/>
    <s v="Kavita Jain"/>
    <x v="1"/>
    <n v="55"/>
    <x v="12"/>
    <x v="9"/>
    <s v="P108"/>
    <x v="22"/>
    <x v="0"/>
    <x v="14"/>
    <x v="2"/>
    <x v="319"/>
    <n v="2160"/>
    <x v="3"/>
    <x v="4"/>
    <x v="1"/>
    <d v="2025-08-03T00:00:00"/>
    <n v="3"/>
  </r>
  <r>
    <s v="ORD00472"/>
    <d v="2025-03-08T00:00:00"/>
    <s v="C0123"/>
    <s v="Aarav Mehta"/>
    <x v="0"/>
    <n v="57"/>
    <x v="14"/>
    <x v="1"/>
    <s v="P202"/>
    <x v="13"/>
    <x v="4"/>
    <x v="8"/>
    <x v="0"/>
    <x v="318"/>
    <n v="21500"/>
    <x v="0"/>
    <x v="4"/>
    <x v="1"/>
    <d v="2025-03-11T00:00:00"/>
    <n v="3"/>
  </r>
  <r>
    <s v="ORD00473"/>
    <d v="2024-05-19T00:00:00"/>
    <s v="C0149"/>
    <s v="Kavita Patel"/>
    <x v="1"/>
    <n v="20"/>
    <x v="4"/>
    <x v="3"/>
    <s v="P501"/>
    <x v="8"/>
    <x v="2"/>
    <x v="6"/>
    <x v="1"/>
    <x v="198"/>
    <n v="3720"/>
    <x v="1"/>
    <x v="1"/>
    <x v="0"/>
    <d v="2024-05-30T00:00:00"/>
    <n v="5"/>
  </r>
  <r>
    <s v="ORD00474"/>
    <d v="2024-07-11T00:00:00"/>
    <s v="C0165"/>
    <s v="Suman Solanki"/>
    <x v="1"/>
    <n v="43"/>
    <x v="11"/>
    <x v="0"/>
    <s v="P105"/>
    <x v="21"/>
    <x v="0"/>
    <x v="16"/>
    <x v="4"/>
    <x v="320"/>
    <n v="1900"/>
    <x v="4"/>
    <x v="0"/>
    <x v="1"/>
    <d v="2024-07-17T00:00:00"/>
    <n v="4"/>
  </r>
  <r>
    <s v="ORD00475"/>
    <d v="2024-05-08T00:00:00"/>
    <s v="C0225"/>
    <s v="Akash Sharma"/>
    <x v="0"/>
    <n v="54"/>
    <x v="11"/>
    <x v="0"/>
    <s v="P108"/>
    <x v="22"/>
    <x v="0"/>
    <x v="14"/>
    <x v="4"/>
    <x v="292"/>
    <n v="1080"/>
    <x v="6"/>
    <x v="3"/>
    <x v="1"/>
    <d v="2024-05-13T00:00:00"/>
    <n v="4"/>
  </r>
  <r>
    <s v="ORD00476"/>
    <d v="2025-03-06T00:00:00"/>
    <s v="C0160"/>
    <s v="Kunal Singh"/>
    <x v="0"/>
    <n v="47"/>
    <x v="7"/>
    <x v="6"/>
    <s v="P204"/>
    <x v="20"/>
    <x v="4"/>
    <x v="15"/>
    <x v="1"/>
    <x v="321"/>
    <n v="7480"/>
    <x v="4"/>
    <x v="1"/>
    <x v="1"/>
    <d v="2025-03-10T00:00:00"/>
    <n v="2"/>
  </r>
  <r>
    <s v="ORD00477"/>
    <d v="2024-09-29T00:00:00"/>
    <s v="C0201"/>
    <s v="Muskan Jain"/>
    <x v="1"/>
    <n v="33"/>
    <x v="2"/>
    <x v="0"/>
    <s v="P402"/>
    <x v="18"/>
    <x v="3"/>
    <x v="7"/>
    <x v="1"/>
    <x v="322"/>
    <n v="2040"/>
    <x v="6"/>
    <x v="0"/>
    <x v="2"/>
    <d v="2024-10-05T00:00:00"/>
    <n v="5"/>
  </r>
  <r>
    <s v="ORD00478"/>
    <d v="2024-01-13T00:00:00"/>
    <s v="C0063"/>
    <s v="Anjali Gupta"/>
    <x v="1"/>
    <n v="33"/>
    <x v="6"/>
    <x v="5"/>
    <s v="P301"/>
    <x v="2"/>
    <x v="1"/>
    <x v="2"/>
    <x v="1"/>
    <x v="323"/>
    <n v="840"/>
    <x v="5"/>
    <x v="3"/>
    <x v="1"/>
    <d v="2024-01-22T00:00:00"/>
    <n v="3"/>
  </r>
  <r>
    <s v="ORD00479"/>
    <d v="2025-06-17T00:00:00"/>
    <s v="C0107"/>
    <s v="Vikas Solanki"/>
    <x v="0"/>
    <n v="21"/>
    <x v="7"/>
    <x v="6"/>
    <s v="P301"/>
    <x v="2"/>
    <x v="1"/>
    <x v="2"/>
    <x v="3"/>
    <x v="215"/>
    <n v="630"/>
    <x v="7"/>
    <x v="0"/>
    <x v="1"/>
    <d v="2025-06-19T00:00:00"/>
    <n v="3"/>
  </r>
  <r>
    <s v="ORD00480"/>
    <d v="2024-09-16T00:00:00"/>
    <s v="C0247"/>
    <s v="Kunal Singh"/>
    <x v="0"/>
    <n v="19"/>
    <x v="1"/>
    <x v="1"/>
    <s v="P107"/>
    <x v="5"/>
    <x v="0"/>
    <x v="4"/>
    <x v="3"/>
    <x v="162"/>
    <n v="2760"/>
    <x v="4"/>
    <x v="0"/>
    <x v="1"/>
    <d v="2024-09-21T00:00:00"/>
    <n v="5"/>
  </r>
  <r>
    <s v="ORD00481"/>
    <d v="2024-11-28T00:00:00"/>
    <s v="C0008"/>
    <s v="Deepak Sharma"/>
    <x v="0"/>
    <n v="53"/>
    <x v="5"/>
    <x v="4"/>
    <s v="P201"/>
    <x v="11"/>
    <x v="4"/>
    <x v="8"/>
    <x v="0"/>
    <x v="38"/>
    <n v="25500"/>
    <x v="2"/>
    <x v="4"/>
    <x v="2"/>
    <d v="2024-12-03T00:00:00"/>
    <n v="2"/>
  </r>
  <r>
    <s v="ORD00482"/>
    <d v="2024-02-13T00:00:00"/>
    <s v="C0298"/>
    <s v="Arjun Singh"/>
    <x v="0"/>
    <n v="36"/>
    <x v="7"/>
    <x v="6"/>
    <s v="P503"/>
    <x v="7"/>
    <x v="2"/>
    <x v="5"/>
    <x v="0"/>
    <x v="316"/>
    <n v="3950"/>
    <x v="6"/>
    <x v="1"/>
    <x v="2"/>
    <d v="2024-02-16T00:00:00"/>
    <n v="4"/>
  </r>
  <r>
    <s v="ORD00483"/>
    <d v="2024-06-10T00:00:00"/>
    <s v="C0256"/>
    <s v="Aman Joshi"/>
    <x v="0"/>
    <n v="42"/>
    <x v="2"/>
    <x v="0"/>
    <s v="P502"/>
    <x v="9"/>
    <x v="2"/>
    <x v="5"/>
    <x v="0"/>
    <x v="324"/>
    <n v="2100"/>
    <x v="7"/>
    <x v="3"/>
    <x v="1"/>
    <d v="2024-06-17T00:00:00"/>
    <n v="3"/>
  </r>
  <r>
    <s v="ORD00484"/>
    <d v="2025-12-19T00:00:00"/>
    <s v="C0275"/>
    <s v="Pooja Sharma"/>
    <x v="1"/>
    <n v="49"/>
    <x v="4"/>
    <x v="3"/>
    <s v="P105"/>
    <x v="21"/>
    <x v="0"/>
    <x v="16"/>
    <x v="1"/>
    <x v="57"/>
    <n v="7600"/>
    <x v="8"/>
    <x v="1"/>
    <x v="3"/>
    <s v="NA"/>
    <s v="NA"/>
  </r>
  <r>
    <s v="ORD00485"/>
    <d v="2025-10-22T00:00:00"/>
    <s v="C0178"/>
    <s v="Pooja Joshi"/>
    <x v="1"/>
    <n v="25"/>
    <x v="3"/>
    <x v="2"/>
    <s v="P504"/>
    <x v="15"/>
    <x v="2"/>
    <x v="11"/>
    <x v="2"/>
    <x v="145"/>
    <n v="3240"/>
    <x v="4"/>
    <x v="4"/>
    <x v="1"/>
    <d v="2025-10-26T00:00:00"/>
    <n v="4"/>
  </r>
  <r>
    <s v="ORD00486"/>
    <d v="2024-02-10T00:00:00"/>
    <s v="C0249"/>
    <s v="Rohan Mehta"/>
    <x v="0"/>
    <n v="25"/>
    <x v="3"/>
    <x v="2"/>
    <s v="P402"/>
    <x v="18"/>
    <x v="3"/>
    <x v="7"/>
    <x v="3"/>
    <x v="114"/>
    <n v="1530"/>
    <x v="1"/>
    <x v="0"/>
    <x v="3"/>
    <s v="NA"/>
    <s v="NA"/>
  </r>
  <r>
    <s v="ORD00487"/>
    <d v="2024-07-10T00:00:00"/>
    <s v="C0279"/>
    <s v="Akash Gupta"/>
    <x v="0"/>
    <n v="53"/>
    <x v="15"/>
    <x v="8"/>
    <s v="P203"/>
    <x v="16"/>
    <x v="4"/>
    <x v="12"/>
    <x v="1"/>
    <x v="325"/>
    <n v="12200"/>
    <x v="0"/>
    <x v="2"/>
    <x v="2"/>
    <d v="2024-07-20T00:00:00"/>
    <n v="3"/>
  </r>
  <r>
    <s v="ORD00488"/>
    <d v="2024-03-11T00:00:00"/>
    <s v="C0272"/>
    <s v="Aditya Gupta"/>
    <x v="0"/>
    <n v="46"/>
    <x v="13"/>
    <x v="4"/>
    <s v="P303"/>
    <x v="4"/>
    <x v="1"/>
    <x v="1"/>
    <x v="3"/>
    <x v="62"/>
    <n v="990"/>
    <x v="0"/>
    <x v="2"/>
    <x v="1"/>
    <d v="2024-03-20T00:00:00"/>
    <n v="2"/>
  </r>
  <r>
    <s v="ORD00489"/>
    <d v="2025-10-15T00:00:00"/>
    <s v="C0260"/>
    <s v="Reena Khan"/>
    <x v="1"/>
    <n v="25"/>
    <x v="12"/>
    <x v="9"/>
    <s v="P504"/>
    <x v="15"/>
    <x v="2"/>
    <x v="11"/>
    <x v="2"/>
    <x v="145"/>
    <n v="3240"/>
    <x v="4"/>
    <x v="2"/>
    <x v="2"/>
    <d v="2025-10-22T00:00:00"/>
    <n v="4"/>
  </r>
  <r>
    <s v="ORD00490"/>
    <d v="2024-11-24T00:00:00"/>
    <s v="C0033"/>
    <s v="Kunal Joshi"/>
    <x v="0"/>
    <n v="38"/>
    <x v="12"/>
    <x v="9"/>
    <s v="P107"/>
    <x v="5"/>
    <x v="0"/>
    <x v="4"/>
    <x v="0"/>
    <x v="162"/>
    <n v="4600"/>
    <x v="1"/>
    <x v="2"/>
    <x v="1"/>
    <d v="2024-12-05T00:00:00"/>
    <n v="4"/>
  </r>
  <r>
    <s v="ORD00491"/>
    <d v="2024-11-26T00:00:00"/>
    <s v="C0210"/>
    <s v="Kavita Solanki"/>
    <x v="1"/>
    <n v="46"/>
    <x v="9"/>
    <x v="8"/>
    <s v="P104"/>
    <x v="19"/>
    <x v="0"/>
    <x v="14"/>
    <x v="4"/>
    <x v="171"/>
    <n v="1230"/>
    <x v="2"/>
    <x v="3"/>
    <x v="2"/>
    <d v="2024-11-30T00:00:00"/>
    <n v="3"/>
  </r>
  <r>
    <s v="ORD00492"/>
    <d v="2024-02-02T00:00:00"/>
    <s v="C0104"/>
    <s v="Reena Mishra"/>
    <x v="1"/>
    <n v="49"/>
    <x v="4"/>
    <x v="3"/>
    <s v="P304"/>
    <x v="1"/>
    <x v="1"/>
    <x v="1"/>
    <x v="2"/>
    <x v="326"/>
    <n v="1040"/>
    <x v="2"/>
    <x v="3"/>
    <x v="3"/>
    <s v="NA"/>
    <s v="NA"/>
  </r>
  <r>
    <s v="ORD00493"/>
    <d v="2025-10-19T00:00:00"/>
    <s v="C0199"/>
    <s v="Riya Jain"/>
    <x v="1"/>
    <n v="58"/>
    <x v="7"/>
    <x v="6"/>
    <s v="P401"/>
    <x v="10"/>
    <x v="3"/>
    <x v="7"/>
    <x v="0"/>
    <x v="169"/>
    <n v="1850"/>
    <x v="0"/>
    <x v="3"/>
    <x v="1"/>
    <d v="2025-10-24T00:00:00"/>
    <n v="3"/>
  </r>
  <r>
    <s v="ORD00494"/>
    <d v="2024-01-14T00:00:00"/>
    <s v="C0107"/>
    <s v="Vikas Solanki"/>
    <x v="0"/>
    <n v="21"/>
    <x v="7"/>
    <x v="6"/>
    <s v="P103"/>
    <x v="3"/>
    <x v="0"/>
    <x v="3"/>
    <x v="1"/>
    <x v="169"/>
    <n v="1640"/>
    <x v="4"/>
    <x v="1"/>
    <x v="3"/>
    <s v="NA"/>
    <s v="NA"/>
  </r>
  <r>
    <s v="ORD00495"/>
    <d v="2025-03-01T00:00:00"/>
    <s v="C0189"/>
    <s v="Suman Yadav"/>
    <x v="1"/>
    <n v="47"/>
    <x v="0"/>
    <x v="0"/>
    <s v="P404"/>
    <x v="14"/>
    <x v="3"/>
    <x v="10"/>
    <x v="3"/>
    <x v="175"/>
    <n v="1830"/>
    <x v="4"/>
    <x v="3"/>
    <x v="2"/>
    <d v="2025-03-07T00:00:00"/>
    <n v="3"/>
  </r>
  <r>
    <s v="ORD00496"/>
    <d v="2024-08-09T00:00:00"/>
    <s v="C0266"/>
    <s v="Suman Mehta"/>
    <x v="1"/>
    <n v="27"/>
    <x v="4"/>
    <x v="3"/>
    <s v="P104"/>
    <x v="19"/>
    <x v="0"/>
    <x v="14"/>
    <x v="2"/>
    <x v="327"/>
    <n v="2460"/>
    <x v="3"/>
    <x v="0"/>
    <x v="1"/>
    <d v="2024-08-19T00:00:00"/>
    <n v="4"/>
  </r>
  <r>
    <s v="ORD00497"/>
    <d v="2025-08-06T00:00:00"/>
    <s v="C0092"/>
    <s v="Mohit Solanki"/>
    <x v="0"/>
    <n v="46"/>
    <x v="8"/>
    <x v="7"/>
    <s v="P504"/>
    <x v="15"/>
    <x v="2"/>
    <x v="11"/>
    <x v="4"/>
    <x v="43"/>
    <n v="1620"/>
    <x v="7"/>
    <x v="4"/>
    <x v="0"/>
    <d v="2025-08-18T00:00:00"/>
    <n v="5"/>
  </r>
  <r>
    <s v="ORD00498"/>
    <d v="2024-04-16T00:00:00"/>
    <s v="C0086"/>
    <s v="Arjun Verma"/>
    <x v="0"/>
    <n v="45"/>
    <x v="5"/>
    <x v="4"/>
    <s v="P402"/>
    <x v="18"/>
    <x v="3"/>
    <x v="7"/>
    <x v="1"/>
    <x v="78"/>
    <n v="2040"/>
    <x v="7"/>
    <x v="0"/>
    <x v="3"/>
    <s v="NA"/>
    <s v="NA"/>
  </r>
  <r>
    <s v="ORD00499"/>
    <d v="2025-09-06T00:00:00"/>
    <s v="C0227"/>
    <s v="Anjali Gupta"/>
    <x v="1"/>
    <n v="42"/>
    <x v="15"/>
    <x v="8"/>
    <s v="P203"/>
    <x v="16"/>
    <x v="4"/>
    <x v="12"/>
    <x v="0"/>
    <x v="120"/>
    <n v="15250"/>
    <x v="7"/>
    <x v="1"/>
    <x v="1"/>
    <d v="2025-09-18T00:00:00"/>
    <n v="5"/>
  </r>
  <r>
    <s v="ORD00500"/>
    <d v="2024-11-27T00:00:00"/>
    <s v="C0124"/>
    <s v="Aman Verma"/>
    <x v="0"/>
    <n v="22"/>
    <x v="10"/>
    <x v="5"/>
    <s v="P301"/>
    <x v="2"/>
    <x v="1"/>
    <x v="2"/>
    <x v="0"/>
    <x v="89"/>
    <n v="1050"/>
    <x v="0"/>
    <x v="1"/>
    <x v="1"/>
    <d v="2024-12-06T00:00:00"/>
    <n v="5"/>
  </r>
  <r>
    <s v="ORD00501"/>
    <d v="2024-01-01T00:00:00"/>
    <s v="C0018"/>
    <s v="Nisha Verma"/>
    <x v="1"/>
    <n v="42"/>
    <x v="1"/>
    <x v="1"/>
    <s v="P404"/>
    <x v="14"/>
    <x v="3"/>
    <x v="10"/>
    <x v="4"/>
    <x v="328"/>
    <n v="610"/>
    <x v="6"/>
    <x v="1"/>
    <x v="1"/>
    <d v="2024-01-07T00:00:00"/>
    <n v="4"/>
  </r>
  <r>
    <s v="ORD00502"/>
    <d v="2024-08-07T00:00:00"/>
    <s v="C0162"/>
    <s v="Kunal Sharma"/>
    <x v="0"/>
    <n v="30"/>
    <x v="11"/>
    <x v="0"/>
    <s v="P503"/>
    <x v="7"/>
    <x v="2"/>
    <x v="5"/>
    <x v="3"/>
    <x v="329"/>
    <n v="2370"/>
    <x v="6"/>
    <x v="3"/>
    <x v="1"/>
    <d v="2024-08-16T00:00:00"/>
    <n v="4"/>
  </r>
  <r>
    <s v="ORD00503"/>
    <d v="2024-06-08T00:00:00"/>
    <s v="C0071"/>
    <s v="Akash Gupta"/>
    <x v="0"/>
    <n v="43"/>
    <x v="14"/>
    <x v="1"/>
    <s v="P204"/>
    <x v="20"/>
    <x v="4"/>
    <x v="15"/>
    <x v="0"/>
    <x v="138"/>
    <n v="9350"/>
    <x v="5"/>
    <x v="0"/>
    <x v="1"/>
    <d v="2024-06-14T00:00:00"/>
    <n v="3"/>
  </r>
  <r>
    <s v="ORD00504"/>
    <d v="2025-08-07T00:00:00"/>
    <s v="C0205"/>
    <s v="Riya Sharma"/>
    <x v="1"/>
    <n v="53"/>
    <x v="10"/>
    <x v="5"/>
    <s v="P504"/>
    <x v="15"/>
    <x v="2"/>
    <x v="11"/>
    <x v="4"/>
    <x v="43"/>
    <n v="1620"/>
    <x v="7"/>
    <x v="4"/>
    <x v="1"/>
    <d v="2025-08-16T00:00:00"/>
    <n v="3"/>
  </r>
  <r>
    <s v="ORD00505"/>
    <d v="2025-09-01T00:00:00"/>
    <s v="C0154"/>
    <s v="Vikas Patel"/>
    <x v="0"/>
    <n v="33"/>
    <x v="0"/>
    <x v="0"/>
    <s v="P504"/>
    <x v="15"/>
    <x v="2"/>
    <x v="11"/>
    <x v="0"/>
    <x v="330"/>
    <n v="8100"/>
    <x v="3"/>
    <x v="3"/>
    <x v="2"/>
    <d v="2025-09-03T00:00:00"/>
    <n v="4"/>
  </r>
  <r>
    <s v="ORD00506"/>
    <d v="2024-12-22T00:00:00"/>
    <s v="C0223"/>
    <s v="Kavita Sharma"/>
    <x v="1"/>
    <n v="31"/>
    <x v="8"/>
    <x v="7"/>
    <s v="P104"/>
    <x v="19"/>
    <x v="0"/>
    <x v="14"/>
    <x v="2"/>
    <x v="331"/>
    <n v="2460"/>
    <x v="4"/>
    <x v="4"/>
    <x v="1"/>
    <d v="2024-12-28T00:00:00"/>
    <n v="2"/>
  </r>
  <r>
    <s v="ORD00507"/>
    <d v="2024-11-22T00:00:00"/>
    <s v="C0277"/>
    <s v="Mohit Yadav"/>
    <x v="0"/>
    <n v="34"/>
    <x v="13"/>
    <x v="4"/>
    <s v="P203"/>
    <x v="16"/>
    <x v="4"/>
    <x v="12"/>
    <x v="0"/>
    <x v="332"/>
    <n v="15250"/>
    <x v="5"/>
    <x v="0"/>
    <x v="1"/>
    <d v="2024-12-04T00:00:00"/>
    <n v="5"/>
  </r>
  <r>
    <s v="ORD00508"/>
    <d v="2025-04-01T00:00:00"/>
    <s v="C0295"/>
    <s v="Mohit Mishra"/>
    <x v="0"/>
    <n v="48"/>
    <x v="2"/>
    <x v="0"/>
    <s v="P108"/>
    <x v="22"/>
    <x v="0"/>
    <x v="14"/>
    <x v="1"/>
    <x v="136"/>
    <n v="4320"/>
    <x v="0"/>
    <x v="4"/>
    <x v="1"/>
    <d v="2025-04-05T00:00:00"/>
    <n v="4"/>
  </r>
  <r>
    <s v="ORD00509"/>
    <d v="2024-03-25T00:00:00"/>
    <s v="C0244"/>
    <s v="Vikas Solanki"/>
    <x v="0"/>
    <n v="21"/>
    <x v="0"/>
    <x v="0"/>
    <s v="P402"/>
    <x v="18"/>
    <x v="3"/>
    <x v="7"/>
    <x v="1"/>
    <x v="333"/>
    <n v="2040"/>
    <x v="0"/>
    <x v="3"/>
    <x v="1"/>
    <d v="2024-04-04T00:00:00"/>
    <n v="5"/>
  </r>
  <r>
    <s v="ORD00510"/>
    <d v="2025-12-15T00:00:00"/>
    <s v="C0067"/>
    <s v="Rohan Joshi"/>
    <x v="0"/>
    <n v="48"/>
    <x v="13"/>
    <x v="4"/>
    <s v="P304"/>
    <x v="1"/>
    <x v="1"/>
    <x v="1"/>
    <x v="0"/>
    <x v="334"/>
    <n v="2600"/>
    <x v="5"/>
    <x v="4"/>
    <x v="1"/>
    <d v="2025-12-27T00:00:00"/>
    <n v="4"/>
  </r>
  <r>
    <s v="ORD00511"/>
    <d v="2025-07-28T00:00:00"/>
    <s v="C0269"/>
    <s v="Nisha Mehta"/>
    <x v="1"/>
    <n v="47"/>
    <x v="16"/>
    <x v="5"/>
    <s v="P108"/>
    <x v="22"/>
    <x v="0"/>
    <x v="14"/>
    <x v="4"/>
    <x v="335"/>
    <n v="1080"/>
    <x v="0"/>
    <x v="4"/>
    <x v="1"/>
    <d v="2025-08-09T00:00:00"/>
    <n v="3"/>
  </r>
  <r>
    <s v="ORD00512"/>
    <d v="2024-04-25T00:00:00"/>
    <s v="C0212"/>
    <s v="Riya Gupta"/>
    <x v="1"/>
    <n v="33"/>
    <x v="8"/>
    <x v="7"/>
    <s v="P204"/>
    <x v="20"/>
    <x v="4"/>
    <x v="15"/>
    <x v="3"/>
    <x v="336"/>
    <n v="5610"/>
    <x v="5"/>
    <x v="1"/>
    <x v="1"/>
    <d v="2024-05-06T00:00:00"/>
    <n v="2"/>
  </r>
  <r>
    <s v="ORD00513"/>
    <d v="2024-11-08T00:00:00"/>
    <s v="C0087"/>
    <s v="Anjali Jain"/>
    <x v="1"/>
    <n v="44"/>
    <x v="15"/>
    <x v="8"/>
    <s v="P404"/>
    <x v="14"/>
    <x v="3"/>
    <x v="10"/>
    <x v="1"/>
    <x v="337"/>
    <n v="2440"/>
    <x v="6"/>
    <x v="4"/>
    <x v="1"/>
    <d v="2024-11-13T00:00:00"/>
    <n v="4"/>
  </r>
  <r>
    <s v="ORD00514"/>
    <d v="2025-12-02T00:00:00"/>
    <s v="C0192"/>
    <s v="Reena Verma"/>
    <x v="1"/>
    <n v="36"/>
    <x v="13"/>
    <x v="4"/>
    <s v="P504"/>
    <x v="15"/>
    <x v="2"/>
    <x v="11"/>
    <x v="4"/>
    <x v="261"/>
    <n v="1620"/>
    <x v="2"/>
    <x v="3"/>
    <x v="1"/>
    <d v="2025-12-13T00:00:00"/>
    <n v="3"/>
  </r>
  <r>
    <s v="ORD00515"/>
    <d v="2024-10-21T00:00:00"/>
    <s v="C0008"/>
    <s v="Deepak Sharma"/>
    <x v="0"/>
    <n v="53"/>
    <x v="9"/>
    <x v="8"/>
    <s v="P503"/>
    <x v="7"/>
    <x v="2"/>
    <x v="5"/>
    <x v="4"/>
    <x v="103"/>
    <n v="790"/>
    <x v="0"/>
    <x v="4"/>
    <x v="1"/>
    <d v="2024-10-23T00:00:00"/>
    <n v="4"/>
  </r>
  <r>
    <s v="ORD00516"/>
    <d v="2024-08-02T00:00:00"/>
    <s v="C0276"/>
    <s v="Pooja Patel"/>
    <x v="1"/>
    <n v="49"/>
    <x v="10"/>
    <x v="5"/>
    <s v="P107"/>
    <x v="5"/>
    <x v="0"/>
    <x v="4"/>
    <x v="0"/>
    <x v="303"/>
    <n v="4600"/>
    <x v="0"/>
    <x v="2"/>
    <x v="1"/>
    <d v="2024-08-13T00:00:00"/>
    <n v="3"/>
  </r>
  <r>
    <s v="ORD00517"/>
    <d v="2025-12-12T00:00:00"/>
    <s v="C0010"/>
    <s v="Kavita Singh"/>
    <x v="1"/>
    <n v="46"/>
    <x v="12"/>
    <x v="9"/>
    <s v="P403"/>
    <x v="17"/>
    <x v="3"/>
    <x v="13"/>
    <x v="0"/>
    <x v="338"/>
    <n v="3800"/>
    <x v="4"/>
    <x v="1"/>
    <x v="1"/>
    <d v="2025-12-14T00:00:00"/>
    <n v="4"/>
  </r>
  <r>
    <s v="ORD00518"/>
    <d v="2024-07-24T00:00:00"/>
    <s v="C0139"/>
    <s v="Priya Sharma"/>
    <x v="1"/>
    <n v="23"/>
    <x v="0"/>
    <x v="0"/>
    <s v="P303"/>
    <x v="4"/>
    <x v="1"/>
    <x v="1"/>
    <x v="4"/>
    <x v="195"/>
    <n v="330"/>
    <x v="2"/>
    <x v="4"/>
    <x v="0"/>
    <d v="2024-07-30T00:00:00"/>
    <n v="4"/>
  </r>
  <r>
    <s v="ORD00519"/>
    <d v="2024-04-20T00:00:00"/>
    <s v="C0010"/>
    <s v="Kavita Singh"/>
    <x v="1"/>
    <n v="46"/>
    <x v="1"/>
    <x v="1"/>
    <s v="P501"/>
    <x v="8"/>
    <x v="2"/>
    <x v="6"/>
    <x v="1"/>
    <x v="339"/>
    <n v="3720"/>
    <x v="5"/>
    <x v="4"/>
    <x v="3"/>
    <s v="NA"/>
    <s v="NA"/>
  </r>
  <r>
    <s v="ORD00520"/>
    <d v="2025-12-27T00:00:00"/>
    <s v="C0051"/>
    <s v="Aarav Joshi"/>
    <x v="0"/>
    <n v="25"/>
    <x v="9"/>
    <x v="8"/>
    <s v="P304"/>
    <x v="1"/>
    <x v="1"/>
    <x v="1"/>
    <x v="0"/>
    <x v="340"/>
    <n v="2600"/>
    <x v="2"/>
    <x v="0"/>
    <x v="1"/>
    <d v="2026-01-06T00:00:00"/>
    <n v="5"/>
  </r>
  <r>
    <s v="ORD00521"/>
    <d v="2025-07-28T00:00:00"/>
    <s v="C0012"/>
    <s v="Rahul Mishra"/>
    <x v="0"/>
    <n v="45"/>
    <x v="0"/>
    <x v="0"/>
    <s v="P108"/>
    <x v="22"/>
    <x v="0"/>
    <x v="14"/>
    <x v="0"/>
    <x v="64"/>
    <n v="5400"/>
    <x v="0"/>
    <x v="1"/>
    <x v="1"/>
    <d v="2025-08-05T00:00:00"/>
    <n v="3"/>
  </r>
  <r>
    <s v="ORD00522"/>
    <d v="2024-01-19T00:00:00"/>
    <s v="C0178"/>
    <s v="Pooja Joshi"/>
    <x v="1"/>
    <n v="25"/>
    <x v="15"/>
    <x v="8"/>
    <s v="P204"/>
    <x v="20"/>
    <x v="4"/>
    <x v="15"/>
    <x v="3"/>
    <x v="336"/>
    <n v="5610"/>
    <x v="5"/>
    <x v="2"/>
    <x v="1"/>
    <d v="2024-01-21T00:00:00"/>
    <n v="4"/>
  </r>
  <r>
    <s v="ORD00523"/>
    <d v="2025-01-31T00:00:00"/>
    <s v="C0016"/>
    <s v="Anjali Yadav"/>
    <x v="1"/>
    <n v="56"/>
    <x v="14"/>
    <x v="1"/>
    <s v="P108"/>
    <x v="22"/>
    <x v="0"/>
    <x v="14"/>
    <x v="2"/>
    <x v="113"/>
    <n v="2160"/>
    <x v="7"/>
    <x v="4"/>
    <x v="0"/>
    <d v="2025-02-04T00:00:00"/>
    <n v="3"/>
  </r>
  <r>
    <s v="ORD00524"/>
    <d v="2025-01-26T00:00:00"/>
    <s v="C0267"/>
    <s v="Kavita Patel"/>
    <x v="1"/>
    <n v="51"/>
    <x v="6"/>
    <x v="5"/>
    <s v="P302"/>
    <x v="12"/>
    <x v="1"/>
    <x v="9"/>
    <x v="2"/>
    <x v="53"/>
    <n v="180"/>
    <x v="6"/>
    <x v="4"/>
    <x v="1"/>
    <d v="2025-02-06T00:00:00"/>
    <n v="4"/>
  </r>
  <r>
    <s v="ORD00525"/>
    <d v="2025-04-04T00:00:00"/>
    <s v="C0278"/>
    <s v="Pooja Gupta"/>
    <x v="1"/>
    <n v="56"/>
    <x v="13"/>
    <x v="4"/>
    <s v="P107"/>
    <x v="5"/>
    <x v="0"/>
    <x v="4"/>
    <x v="2"/>
    <x v="247"/>
    <n v="1840"/>
    <x v="5"/>
    <x v="0"/>
    <x v="1"/>
    <d v="2025-04-14T00:00:00"/>
    <n v="3"/>
  </r>
  <r>
    <s v="ORD00526"/>
    <d v="2025-03-16T00:00:00"/>
    <s v="C0075"/>
    <s v="Aditya Yadav"/>
    <x v="0"/>
    <n v="19"/>
    <x v="5"/>
    <x v="4"/>
    <s v="P203"/>
    <x v="16"/>
    <x v="4"/>
    <x v="12"/>
    <x v="4"/>
    <x v="341"/>
    <n v="3050"/>
    <x v="2"/>
    <x v="0"/>
    <x v="1"/>
    <d v="2025-03-20T00:00:00"/>
    <n v="2"/>
  </r>
  <r>
    <s v="ORD00527"/>
    <d v="2024-11-22T00:00:00"/>
    <s v="C0212"/>
    <s v="Riya Gupta"/>
    <x v="1"/>
    <n v="33"/>
    <x v="8"/>
    <x v="7"/>
    <s v="P202"/>
    <x v="13"/>
    <x v="4"/>
    <x v="8"/>
    <x v="1"/>
    <x v="342"/>
    <n v="17200"/>
    <x v="0"/>
    <x v="0"/>
    <x v="2"/>
    <d v="2024-11-27T00:00:00"/>
    <n v="3"/>
  </r>
  <r>
    <s v="ORD00528"/>
    <d v="2024-05-14T00:00:00"/>
    <s v="C0095"/>
    <s v="Aditya Mehta"/>
    <x v="0"/>
    <n v="53"/>
    <x v="11"/>
    <x v="0"/>
    <s v="P404"/>
    <x v="14"/>
    <x v="3"/>
    <x v="10"/>
    <x v="0"/>
    <x v="268"/>
    <n v="3050"/>
    <x v="0"/>
    <x v="2"/>
    <x v="3"/>
    <s v="NA"/>
    <s v="NA"/>
  </r>
  <r>
    <s v="ORD00529"/>
    <d v="2025-09-19T00:00:00"/>
    <s v="C0119"/>
    <s v="Priya Singh"/>
    <x v="1"/>
    <n v="38"/>
    <x v="6"/>
    <x v="5"/>
    <s v="P108"/>
    <x v="22"/>
    <x v="0"/>
    <x v="14"/>
    <x v="4"/>
    <x v="90"/>
    <n v="1080"/>
    <x v="7"/>
    <x v="3"/>
    <x v="0"/>
    <d v="2025-09-28T00:00:00"/>
    <n v="3"/>
  </r>
  <r>
    <s v="ORD00530"/>
    <d v="2025-05-29T00:00:00"/>
    <s v="C0241"/>
    <s v="Pooja Yadav"/>
    <x v="1"/>
    <n v="42"/>
    <x v="15"/>
    <x v="8"/>
    <s v="P106"/>
    <x v="23"/>
    <x v="0"/>
    <x v="0"/>
    <x v="1"/>
    <x v="70"/>
    <n v="2840"/>
    <x v="1"/>
    <x v="4"/>
    <x v="1"/>
    <d v="2025-06-02T00:00:00"/>
    <n v="4"/>
  </r>
  <r>
    <s v="ORD00531"/>
    <d v="2024-08-19T00:00:00"/>
    <s v="C0017"/>
    <s v="Priya Sharma"/>
    <x v="1"/>
    <n v="47"/>
    <x v="8"/>
    <x v="7"/>
    <s v="P101"/>
    <x v="6"/>
    <x v="0"/>
    <x v="0"/>
    <x v="3"/>
    <x v="172"/>
    <n v="1410"/>
    <x v="3"/>
    <x v="0"/>
    <x v="0"/>
    <d v="2024-08-31T00:00:00"/>
    <n v="4"/>
  </r>
  <r>
    <s v="ORD00532"/>
    <d v="2024-07-28T00:00:00"/>
    <s v="C0034"/>
    <s v="Vivaan Singh"/>
    <x v="0"/>
    <n v="20"/>
    <x v="5"/>
    <x v="4"/>
    <s v="P303"/>
    <x v="4"/>
    <x v="1"/>
    <x v="1"/>
    <x v="0"/>
    <x v="178"/>
    <n v="1650"/>
    <x v="1"/>
    <x v="1"/>
    <x v="2"/>
    <d v="2024-08-06T00:00:00"/>
    <n v="4"/>
  </r>
  <r>
    <s v="ORD00533"/>
    <d v="2025-03-13T00:00:00"/>
    <s v="C0208"/>
    <s v="Nisha Khan"/>
    <x v="1"/>
    <n v="38"/>
    <x v="0"/>
    <x v="0"/>
    <s v="P404"/>
    <x v="14"/>
    <x v="0"/>
    <x v="10"/>
    <x v="1"/>
    <x v="175"/>
    <n v="2440"/>
    <x v="7"/>
    <x v="4"/>
    <x v="3"/>
    <s v="NA"/>
    <s v="NA"/>
  </r>
  <r>
    <s v="ORD00534"/>
    <d v="2025-08-08T00:00:00"/>
    <s v="C0275"/>
    <s v="Pooja Sharma"/>
    <x v="1"/>
    <n v="49"/>
    <x v="0"/>
    <x v="0"/>
    <s v="P401"/>
    <x v="10"/>
    <x v="3"/>
    <x v="7"/>
    <x v="4"/>
    <x v="343"/>
    <n v="370"/>
    <x v="1"/>
    <x v="4"/>
    <x v="2"/>
    <d v="2025-08-10T00:00:00"/>
    <n v="4"/>
  </r>
  <r>
    <s v="ORD00535"/>
    <d v="2025-06-15T00:00:00"/>
    <s v="C0276"/>
    <s v="Pooja Patel"/>
    <x v="1"/>
    <n v="49"/>
    <x v="12"/>
    <x v="9"/>
    <s v="P504"/>
    <x v="15"/>
    <x v="2"/>
    <x v="11"/>
    <x v="4"/>
    <x v="142"/>
    <n v="1620"/>
    <x v="3"/>
    <x v="2"/>
    <x v="2"/>
    <d v="2025-06-27T00:00:00"/>
    <n v="2"/>
  </r>
  <r>
    <s v="ORD00536"/>
    <d v="2024-07-13T00:00:00"/>
    <s v="C0150"/>
    <s v="Neha Yadav"/>
    <x v="1"/>
    <n v="20"/>
    <x v="3"/>
    <x v="2"/>
    <s v="P301"/>
    <x v="2"/>
    <x v="1"/>
    <x v="2"/>
    <x v="3"/>
    <x v="100"/>
    <n v="630"/>
    <x v="0"/>
    <x v="4"/>
    <x v="1"/>
    <d v="2024-07-21T00:00:00"/>
    <n v="4"/>
  </r>
  <r>
    <s v="ORD00537"/>
    <d v="2025-09-19T00:00:00"/>
    <s v="C0028"/>
    <s v="Akash Joshi"/>
    <x v="0"/>
    <n v="22"/>
    <x v="13"/>
    <x v="4"/>
    <s v="P303"/>
    <x v="4"/>
    <x v="1"/>
    <x v="1"/>
    <x v="1"/>
    <x v="344"/>
    <n v="1320"/>
    <x v="2"/>
    <x v="2"/>
    <x v="1"/>
    <d v="2025-09-23T00:00:00"/>
    <n v="3"/>
  </r>
  <r>
    <s v="ORD00538"/>
    <d v="2025-02-06T00:00:00"/>
    <s v="C0212"/>
    <s v="Riya Gupta"/>
    <x v="1"/>
    <n v="33"/>
    <x v="9"/>
    <x v="8"/>
    <s v="P303"/>
    <x v="4"/>
    <x v="1"/>
    <x v="1"/>
    <x v="4"/>
    <x v="345"/>
    <n v="330"/>
    <x v="6"/>
    <x v="4"/>
    <x v="3"/>
    <s v="NA"/>
    <s v="NA"/>
  </r>
  <r>
    <s v="ORD00539"/>
    <d v="2025-12-30T00:00:00"/>
    <s v="C0104"/>
    <s v="Reena Mishra"/>
    <x v="1"/>
    <n v="49"/>
    <x v="3"/>
    <x v="2"/>
    <s v="P103"/>
    <x v="3"/>
    <x v="0"/>
    <x v="3"/>
    <x v="3"/>
    <x v="346"/>
    <n v="1230"/>
    <x v="7"/>
    <x v="0"/>
    <x v="0"/>
    <d v="2026-01-02T00:00:00"/>
    <n v="3"/>
  </r>
  <r>
    <s v="ORD00540"/>
    <d v="2024-04-26T00:00:00"/>
    <s v="C0231"/>
    <s v="Muskan Sharma"/>
    <x v="1"/>
    <n v="42"/>
    <x v="15"/>
    <x v="8"/>
    <s v="P103"/>
    <x v="3"/>
    <x v="0"/>
    <x v="3"/>
    <x v="0"/>
    <x v="82"/>
    <n v="2050"/>
    <x v="3"/>
    <x v="2"/>
    <x v="3"/>
    <s v="NA"/>
    <s v="NA"/>
  </r>
  <r>
    <s v="ORD00541"/>
    <d v="2024-06-12T00:00:00"/>
    <s v="C0194"/>
    <s v="Deepak Yadav"/>
    <x v="0"/>
    <n v="23"/>
    <x v="12"/>
    <x v="9"/>
    <s v="P102"/>
    <x v="0"/>
    <x v="0"/>
    <x v="0"/>
    <x v="2"/>
    <x v="119"/>
    <n v="1580"/>
    <x v="7"/>
    <x v="2"/>
    <x v="2"/>
    <d v="2024-06-24T00:00:00"/>
    <n v="3"/>
  </r>
  <r>
    <s v="ORD00542"/>
    <d v="2024-06-15T00:00:00"/>
    <s v="C0075"/>
    <s v="Aditya Yadav"/>
    <x v="0"/>
    <n v="19"/>
    <x v="5"/>
    <x v="4"/>
    <s v="P503"/>
    <x v="7"/>
    <x v="2"/>
    <x v="5"/>
    <x v="4"/>
    <x v="347"/>
    <n v="790"/>
    <x v="3"/>
    <x v="1"/>
    <x v="1"/>
    <d v="2024-06-24T00:00:00"/>
    <n v="4"/>
  </r>
  <r>
    <s v="ORD00543"/>
    <d v="2025-10-03T00:00:00"/>
    <s v="C0093"/>
    <s v="Rohan Jain"/>
    <x v="0"/>
    <n v="29"/>
    <x v="4"/>
    <x v="3"/>
    <s v="P105"/>
    <x v="21"/>
    <x v="0"/>
    <x v="16"/>
    <x v="2"/>
    <x v="225"/>
    <n v="3800"/>
    <x v="4"/>
    <x v="2"/>
    <x v="2"/>
    <d v="2025-10-09T00:00:00"/>
    <n v="2"/>
  </r>
  <r>
    <s v="ORD00544"/>
    <d v="2025-04-14T00:00:00"/>
    <s v="C0255"/>
    <s v="Aman Sharma"/>
    <x v="0"/>
    <n v="37"/>
    <x v="7"/>
    <x v="6"/>
    <s v="P402"/>
    <x v="18"/>
    <x v="3"/>
    <x v="7"/>
    <x v="4"/>
    <x v="348"/>
    <n v="510"/>
    <x v="1"/>
    <x v="0"/>
    <x v="1"/>
    <d v="2025-04-25T00:00:00"/>
    <n v="5"/>
  </r>
  <r>
    <s v="ORD00545"/>
    <d v="2025-04-09T00:00:00"/>
    <s v="C0210"/>
    <s v="Kavita Solanki"/>
    <x v="1"/>
    <n v="46"/>
    <x v="3"/>
    <x v="2"/>
    <s v="P103"/>
    <x v="3"/>
    <x v="0"/>
    <x v="3"/>
    <x v="0"/>
    <x v="214"/>
    <n v="2050"/>
    <x v="4"/>
    <x v="0"/>
    <x v="3"/>
    <s v="NA"/>
    <s v="NA"/>
  </r>
  <r>
    <s v="ORD00546"/>
    <d v="2024-10-11T00:00:00"/>
    <s v="C0286"/>
    <s v="Akash Singh"/>
    <x v="0"/>
    <n v="37"/>
    <x v="10"/>
    <x v="5"/>
    <s v="P102"/>
    <x v="0"/>
    <x v="0"/>
    <x v="0"/>
    <x v="2"/>
    <x v="24"/>
    <n v="1580"/>
    <x v="6"/>
    <x v="3"/>
    <x v="0"/>
    <d v="2024-10-18T00:00:00"/>
    <n v="2"/>
  </r>
  <r>
    <s v="ORD00547"/>
    <d v="2024-05-28T00:00:00"/>
    <s v="C0017"/>
    <s v="Priya Sharma"/>
    <x v="1"/>
    <n v="47"/>
    <x v="1"/>
    <x v="1"/>
    <s v="P203"/>
    <x v="16"/>
    <x v="4"/>
    <x v="12"/>
    <x v="4"/>
    <x v="65"/>
    <n v="3050"/>
    <x v="4"/>
    <x v="3"/>
    <x v="1"/>
    <d v="2024-06-01T00:00:00"/>
    <n v="3"/>
  </r>
  <r>
    <s v="ORD00548"/>
    <d v="2025-11-19T00:00:00"/>
    <s v="C0146"/>
    <s v="Aditya Mishra"/>
    <x v="0"/>
    <n v="27"/>
    <x v="5"/>
    <x v="4"/>
    <s v="P303"/>
    <x v="4"/>
    <x v="1"/>
    <x v="1"/>
    <x v="0"/>
    <x v="349"/>
    <n v="1650"/>
    <x v="7"/>
    <x v="3"/>
    <x v="1"/>
    <d v="2025-11-25T00:00:00"/>
    <n v="4"/>
  </r>
  <r>
    <s v="ORD00549"/>
    <d v="2025-01-12T00:00:00"/>
    <s v="C0195"/>
    <s v="Kunal Joshi"/>
    <x v="0"/>
    <n v="37"/>
    <x v="2"/>
    <x v="0"/>
    <s v="P302"/>
    <x v="12"/>
    <x v="1"/>
    <x v="9"/>
    <x v="0"/>
    <x v="105"/>
    <n v="450"/>
    <x v="2"/>
    <x v="1"/>
    <x v="1"/>
    <d v="2025-01-16T00:00:00"/>
    <n v="3"/>
  </r>
  <r>
    <s v="ORD00550"/>
    <d v="2025-12-12T00:00:00"/>
    <s v="C0141"/>
    <s v="Vivaan Sharma"/>
    <x v="0"/>
    <n v="39"/>
    <x v="9"/>
    <x v="8"/>
    <s v="P401"/>
    <x v="10"/>
    <x v="3"/>
    <x v="7"/>
    <x v="1"/>
    <x v="350"/>
    <n v="1480"/>
    <x v="5"/>
    <x v="0"/>
    <x v="3"/>
    <s v="NA"/>
    <s v="NA"/>
  </r>
  <r>
    <s v="ORD00551"/>
    <d v="2024-02-29T00:00:00"/>
    <s v="C0056"/>
    <s v="Rashmi Patel"/>
    <x v="1"/>
    <n v="50"/>
    <x v="2"/>
    <x v="0"/>
    <s v="P304"/>
    <x v="1"/>
    <x v="1"/>
    <x v="1"/>
    <x v="0"/>
    <x v="151"/>
    <n v="2600"/>
    <x v="0"/>
    <x v="4"/>
    <x v="3"/>
    <s v="NA"/>
    <s v="NA"/>
  </r>
  <r>
    <s v="ORD00552"/>
    <d v="2024-11-20T00:00:00"/>
    <s v="C0133"/>
    <s v="Rohan Gupta"/>
    <x v="0"/>
    <n v="25"/>
    <x v="15"/>
    <x v="8"/>
    <s v="P105"/>
    <x v="21"/>
    <x v="0"/>
    <x v="16"/>
    <x v="0"/>
    <x v="351"/>
    <n v="9500"/>
    <x v="1"/>
    <x v="2"/>
    <x v="0"/>
    <d v="2024-12-02T00:00:00"/>
    <n v="5"/>
  </r>
  <r>
    <s v="ORD00553"/>
    <d v="2025-05-19T00:00:00"/>
    <s v="C0093"/>
    <s v="Rohan Jain"/>
    <x v="0"/>
    <n v="29"/>
    <x v="6"/>
    <x v="5"/>
    <s v="P503"/>
    <x v="7"/>
    <x v="2"/>
    <x v="5"/>
    <x v="3"/>
    <x v="352"/>
    <n v="2370"/>
    <x v="5"/>
    <x v="3"/>
    <x v="1"/>
    <d v="2025-05-21T00:00:00"/>
    <n v="5"/>
  </r>
  <r>
    <s v="ORD00554"/>
    <d v="2025-10-02T00:00:00"/>
    <s v="C0061"/>
    <s v="Aarav Khan"/>
    <x v="0"/>
    <n v="38"/>
    <x v="10"/>
    <x v="5"/>
    <s v="P404"/>
    <x v="14"/>
    <x v="3"/>
    <x v="10"/>
    <x v="1"/>
    <x v="353"/>
    <n v="2440"/>
    <x v="3"/>
    <x v="3"/>
    <x v="1"/>
    <d v="2025-10-09T00:00:00"/>
    <n v="4"/>
  </r>
  <r>
    <s v="ORD00555"/>
    <d v="2024-01-12T00:00:00"/>
    <s v="C0104"/>
    <s v="Reena Mishra"/>
    <x v="1"/>
    <n v="49"/>
    <x v="1"/>
    <x v="1"/>
    <s v="P201"/>
    <x v="11"/>
    <x v="4"/>
    <x v="8"/>
    <x v="4"/>
    <x v="354"/>
    <n v="5100"/>
    <x v="0"/>
    <x v="1"/>
    <x v="3"/>
    <s v="NA"/>
    <s v="NA"/>
  </r>
  <r>
    <s v="ORD00556"/>
    <d v="2025-07-17T00:00:00"/>
    <s v="C0166"/>
    <s v="Reena Solanki"/>
    <x v="1"/>
    <n v="39"/>
    <x v="11"/>
    <x v="0"/>
    <s v="P104"/>
    <x v="19"/>
    <x v="0"/>
    <x v="14"/>
    <x v="3"/>
    <x v="355"/>
    <n v="3690"/>
    <x v="7"/>
    <x v="4"/>
    <x v="0"/>
    <d v="2025-07-28T00:00:00"/>
    <n v="2"/>
  </r>
  <r>
    <s v="ORD00557"/>
    <d v="2024-06-28T00:00:00"/>
    <s v="C0100"/>
    <s v="Vivaan Patel"/>
    <x v="0"/>
    <n v="42"/>
    <x v="9"/>
    <x v="8"/>
    <s v="P203"/>
    <x v="16"/>
    <x v="4"/>
    <x v="12"/>
    <x v="1"/>
    <x v="356"/>
    <n v="12200"/>
    <x v="1"/>
    <x v="3"/>
    <x v="0"/>
    <d v="2024-07-02T00:00:00"/>
    <n v="5"/>
  </r>
  <r>
    <s v="ORD00558"/>
    <d v="2024-06-08T00:00:00"/>
    <s v="C0236"/>
    <s v="Aman Joshi"/>
    <x v="0"/>
    <n v="19"/>
    <x v="9"/>
    <x v="8"/>
    <s v="P303"/>
    <x v="4"/>
    <x v="1"/>
    <x v="1"/>
    <x v="1"/>
    <x v="197"/>
    <n v="1320"/>
    <x v="4"/>
    <x v="2"/>
    <x v="1"/>
    <d v="2024-06-19T00:00:00"/>
    <n v="4"/>
  </r>
  <r>
    <s v="ORD00559"/>
    <d v="2025-07-22T00:00:00"/>
    <s v="C0275"/>
    <s v="Pooja Sharma"/>
    <x v="1"/>
    <n v="49"/>
    <x v="11"/>
    <x v="0"/>
    <s v="P107"/>
    <x v="5"/>
    <x v="0"/>
    <x v="4"/>
    <x v="0"/>
    <x v="357"/>
    <n v="4600"/>
    <x v="7"/>
    <x v="1"/>
    <x v="1"/>
    <d v="2025-07-26T00:00:00"/>
    <n v="4"/>
  </r>
  <r>
    <s v="ORD00560"/>
    <d v="2024-02-01T00:00:00"/>
    <s v="C0174"/>
    <s v="Akash Jain"/>
    <x v="0"/>
    <n v="18"/>
    <x v="12"/>
    <x v="9"/>
    <s v="P501"/>
    <x v="8"/>
    <x v="2"/>
    <x v="6"/>
    <x v="0"/>
    <x v="188"/>
    <n v="4650"/>
    <x v="6"/>
    <x v="2"/>
    <x v="3"/>
    <s v="NA"/>
    <s v="NA"/>
  </r>
  <r>
    <s v="ORD00561"/>
    <d v="2025-02-02T00:00:00"/>
    <s v="C0096"/>
    <s v="Arjun Sharma"/>
    <x v="0"/>
    <n v="52"/>
    <x v="4"/>
    <x v="3"/>
    <s v="P202"/>
    <x v="13"/>
    <x v="4"/>
    <x v="8"/>
    <x v="3"/>
    <x v="358"/>
    <n v="12900"/>
    <x v="4"/>
    <x v="1"/>
    <x v="1"/>
    <d v="2025-02-05T00:00:00"/>
    <n v="5"/>
  </r>
  <r>
    <s v="ORD00562"/>
    <d v="2024-08-31T00:00:00"/>
    <s v="C0191"/>
    <s v="Rashmi Mehta"/>
    <x v="1"/>
    <n v="28"/>
    <x v="3"/>
    <x v="2"/>
    <s v="P202"/>
    <x v="13"/>
    <x v="4"/>
    <x v="8"/>
    <x v="2"/>
    <x v="359"/>
    <n v="8600"/>
    <x v="0"/>
    <x v="0"/>
    <x v="1"/>
    <d v="2024-09-07T00:00:00"/>
    <n v="2"/>
  </r>
  <r>
    <s v="ORD00563"/>
    <d v="2024-07-25T00:00:00"/>
    <s v="C0048"/>
    <s v="Deepak Verma"/>
    <x v="0"/>
    <n v="42"/>
    <x v="3"/>
    <x v="2"/>
    <s v="P401"/>
    <x v="10"/>
    <x v="3"/>
    <x v="7"/>
    <x v="4"/>
    <x v="343"/>
    <n v="370"/>
    <x v="1"/>
    <x v="2"/>
    <x v="1"/>
    <d v="2024-07-30T00:00:00"/>
    <n v="4"/>
  </r>
  <r>
    <s v="ORD00564"/>
    <d v="2025-05-10T00:00:00"/>
    <s v="C0269"/>
    <s v="Nisha Mehta"/>
    <x v="1"/>
    <n v="47"/>
    <x v="1"/>
    <x v="1"/>
    <s v="P203"/>
    <x v="16"/>
    <x v="4"/>
    <x v="12"/>
    <x v="2"/>
    <x v="360"/>
    <n v="6100"/>
    <x v="2"/>
    <x v="2"/>
    <x v="0"/>
    <d v="2025-05-14T00:00:00"/>
    <n v="4"/>
  </r>
  <r>
    <s v="ORD00565"/>
    <d v="2024-02-07T00:00:00"/>
    <s v="C0236"/>
    <s v="Aman Joshi"/>
    <x v="0"/>
    <n v="19"/>
    <x v="12"/>
    <x v="9"/>
    <s v="P503"/>
    <x v="7"/>
    <x v="2"/>
    <x v="5"/>
    <x v="0"/>
    <x v="179"/>
    <n v="3950"/>
    <x v="2"/>
    <x v="3"/>
    <x v="1"/>
    <d v="2024-02-09T00:00:00"/>
    <n v="3"/>
  </r>
  <r>
    <s v="ORD00566"/>
    <d v="2024-12-07T00:00:00"/>
    <s v="C0240"/>
    <s v="Pooja Singh"/>
    <x v="1"/>
    <n v="47"/>
    <x v="0"/>
    <x v="0"/>
    <s v="P104"/>
    <x v="19"/>
    <x v="0"/>
    <x v="14"/>
    <x v="0"/>
    <x v="86"/>
    <n v="6150"/>
    <x v="0"/>
    <x v="3"/>
    <x v="3"/>
    <s v="NA"/>
    <s v="NA"/>
  </r>
  <r>
    <s v="ORD00567"/>
    <d v="2024-11-15T00:00:00"/>
    <s v="C0108"/>
    <s v="Vikas Yadav"/>
    <x v="0"/>
    <n v="21"/>
    <x v="9"/>
    <x v="8"/>
    <s v="P107"/>
    <x v="5"/>
    <x v="0"/>
    <x v="4"/>
    <x v="2"/>
    <x v="5"/>
    <n v="1840"/>
    <x v="0"/>
    <x v="1"/>
    <x v="3"/>
    <s v="NA"/>
    <s v="NA"/>
  </r>
  <r>
    <s v="ORD00568"/>
    <d v="2024-11-22T00:00:00"/>
    <s v="C0226"/>
    <s v="Sneha Mehta"/>
    <x v="1"/>
    <n v="18"/>
    <x v="4"/>
    <x v="3"/>
    <s v="P201"/>
    <x v="11"/>
    <x v="4"/>
    <x v="8"/>
    <x v="2"/>
    <x v="361"/>
    <n v="10200"/>
    <x v="6"/>
    <x v="1"/>
    <x v="1"/>
    <d v="2024-11-24T00:00:00"/>
    <n v="3"/>
  </r>
  <r>
    <s v="ORD00569"/>
    <d v="2024-07-30T00:00:00"/>
    <s v="C0278"/>
    <s v="Pooja Gupta"/>
    <x v="1"/>
    <n v="56"/>
    <x v="15"/>
    <x v="8"/>
    <s v="P402"/>
    <x v="18"/>
    <x v="3"/>
    <x v="7"/>
    <x v="3"/>
    <x v="1"/>
    <n v="1530"/>
    <x v="0"/>
    <x v="0"/>
    <x v="0"/>
    <d v="2024-08-05T00:00:00"/>
    <n v="4"/>
  </r>
  <r>
    <s v="ORD00570"/>
    <d v="2024-06-24T00:00:00"/>
    <s v="C0037"/>
    <s v="Akash Yadav"/>
    <x v="0"/>
    <n v="31"/>
    <x v="1"/>
    <x v="1"/>
    <s v="P404"/>
    <x v="14"/>
    <x v="3"/>
    <x v="10"/>
    <x v="3"/>
    <x v="362"/>
    <n v="1830"/>
    <x v="1"/>
    <x v="3"/>
    <x v="1"/>
    <d v="2024-06-26T00:00:00"/>
    <n v="5"/>
  </r>
  <r>
    <s v="ORD00571"/>
    <d v="2025-11-22T00:00:00"/>
    <s v="C0026"/>
    <s v="Rahul Yadav"/>
    <x v="0"/>
    <n v="40"/>
    <x v="4"/>
    <x v="3"/>
    <s v="P301"/>
    <x v="2"/>
    <x v="1"/>
    <x v="2"/>
    <x v="4"/>
    <x v="363"/>
    <n v="210"/>
    <x v="2"/>
    <x v="4"/>
    <x v="1"/>
    <d v="2025-11-26T00:00:00"/>
    <n v="5"/>
  </r>
  <r>
    <s v="ORD00572"/>
    <d v="2025-09-23T00:00:00"/>
    <s v="C0183"/>
    <s v="Kavita Joshi"/>
    <x v="1"/>
    <n v="42"/>
    <x v="1"/>
    <x v="1"/>
    <s v="P203"/>
    <x v="16"/>
    <x v="4"/>
    <x v="12"/>
    <x v="2"/>
    <x v="360"/>
    <n v="6100"/>
    <x v="2"/>
    <x v="4"/>
    <x v="3"/>
    <s v="NA"/>
    <s v="NA"/>
  </r>
  <r>
    <s v="ORD00573"/>
    <d v="2024-05-14T00:00:00"/>
    <s v="C0048"/>
    <s v="Deepak Verma"/>
    <x v="0"/>
    <n v="42"/>
    <x v="3"/>
    <x v="2"/>
    <s v="P104"/>
    <x v="19"/>
    <x v="0"/>
    <x v="14"/>
    <x v="1"/>
    <x v="274"/>
    <n v="4920"/>
    <x v="0"/>
    <x v="4"/>
    <x v="1"/>
    <d v="2024-05-19T00:00:00"/>
    <n v="4"/>
  </r>
  <r>
    <s v="ORD00574"/>
    <d v="2024-05-27T00:00:00"/>
    <s v="C0133"/>
    <s v="Rohan Gupta"/>
    <x v="0"/>
    <n v="25"/>
    <x v="15"/>
    <x v="8"/>
    <s v="P301"/>
    <x v="2"/>
    <x v="1"/>
    <x v="2"/>
    <x v="2"/>
    <x v="297"/>
    <n v="420"/>
    <x v="7"/>
    <x v="1"/>
    <x v="1"/>
    <d v="2024-06-05T00:00:00"/>
    <n v="2"/>
  </r>
  <r>
    <s v="ORD00575"/>
    <d v="2024-03-07T00:00:00"/>
    <s v="C0244"/>
    <s v="Vikas Solanki"/>
    <x v="0"/>
    <n v="21"/>
    <x v="4"/>
    <x v="3"/>
    <s v="P204"/>
    <x v="20"/>
    <x v="4"/>
    <x v="15"/>
    <x v="1"/>
    <x v="309"/>
    <n v="7480"/>
    <x v="1"/>
    <x v="0"/>
    <x v="1"/>
    <d v="2024-03-14T00:00:00"/>
    <n v="3"/>
  </r>
  <r>
    <s v="ORD00576"/>
    <d v="2025-06-04T00:00:00"/>
    <s v="C0053"/>
    <s v="Suman Yadav"/>
    <x v="1"/>
    <n v="25"/>
    <x v="12"/>
    <x v="9"/>
    <s v="P503"/>
    <x v="7"/>
    <x v="2"/>
    <x v="5"/>
    <x v="4"/>
    <x v="364"/>
    <n v="790"/>
    <x v="7"/>
    <x v="2"/>
    <x v="0"/>
    <d v="2025-06-07T00:00:00"/>
    <n v="4"/>
  </r>
  <r>
    <s v="ORD00577"/>
    <d v="2025-06-29T00:00:00"/>
    <s v="C0237"/>
    <s v="Aditya Joshi"/>
    <x v="0"/>
    <n v="45"/>
    <x v="12"/>
    <x v="9"/>
    <s v="P403"/>
    <x v="17"/>
    <x v="3"/>
    <x v="13"/>
    <x v="1"/>
    <x v="365"/>
    <n v="3040"/>
    <x v="5"/>
    <x v="2"/>
    <x v="1"/>
    <d v="2025-07-09T00:00:00"/>
    <n v="3"/>
  </r>
  <r>
    <s v="ORD00578"/>
    <d v="2025-05-08T00:00:00"/>
    <s v="C0197"/>
    <s v="Aarav Sharma"/>
    <x v="0"/>
    <n v="33"/>
    <x v="2"/>
    <x v="0"/>
    <s v="P203"/>
    <x v="16"/>
    <x v="4"/>
    <x v="12"/>
    <x v="2"/>
    <x v="210"/>
    <n v="6100"/>
    <x v="3"/>
    <x v="4"/>
    <x v="3"/>
    <s v="NA"/>
    <s v="NA"/>
  </r>
  <r>
    <s v="ORD00579"/>
    <d v="2024-12-16T00:00:00"/>
    <s v="C0279"/>
    <s v="Akash Gupta"/>
    <x v="0"/>
    <n v="53"/>
    <x v="6"/>
    <x v="5"/>
    <s v="P106"/>
    <x v="23"/>
    <x v="0"/>
    <x v="0"/>
    <x v="4"/>
    <x v="256"/>
    <n v="710"/>
    <x v="1"/>
    <x v="3"/>
    <x v="3"/>
    <s v="NA"/>
    <s v="NA"/>
  </r>
  <r>
    <s v="ORD00580"/>
    <d v="2025-09-02T00:00:00"/>
    <s v="C0238"/>
    <s v="Rohan Mehta"/>
    <x v="0"/>
    <n v="29"/>
    <x v="9"/>
    <x v="8"/>
    <s v="P402"/>
    <x v="18"/>
    <x v="3"/>
    <x v="7"/>
    <x v="4"/>
    <x v="348"/>
    <n v="510"/>
    <x v="1"/>
    <x v="0"/>
    <x v="1"/>
    <d v="2025-09-10T00:00:00"/>
    <n v="3"/>
  </r>
  <r>
    <s v="ORD00581"/>
    <d v="2025-09-04T00:00:00"/>
    <s v="C0056"/>
    <s v="Rashmi Patel"/>
    <x v="1"/>
    <n v="50"/>
    <x v="12"/>
    <x v="9"/>
    <s v="P203"/>
    <x v="16"/>
    <x v="4"/>
    <x v="12"/>
    <x v="1"/>
    <x v="366"/>
    <n v="12200"/>
    <x v="4"/>
    <x v="3"/>
    <x v="1"/>
    <d v="2025-09-08T00:00:00"/>
    <n v="2"/>
  </r>
  <r>
    <s v="ORD00582"/>
    <d v="2024-05-30T00:00:00"/>
    <s v="C0077"/>
    <s v="Aman Singh"/>
    <x v="0"/>
    <n v="18"/>
    <x v="3"/>
    <x v="2"/>
    <s v="P402"/>
    <x v="18"/>
    <x v="3"/>
    <x v="7"/>
    <x v="3"/>
    <x v="13"/>
    <n v="1530"/>
    <x v="3"/>
    <x v="2"/>
    <x v="3"/>
    <s v="NA"/>
    <s v="NA"/>
  </r>
  <r>
    <s v="ORD00583"/>
    <d v="2025-04-02T00:00:00"/>
    <s v="C0101"/>
    <s v="Aarav Jain"/>
    <x v="0"/>
    <n v="34"/>
    <x v="10"/>
    <x v="5"/>
    <s v="P502"/>
    <x v="9"/>
    <x v="2"/>
    <x v="5"/>
    <x v="3"/>
    <x v="6"/>
    <n v="1260"/>
    <x v="0"/>
    <x v="2"/>
    <x v="2"/>
    <d v="2025-04-14T00:00:00"/>
    <n v="4"/>
  </r>
  <r>
    <s v="ORD00584"/>
    <d v="2025-03-21T00:00:00"/>
    <s v="C0177"/>
    <s v="Reena Yadav"/>
    <x v="1"/>
    <n v="57"/>
    <x v="2"/>
    <x v="0"/>
    <s v="P403"/>
    <x v="17"/>
    <x v="3"/>
    <x v="13"/>
    <x v="4"/>
    <x v="367"/>
    <n v="760"/>
    <x v="3"/>
    <x v="0"/>
    <x v="2"/>
    <d v="2025-03-27T00:00:00"/>
    <n v="2"/>
  </r>
  <r>
    <s v="ORD00585"/>
    <d v="2025-01-13T00:00:00"/>
    <s v="C0282"/>
    <s v="Muskan Solanki"/>
    <x v="1"/>
    <n v="33"/>
    <x v="0"/>
    <x v="0"/>
    <s v="P101"/>
    <x v="6"/>
    <x v="0"/>
    <x v="0"/>
    <x v="0"/>
    <x v="324"/>
    <n v="2350"/>
    <x v="7"/>
    <x v="3"/>
    <x v="2"/>
    <d v="2025-01-19T00:00:00"/>
    <n v="6"/>
  </r>
  <r>
    <s v="ORD00586"/>
    <d v="2024-08-28T00:00:00"/>
    <s v="C0222"/>
    <s v="Pooja Solanki"/>
    <x v="1"/>
    <n v="47"/>
    <x v="12"/>
    <x v="9"/>
    <s v="P501"/>
    <x v="8"/>
    <x v="2"/>
    <x v="6"/>
    <x v="3"/>
    <x v="368"/>
    <n v="2790"/>
    <x v="3"/>
    <x v="4"/>
    <x v="1"/>
    <d v="2024-09-05T00:00:00"/>
    <n v="4"/>
  </r>
  <r>
    <s v="ORD00587"/>
    <d v="2025-11-09T00:00:00"/>
    <s v="C0089"/>
    <s v="Reena Joshi"/>
    <x v="1"/>
    <n v="24"/>
    <x v="7"/>
    <x v="6"/>
    <s v="P105"/>
    <x v="21"/>
    <x v="0"/>
    <x v="16"/>
    <x v="2"/>
    <x v="369"/>
    <n v="3800"/>
    <x v="3"/>
    <x v="1"/>
    <x v="2"/>
    <d v="2025-11-17T00:00:00"/>
    <n v="3"/>
  </r>
  <r>
    <s v="ORD00588"/>
    <d v="2024-10-22T00:00:00"/>
    <s v="C0065"/>
    <s v="Aditya Verma"/>
    <x v="0"/>
    <n v="49"/>
    <x v="13"/>
    <x v="4"/>
    <s v="P101"/>
    <x v="6"/>
    <x v="0"/>
    <x v="0"/>
    <x v="4"/>
    <x v="370"/>
    <n v="470"/>
    <x v="4"/>
    <x v="0"/>
    <x v="0"/>
    <d v="2024-10-31T00:00:00"/>
    <n v="5"/>
  </r>
  <r>
    <s v="ORD00589"/>
    <d v="2024-05-19T00:00:00"/>
    <s v="C0044"/>
    <s v="Anjali Singh"/>
    <x v="1"/>
    <n v="26"/>
    <x v="13"/>
    <x v="4"/>
    <s v="P501"/>
    <x v="8"/>
    <x v="2"/>
    <x v="6"/>
    <x v="1"/>
    <x v="198"/>
    <n v="3720"/>
    <x v="1"/>
    <x v="2"/>
    <x v="1"/>
    <d v="2024-05-30T00:00:00"/>
    <n v="3"/>
  </r>
  <r>
    <s v="ORD00590"/>
    <d v="2025-04-10T00:00:00"/>
    <s v="C0261"/>
    <s v="Aman Sharma"/>
    <x v="0"/>
    <n v="40"/>
    <x v="8"/>
    <x v="7"/>
    <s v="P402"/>
    <x v="18"/>
    <x v="3"/>
    <x v="7"/>
    <x v="1"/>
    <x v="50"/>
    <n v="2040"/>
    <x v="3"/>
    <x v="1"/>
    <x v="1"/>
    <d v="2025-04-14T00:00:00"/>
    <n v="5"/>
  </r>
  <r>
    <s v="ORD00591"/>
    <d v="2025-09-11T00:00:00"/>
    <s v="C0004"/>
    <s v="Reena Mishra"/>
    <x v="1"/>
    <n v="52"/>
    <x v="7"/>
    <x v="6"/>
    <s v="P504"/>
    <x v="15"/>
    <x v="2"/>
    <x v="11"/>
    <x v="2"/>
    <x v="208"/>
    <n v="3240"/>
    <x v="0"/>
    <x v="4"/>
    <x v="3"/>
    <s v="NA"/>
    <s v="NA"/>
  </r>
  <r>
    <s v="ORD00592"/>
    <d v="2025-08-13T00:00:00"/>
    <s v="C0188"/>
    <s v="Kavita Khan"/>
    <x v="1"/>
    <n v="56"/>
    <x v="0"/>
    <x v="0"/>
    <s v="P102"/>
    <x v="0"/>
    <x v="0"/>
    <x v="0"/>
    <x v="0"/>
    <x v="80"/>
    <n v="3950"/>
    <x v="1"/>
    <x v="1"/>
    <x v="1"/>
    <d v="2025-08-24T00:00:00"/>
    <n v="5"/>
  </r>
  <r>
    <s v="ORD00593"/>
    <d v="2025-12-08T00:00:00"/>
    <s v="C0041"/>
    <s v="Vikas Solanki"/>
    <x v="0"/>
    <n v="52"/>
    <x v="13"/>
    <x v="4"/>
    <s v="P504"/>
    <x v="15"/>
    <x v="2"/>
    <x v="11"/>
    <x v="0"/>
    <x v="321"/>
    <n v="8100"/>
    <x v="0"/>
    <x v="4"/>
    <x v="3"/>
    <s v="NA"/>
    <s v="NA"/>
  </r>
  <r>
    <s v="ORD00594"/>
    <d v="2024-03-21T00:00:00"/>
    <s v="C0268"/>
    <s v="Suman Gupta"/>
    <x v="1"/>
    <n v="57"/>
    <x v="2"/>
    <x v="0"/>
    <s v="P108"/>
    <x v="22"/>
    <x v="0"/>
    <x v="14"/>
    <x v="1"/>
    <x v="371"/>
    <n v="4320"/>
    <x v="2"/>
    <x v="2"/>
    <x v="2"/>
    <d v="2024-04-01T00:00:00"/>
    <n v="4"/>
  </r>
  <r>
    <s v="ORD00595"/>
    <d v="2025-09-19T00:00:00"/>
    <s v="C0028"/>
    <s v="Akash Joshi"/>
    <x v="0"/>
    <n v="22"/>
    <x v="9"/>
    <x v="8"/>
    <s v="P402"/>
    <x v="18"/>
    <x v="3"/>
    <x v="7"/>
    <x v="4"/>
    <x v="348"/>
    <n v="510"/>
    <x v="1"/>
    <x v="4"/>
    <x v="3"/>
    <s v="NA"/>
    <s v="NA"/>
  </r>
  <r>
    <s v="ORD00596"/>
    <d v="2025-04-25T00:00:00"/>
    <s v="C0294"/>
    <s v="Akash Patel"/>
    <x v="0"/>
    <n v="30"/>
    <x v="9"/>
    <x v="8"/>
    <s v="P302"/>
    <x v="12"/>
    <x v="1"/>
    <x v="9"/>
    <x v="3"/>
    <x v="94"/>
    <n v="270"/>
    <x v="0"/>
    <x v="1"/>
    <x v="1"/>
    <d v="2025-04-27T00:00:00"/>
    <n v="4"/>
  </r>
  <r>
    <s v="ORD00597"/>
    <d v="2025-07-31T00:00:00"/>
    <s v="C0134"/>
    <s v="Arjun Mishra"/>
    <x v="0"/>
    <n v="53"/>
    <x v="0"/>
    <x v="0"/>
    <s v="P501"/>
    <x v="8"/>
    <x v="2"/>
    <x v="6"/>
    <x v="1"/>
    <x v="372"/>
    <n v="3720"/>
    <x v="6"/>
    <x v="2"/>
    <x v="1"/>
    <d v="2025-08-12T00:00:00"/>
    <n v="4"/>
  </r>
  <r>
    <s v="ORD00598"/>
    <d v="2025-10-01T00:00:00"/>
    <s v="C0014"/>
    <s v="Mohit Yadav"/>
    <x v="0"/>
    <n v="24"/>
    <x v="1"/>
    <x v="1"/>
    <s v="P304"/>
    <x v="1"/>
    <x v="1"/>
    <x v="1"/>
    <x v="4"/>
    <x v="373"/>
    <n v="520"/>
    <x v="6"/>
    <x v="2"/>
    <x v="1"/>
    <d v="2025-10-07T00:00:00"/>
    <n v="4"/>
  </r>
  <r>
    <s v="ORD00599"/>
    <d v="2024-05-15T00:00:00"/>
    <s v="C0144"/>
    <s v="Nisha Mishra"/>
    <x v="1"/>
    <n v="45"/>
    <x v="14"/>
    <x v="1"/>
    <s v="P201"/>
    <x v="11"/>
    <x v="4"/>
    <x v="8"/>
    <x v="4"/>
    <x v="374"/>
    <n v="5100"/>
    <x v="2"/>
    <x v="2"/>
    <x v="1"/>
    <d v="2024-05-26T00:00:00"/>
    <n v="3"/>
  </r>
  <r>
    <s v="ORD00601"/>
    <d v="2024-12-17T00:00:00"/>
    <s v="C0044"/>
    <s v="Anjali Singh"/>
    <x v="1"/>
    <n v="26"/>
    <x v="13"/>
    <x v="4"/>
    <s v="P404"/>
    <x v="14"/>
    <x v="3"/>
    <x v="10"/>
    <x v="2"/>
    <x v="301"/>
    <n v="1220"/>
    <x v="1"/>
    <x v="4"/>
    <x v="2"/>
    <d v="2024-12-25T00:00:00"/>
    <n v="4"/>
  </r>
  <r>
    <s v="ORD00602"/>
    <d v="2025-11-07T00:00:00"/>
    <s v="C0226"/>
    <s v="Sneha Mehta"/>
    <x v="1"/>
    <n v="18"/>
    <x v="5"/>
    <x v="4"/>
    <s v="P107"/>
    <x v="5"/>
    <x v="0"/>
    <x v="4"/>
    <x v="0"/>
    <x v="357"/>
    <n v="4600"/>
    <x v="7"/>
    <x v="3"/>
    <x v="0"/>
    <d v="2025-11-13T00:00:00"/>
    <n v="3"/>
  </r>
  <r>
    <s v="ORD00603"/>
    <d v="2024-02-23T00:00:00"/>
    <s v="C0086"/>
    <s v="Arjun Verma"/>
    <x v="0"/>
    <n v="45"/>
    <x v="3"/>
    <x v="2"/>
    <s v="P301"/>
    <x v="2"/>
    <x v="1"/>
    <x v="2"/>
    <x v="1"/>
    <x v="375"/>
    <n v="840"/>
    <x v="0"/>
    <x v="4"/>
    <x v="0"/>
    <d v="2024-03-04T00:00:00"/>
    <n v="4"/>
  </r>
  <r>
    <s v="ORD00604"/>
    <d v="2025-01-23T00:00:00"/>
    <s v="C0200"/>
    <s v="Aman Singh"/>
    <x v="0"/>
    <n v="42"/>
    <x v="7"/>
    <x v="6"/>
    <s v="P201"/>
    <x v="11"/>
    <x v="4"/>
    <x v="8"/>
    <x v="2"/>
    <x v="376"/>
    <n v="10200"/>
    <x v="3"/>
    <x v="3"/>
    <x v="1"/>
    <d v="2025-02-01T00:00:00"/>
    <n v="5"/>
  </r>
  <r>
    <s v="ORD00605"/>
    <d v="2025-11-25T00:00:00"/>
    <s v="C0162"/>
    <s v="Kunal Sharma"/>
    <x v="0"/>
    <n v="30"/>
    <x v="0"/>
    <x v="0"/>
    <s v="P104"/>
    <x v="19"/>
    <x v="0"/>
    <x v="14"/>
    <x v="0"/>
    <x v="377"/>
    <n v="6150"/>
    <x v="7"/>
    <x v="4"/>
    <x v="3"/>
    <s v="NA"/>
    <s v="NA"/>
  </r>
  <r>
    <s v="ORD00606"/>
    <d v="2025-10-29T00:00:00"/>
    <s v="C0140"/>
    <s v="Suman Jain"/>
    <x v="1"/>
    <n v="35"/>
    <x v="9"/>
    <x v="8"/>
    <s v="P201"/>
    <x v="11"/>
    <x v="4"/>
    <x v="8"/>
    <x v="3"/>
    <x v="15"/>
    <n v="15300"/>
    <x v="2"/>
    <x v="1"/>
    <x v="0"/>
    <d v="2025-11-09T00:00:00"/>
    <n v="5"/>
  </r>
  <r>
    <s v="ORD00607"/>
    <d v="2025-04-17T00:00:00"/>
    <s v="C0124"/>
    <s v="Aman Verma"/>
    <x v="0"/>
    <n v="22"/>
    <x v="10"/>
    <x v="5"/>
    <s v="P401"/>
    <x v="10"/>
    <x v="3"/>
    <x v="7"/>
    <x v="3"/>
    <x v="378"/>
    <n v="1110"/>
    <x v="6"/>
    <x v="1"/>
    <x v="3"/>
    <s v="NA"/>
    <s v="NA"/>
  </r>
  <r>
    <s v="ORD00608"/>
    <d v="2024-01-11T00:00:00"/>
    <s v="C0005"/>
    <s v="Aditya Khan"/>
    <x v="0"/>
    <n v="45"/>
    <x v="2"/>
    <x v="0"/>
    <s v="P101"/>
    <x v="6"/>
    <x v="0"/>
    <x v="0"/>
    <x v="1"/>
    <x v="313"/>
    <n v="1880"/>
    <x v="2"/>
    <x v="2"/>
    <x v="1"/>
    <s v="NA"/>
    <n v="5"/>
  </r>
  <r>
    <s v="ORD00609"/>
    <d v="2024-12-25T00:00:00"/>
    <s v="C0113"/>
    <s v="Aditya Joshi"/>
    <x v="0"/>
    <n v="33"/>
    <x v="1"/>
    <x v="1"/>
    <s v="P201"/>
    <x v="11"/>
    <x v="4"/>
    <x v="8"/>
    <x v="2"/>
    <x v="296"/>
    <n v="10200"/>
    <x v="4"/>
    <x v="3"/>
    <x v="3"/>
    <s v="NA"/>
    <s v="NA"/>
  </r>
  <r>
    <s v="ORD00610"/>
    <d v="2024-04-04T00:00:00"/>
    <s v="C0030"/>
    <s v="Nisha Mishra"/>
    <x v="1"/>
    <n v="33"/>
    <x v="10"/>
    <x v="5"/>
    <s v="P404"/>
    <x v="14"/>
    <x v="3"/>
    <x v="10"/>
    <x v="4"/>
    <x v="379"/>
    <n v="610"/>
    <x v="2"/>
    <x v="3"/>
    <x v="2"/>
    <d v="2024-04-15T00:00:00"/>
    <n v="3"/>
  </r>
  <r>
    <s v="ORD00611"/>
    <d v="2025-01-19T00:00:00"/>
    <s v="C0290"/>
    <s v="Pooja Yadav"/>
    <x v="1"/>
    <n v="47"/>
    <x v="5"/>
    <x v="4"/>
    <s v="P104"/>
    <x v="19"/>
    <x v="0"/>
    <x v="14"/>
    <x v="2"/>
    <x v="380"/>
    <n v="2460"/>
    <x v="0"/>
    <x v="1"/>
    <x v="1"/>
    <d v="2025-01-31T00:00:00"/>
    <n v="3"/>
  </r>
  <r>
    <s v="ORD00612"/>
    <d v="2025-10-16T00:00:00"/>
    <s v="C0233"/>
    <s v="Vikas Patel"/>
    <x v="0"/>
    <n v="47"/>
    <x v="14"/>
    <x v="1"/>
    <s v="P302"/>
    <x v="12"/>
    <x v="1"/>
    <x v="9"/>
    <x v="3"/>
    <x v="94"/>
    <n v="270"/>
    <x v="0"/>
    <x v="0"/>
    <x v="2"/>
    <d v="2025-10-19T00:00:00"/>
    <n v="4"/>
  </r>
  <r>
    <s v="ORD00613"/>
    <d v="2024-03-04T00:00:00"/>
    <s v="C0196"/>
    <s v="Kunal Singh"/>
    <x v="0"/>
    <n v="27"/>
    <x v="12"/>
    <x v="9"/>
    <s v="P203"/>
    <x v="16"/>
    <x v="4"/>
    <x v="12"/>
    <x v="4"/>
    <x v="381"/>
    <n v="3050"/>
    <x v="0"/>
    <x v="1"/>
    <x v="1"/>
    <d v="2024-03-13T00:00:00"/>
    <n v="3"/>
  </r>
  <r>
    <s v="ORD00614"/>
    <d v="2025-05-18T00:00:00"/>
    <s v="C0103"/>
    <s v="Akash Mishra"/>
    <x v="0"/>
    <n v="53"/>
    <x v="12"/>
    <x v="9"/>
    <s v="P106"/>
    <x v="23"/>
    <x v="0"/>
    <x v="0"/>
    <x v="1"/>
    <x v="382"/>
    <n v="2840"/>
    <x v="2"/>
    <x v="0"/>
    <x v="3"/>
    <s v="NA"/>
    <s v="NA"/>
  </r>
  <r>
    <s v="ORD00615"/>
    <d v="2025-03-17T00:00:00"/>
    <s v="C0112"/>
    <s v="Rahul Verma"/>
    <x v="0"/>
    <n v="56"/>
    <x v="4"/>
    <x v="3"/>
    <s v="P303"/>
    <x v="4"/>
    <x v="1"/>
    <x v="1"/>
    <x v="3"/>
    <x v="383"/>
    <n v="990"/>
    <x v="2"/>
    <x v="3"/>
    <x v="1"/>
    <d v="2025-03-20T00:00:00"/>
    <n v="4"/>
  </r>
  <r>
    <s v="ORD00616"/>
    <d v="2025-04-01T00:00:00"/>
    <s v="C0010"/>
    <s v="Kavita Singh"/>
    <x v="1"/>
    <n v="46"/>
    <x v="7"/>
    <x v="6"/>
    <s v="P105"/>
    <x v="21"/>
    <x v="0"/>
    <x v="16"/>
    <x v="4"/>
    <x v="320"/>
    <n v="1900"/>
    <x v="4"/>
    <x v="4"/>
    <x v="1"/>
    <d v="2025-04-05T00:00:00"/>
    <n v="4"/>
  </r>
  <r>
    <s v="ORD00617"/>
    <d v="2025-02-04T00:00:00"/>
    <s v="C0295"/>
    <s v="Mohit Mishra"/>
    <x v="0"/>
    <n v="48"/>
    <x v="11"/>
    <x v="0"/>
    <s v="P401"/>
    <x v="10"/>
    <x v="3"/>
    <x v="7"/>
    <x v="1"/>
    <x v="384"/>
    <n v="1480"/>
    <x v="1"/>
    <x v="4"/>
    <x v="1"/>
    <d v="2025-02-07T00:00:00"/>
    <n v="4"/>
  </r>
  <r>
    <s v="ORD00618"/>
    <d v="2024-01-04T00:00:00"/>
    <s v="C0197"/>
    <s v="Aarav Sharma"/>
    <x v="0"/>
    <n v="33"/>
    <x v="7"/>
    <x v="6"/>
    <s v="P104"/>
    <x v="19"/>
    <x v="0"/>
    <x v="14"/>
    <x v="0"/>
    <x v="377"/>
    <n v="6150"/>
    <x v="7"/>
    <x v="1"/>
    <x v="0"/>
    <d v="2024-01-10T00:00:00"/>
    <n v="5"/>
  </r>
  <r>
    <s v="ORD00619"/>
    <d v="2024-02-26T00:00:00"/>
    <s v="C0047"/>
    <s v="Suman Patel"/>
    <x v="1"/>
    <n v="45"/>
    <x v="15"/>
    <x v="8"/>
    <s v="P402"/>
    <x v="18"/>
    <x v="3"/>
    <x v="7"/>
    <x v="3"/>
    <x v="385"/>
    <n v="1530"/>
    <x v="2"/>
    <x v="4"/>
    <x v="2"/>
    <d v="2024-03-03T00:00:00"/>
    <n v="4"/>
  </r>
  <r>
    <s v="ORD00620"/>
    <d v="2024-06-29T00:00:00"/>
    <s v="C0284"/>
    <s v="Riya Sharma"/>
    <x v="1"/>
    <n v="23"/>
    <x v="0"/>
    <x v="0"/>
    <s v="P301"/>
    <x v="2"/>
    <x v="1"/>
    <x v="2"/>
    <x v="2"/>
    <x v="153"/>
    <n v="420"/>
    <x v="0"/>
    <x v="4"/>
    <x v="1"/>
    <d v="2024-07-11T00:00:00"/>
    <n v="4"/>
  </r>
  <r>
    <s v="ORD00621"/>
    <d v="2025-05-13T00:00:00"/>
    <s v="C0044"/>
    <s v="  Priya Sharma"/>
    <x v="1"/>
    <n v="26"/>
    <x v="3"/>
    <x v="2"/>
    <s v="P504"/>
    <x v="15"/>
    <x v="2"/>
    <x v="11"/>
    <x v="2"/>
    <x v="99"/>
    <n v="3240"/>
    <x v="6"/>
    <x v="3"/>
    <x v="1"/>
    <d v="2025-05-15T00:00:00"/>
    <n v="4"/>
  </r>
  <r>
    <s v="ORD00622"/>
    <d v="2025-05-15T00:00:00"/>
    <s v="C0200"/>
    <s v="Aman Singh"/>
    <x v="0"/>
    <n v="42"/>
    <x v="2"/>
    <x v="0"/>
    <s v="P402"/>
    <x v="18"/>
    <x v="3"/>
    <x v="7"/>
    <x v="3"/>
    <x v="114"/>
    <n v="1530"/>
    <x v="1"/>
    <x v="2"/>
    <x v="2"/>
    <d v="2025-05-24T00:00:00"/>
    <n v="2"/>
  </r>
  <r>
    <s v="ORD00623"/>
    <d v="2024-02-07T00:00:00"/>
    <s v="C0174"/>
    <s v="Akash Jain"/>
    <x v="0"/>
    <n v="18"/>
    <x v="0"/>
    <x v="0"/>
    <s v="P203"/>
    <x v="16"/>
    <x v="4"/>
    <x v="12"/>
    <x v="4"/>
    <x v="386"/>
    <n v="3050"/>
    <x v="3"/>
    <x v="3"/>
    <x v="1"/>
    <d v="2024-02-19T00:00:00"/>
    <n v="5"/>
  </r>
  <r>
    <s v="ORD00624"/>
    <d v="2025-11-25T00:00:00"/>
    <s v="C0275"/>
    <s v="Pooja Sharma"/>
    <x v="1"/>
    <n v="49"/>
    <x v="13"/>
    <x v="4"/>
    <s v="P504"/>
    <x v="15"/>
    <x v="2"/>
    <x v="11"/>
    <x v="0"/>
    <x v="138"/>
    <n v="8100"/>
    <x v="5"/>
    <x v="3"/>
    <x v="1"/>
    <d v="2025-11-29T00:00:00"/>
    <n v="5"/>
  </r>
  <r>
    <s v="ORD00625"/>
    <d v="2025-10-31T00:00:00"/>
    <s v="C0010"/>
    <s v="Kavita Singh"/>
    <x v="1"/>
    <n v="46"/>
    <x v="7"/>
    <x v="6"/>
    <s v="P404"/>
    <x v="14"/>
    <x v="3"/>
    <x v="10"/>
    <x v="4"/>
    <x v="387"/>
    <n v="610"/>
    <x v="5"/>
    <x v="0"/>
    <x v="1"/>
    <d v="2025-11-04T00:00:00"/>
    <n v="2"/>
  </r>
  <r>
    <s v="ORD00626"/>
    <d v="2024-11-10T00:00:00"/>
    <s v="C0050"/>
    <s v="Rashmi Gupta"/>
    <x v="1"/>
    <n v="53"/>
    <x v="3"/>
    <x v="2"/>
    <s v="P404"/>
    <x v="14"/>
    <x v="3"/>
    <x v="10"/>
    <x v="2"/>
    <x v="388"/>
    <n v="1220"/>
    <x v="2"/>
    <x v="3"/>
    <x v="1"/>
    <d v="2024-11-19T00:00:00"/>
    <n v="4"/>
  </r>
  <r>
    <s v="ORD00627"/>
    <d v="2024-03-05T00:00:00"/>
    <s v="C0104"/>
    <s v="Reena Mishra"/>
    <x v="1"/>
    <n v="49"/>
    <x v="8"/>
    <x v="7"/>
    <s v="P203"/>
    <x v="16"/>
    <x v="4"/>
    <x v="12"/>
    <x v="1"/>
    <x v="59"/>
    <n v="12200"/>
    <x v="7"/>
    <x v="3"/>
    <x v="0"/>
    <d v="2024-03-16T00:00:00"/>
    <n v="3"/>
  </r>
  <r>
    <s v="ORD00628"/>
    <d v="2024-11-25T00:00:00"/>
    <s v="C0110"/>
    <s v="Rashmi Solanki"/>
    <x v="1"/>
    <n v="28"/>
    <x v="0"/>
    <x v="0"/>
    <s v="P403"/>
    <x v="17"/>
    <x v="3"/>
    <x v="13"/>
    <x v="2"/>
    <x v="119"/>
    <n v="1520"/>
    <x v="7"/>
    <x v="3"/>
    <x v="1"/>
    <d v="2024-12-01T00:00:00"/>
    <n v="3"/>
  </r>
  <r>
    <s v="ORD00629"/>
    <d v="2025-03-01T00:00:00"/>
    <s v="C0087"/>
    <s v="Anjali Jain"/>
    <x v="1"/>
    <n v="44"/>
    <x v="15"/>
    <x v="8"/>
    <s v="P402"/>
    <x v="18"/>
    <x v="3"/>
    <x v="7"/>
    <x v="2"/>
    <x v="389"/>
    <n v="1020"/>
    <x v="1"/>
    <x v="0"/>
    <x v="3"/>
    <s v="NA"/>
    <s v="NA"/>
  </r>
  <r>
    <s v="ORD00630"/>
    <d v="2024-02-11T00:00:00"/>
    <s v="C0069"/>
    <s v="Rashmi Khan"/>
    <x v="1"/>
    <n v="45"/>
    <x v="4"/>
    <x v="3"/>
    <s v="P501"/>
    <x v="8"/>
    <x v="2"/>
    <x v="6"/>
    <x v="0"/>
    <x v="390"/>
    <n v="4650"/>
    <x v="3"/>
    <x v="0"/>
    <x v="1"/>
    <d v="2024-02-20T00:00:00"/>
    <n v="3"/>
  </r>
  <r>
    <s v="ORD00631"/>
    <d v="2024-01-07T00:00:00"/>
    <s v="C0004"/>
    <s v="Reena Mishra"/>
    <x v="1"/>
    <n v="52"/>
    <x v="5"/>
    <x v="4"/>
    <s v="P103"/>
    <x v="3"/>
    <x v="0"/>
    <x v="3"/>
    <x v="0"/>
    <x v="169"/>
    <n v="2050"/>
    <x v="0"/>
    <x v="4"/>
    <x v="0"/>
    <d v="2024-01-16T00:00:00"/>
    <n v="3"/>
  </r>
  <r>
    <s v="ORD00632"/>
    <d v="2024-07-30T00:00:00"/>
    <s v="C0074"/>
    <s v="Arjun Singh"/>
    <x v="0"/>
    <n v="32"/>
    <x v="14"/>
    <x v="1"/>
    <s v="P401"/>
    <x v="10"/>
    <x v="3"/>
    <x v="7"/>
    <x v="1"/>
    <x v="187"/>
    <n v="1480"/>
    <x v="3"/>
    <x v="0"/>
    <x v="1"/>
    <d v="2024-08-10T00:00:00"/>
    <n v="2"/>
  </r>
  <r>
    <s v="ORD00633"/>
    <d v="2025-09-02T00:00:00"/>
    <s v="C0093"/>
    <s v="Rohan Jain"/>
    <x v="0"/>
    <n v="29"/>
    <x v="7"/>
    <x v="6"/>
    <s v="P404"/>
    <x v="14"/>
    <x v="3"/>
    <x v="10"/>
    <x v="4"/>
    <x v="391"/>
    <n v="610"/>
    <x v="0"/>
    <x v="1"/>
    <x v="1"/>
    <d v="2025-09-04T00:00:00"/>
    <n v="4"/>
  </r>
  <r>
    <s v="ORD00634"/>
    <d v="2024-07-15T00:00:00"/>
    <s v="C0061"/>
    <s v="Aarav Khan"/>
    <x v="0"/>
    <n v="38"/>
    <x v="4"/>
    <x v="3"/>
    <s v="P404"/>
    <x v="14"/>
    <x v="3"/>
    <x v="10"/>
    <x v="3"/>
    <x v="282"/>
    <n v="1830"/>
    <x v="5"/>
    <x v="4"/>
    <x v="2"/>
    <d v="2024-07-27T00:00:00"/>
    <n v="4"/>
  </r>
  <r>
    <s v="ORD00635"/>
    <d v="2024-10-10T00:00:00"/>
    <s v="C0028"/>
    <s v="Akash Joshi"/>
    <x v="0"/>
    <n v="22"/>
    <x v="10"/>
    <x v="5"/>
    <s v="P104"/>
    <x v="19"/>
    <x v="0"/>
    <x v="14"/>
    <x v="2"/>
    <x v="39"/>
    <n v="2460"/>
    <x v="1"/>
    <x v="4"/>
    <x v="1"/>
    <d v="2024-10-14T00:00:00"/>
    <n v="2"/>
  </r>
  <r>
    <s v="ORD00636"/>
    <d v="2024-02-25T00:00:00"/>
    <s v="C0187"/>
    <s v="Neha Gupta"/>
    <x v="1"/>
    <n v="31"/>
    <x v="1"/>
    <x v="1"/>
    <s v="P107"/>
    <x v="5"/>
    <x v="0"/>
    <x v="4"/>
    <x v="1"/>
    <x v="217"/>
    <n v="3680"/>
    <x v="0"/>
    <x v="1"/>
    <x v="3"/>
    <s v="NA"/>
    <s v="NA"/>
  </r>
  <r>
    <s v="ORD00637"/>
    <d v="2025-04-09T00:00:00"/>
    <s v="C0023"/>
    <s v="Neha Verma"/>
    <x v="1"/>
    <n v="32"/>
    <x v="4"/>
    <x v="3"/>
    <s v="P504"/>
    <x v="15"/>
    <x v="2"/>
    <x v="11"/>
    <x v="4"/>
    <x v="392"/>
    <n v="1620"/>
    <x v="6"/>
    <x v="0"/>
    <x v="2"/>
    <d v="2025-04-11T00:00:00"/>
    <n v="5"/>
  </r>
  <r>
    <s v="ORD00638"/>
    <d v="2025-06-11T00:00:00"/>
    <s v="C0060"/>
    <s v="Rahul Solanki"/>
    <x v="0"/>
    <n v="51"/>
    <x v="2"/>
    <x v="0"/>
    <s v="P108"/>
    <x v="22"/>
    <x v="0"/>
    <x v="14"/>
    <x v="1"/>
    <x v="146"/>
    <n v="4320"/>
    <x v="7"/>
    <x v="4"/>
    <x v="1"/>
    <d v="2025-06-23T00:00:00"/>
    <n v="4"/>
  </r>
  <r>
    <s v="ORD00639"/>
    <d v="2024-08-23T00:00:00"/>
    <s v="C0057"/>
    <s v="Arjun Joshi"/>
    <x v="0"/>
    <n v="37"/>
    <x v="9"/>
    <x v="8"/>
    <s v="P108"/>
    <x v="22"/>
    <x v="0"/>
    <x v="14"/>
    <x v="4"/>
    <x v="393"/>
    <n v="1080"/>
    <x v="5"/>
    <x v="4"/>
    <x v="2"/>
    <d v="2024-08-28T00:00:00"/>
    <n v="5"/>
  </r>
  <r>
    <s v="ORD00640"/>
    <d v="2024-08-13T00:00:00"/>
    <s v="C0038"/>
    <s v="Suman Mehta"/>
    <x v="1"/>
    <n v="43"/>
    <x v="7"/>
    <x v="6"/>
    <s v="P403"/>
    <x v="17"/>
    <x v="3"/>
    <x v="13"/>
    <x v="1"/>
    <x v="0"/>
    <n v="3040"/>
    <x v="4"/>
    <x v="4"/>
    <x v="1"/>
    <d v="2024-08-18T00:00:00"/>
    <n v="5"/>
  </r>
  <r>
    <s v="ORD00641"/>
    <d v="2024-07-01T00:00:00"/>
    <s v="C0199"/>
    <s v="Riya Jain"/>
    <x v="1"/>
    <n v="58"/>
    <x v="15"/>
    <x v="8"/>
    <s v="P105"/>
    <x v="21"/>
    <x v="0"/>
    <x v="16"/>
    <x v="1"/>
    <x v="57"/>
    <n v="7600"/>
    <x v="5"/>
    <x v="1"/>
    <x v="1"/>
    <d v="2024-07-06T00:00:00"/>
    <n v="4"/>
  </r>
  <r>
    <s v="ORD00642"/>
    <d v="2024-05-10T00:00:00"/>
    <s v="C0017"/>
    <s v="Priya Sharma"/>
    <x v="1"/>
    <n v="47"/>
    <x v="0"/>
    <x v="0"/>
    <s v="P201"/>
    <x v="11"/>
    <x v="4"/>
    <x v="8"/>
    <x v="2"/>
    <x v="394"/>
    <n v="10200"/>
    <x v="2"/>
    <x v="4"/>
    <x v="1"/>
    <d v="2024-05-18T00:00:00"/>
    <n v="3"/>
  </r>
  <r>
    <s v="ORD00643"/>
    <d v="2024-12-17T00:00:00"/>
    <s v="C0113"/>
    <s v="Aditya Joshi"/>
    <x v="0"/>
    <n v="33"/>
    <x v="1"/>
    <x v="1"/>
    <s v="P404"/>
    <x v="14"/>
    <x v="3"/>
    <x v="10"/>
    <x v="2"/>
    <x v="362"/>
    <n v="1220"/>
    <x v="6"/>
    <x v="2"/>
    <x v="3"/>
    <s v="NA"/>
    <s v="NA"/>
  </r>
  <r>
    <s v="ORD00644"/>
    <d v="2024-08-23T00:00:00"/>
    <s v="C0045"/>
    <s v="Rashmi Mehta"/>
    <x v="1"/>
    <n v="23"/>
    <x v="8"/>
    <x v="7"/>
    <s v="P401"/>
    <x v="10"/>
    <x v="3"/>
    <x v="7"/>
    <x v="1"/>
    <x v="350"/>
    <n v="1480"/>
    <x v="5"/>
    <x v="2"/>
    <x v="1"/>
    <d v="2024-09-01T00:00:00"/>
    <n v="4"/>
  </r>
  <r>
    <s v="ORD00645"/>
    <d v="2024-01-15T00:00:00"/>
    <s v="C0220"/>
    <s v="Akash Patel"/>
    <x v="0"/>
    <n v="31"/>
    <x v="6"/>
    <x v="5"/>
    <s v="P108"/>
    <x v="22"/>
    <x v="0"/>
    <x v="14"/>
    <x v="3"/>
    <x v="395"/>
    <n v="3240"/>
    <x v="3"/>
    <x v="2"/>
    <x v="1"/>
    <d v="2024-01-26T00:00:00"/>
    <n v="3"/>
  </r>
  <r>
    <s v="ORD00646"/>
    <d v="2025-08-10T00:00:00"/>
    <s v="C0003"/>
    <s v="Kunal Patel"/>
    <x v="0"/>
    <n v="24"/>
    <x v="8"/>
    <x v="7"/>
    <s v="P102"/>
    <x v="0"/>
    <x v="0"/>
    <x v="0"/>
    <x v="4"/>
    <x v="137"/>
    <n v="790"/>
    <x v="1"/>
    <x v="2"/>
    <x v="1"/>
    <d v="2025-08-18T00:00:00"/>
    <n v="5"/>
  </r>
  <r>
    <s v="ORD00647"/>
    <d v="2025-05-05T00:00:00"/>
    <s v="C0051"/>
    <s v="Aarav Joshi"/>
    <x v="0"/>
    <n v="25"/>
    <x v="3"/>
    <x v="2"/>
    <s v="P304"/>
    <x v="1"/>
    <x v="1"/>
    <x v="1"/>
    <x v="2"/>
    <x v="326"/>
    <n v="1040"/>
    <x v="2"/>
    <x v="2"/>
    <x v="2"/>
    <d v="2025-05-07T00:00:00"/>
    <n v="5"/>
  </r>
  <r>
    <s v="ORD00648"/>
    <d v="2024-08-11T00:00:00"/>
    <s v="C0068"/>
    <s v="Nisha Patel"/>
    <x v="1"/>
    <n v="34"/>
    <x v="15"/>
    <x v="8"/>
    <s v="P202"/>
    <x v="13"/>
    <x v="4"/>
    <x v="8"/>
    <x v="2"/>
    <x v="396"/>
    <n v="8600"/>
    <x v="2"/>
    <x v="3"/>
    <x v="1"/>
    <d v="2024-08-23T00:00:00"/>
    <n v="4"/>
  </r>
  <r>
    <s v="ORD00649"/>
    <d v="2024-06-14T00:00:00"/>
    <s v="C0236"/>
    <s v="Aman Joshi"/>
    <x v="0"/>
    <n v="19"/>
    <x v="11"/>
    <x v="0"/>
    <s v="P303"/>
    <x v="4"/>
    <x v="1"/>
    <x v="1"/>
    <x v="1"/>
    <x v="397"/>
    <n v="1320"/>
    <x v="6"/>
    <x v="4"/>
    <x v="1"/>
    <d v="2024-06-21T00:00:00"/>
    <n v="5"/>
  </r>
  <r>
    <s v="ORD00650"/>
    <d v="2025-12-21T00:00:00"/>
    <s v="C0001"/>
    <s v="Suman Verma"/>
    <x v="1"/>
    <n v="19"/>
    <x v="2"/>
    <x v="0"/>
    <s v="P301"/>
    <x v="2"/>
    <x v="1"/>
    <x v="2"/>
    <x v="3"/>
    <x v="398"/>
    <n v="630"/>
    <x v="4"/>
    <x v="1"/>
    <x v="1"/>
    <d v="2025-12-27T00:00:00"/>
    <n v="4"/>
  </r>
  <r>
    <s v="ORD00651"/>
    <d v="2025-12-02T00:00:00"/>
    <s v="C0042"/>
    <s v="Priya Mishra"/>
    <x v="1"/>
    <n v="55"/>
    <x v="9"/>
    <x v="8"/>
    <s v="P504"/>
    <x v="15"/>
    <x v="2"/>
    <x v="11"/>
    <x v="4"/>
    <x v="43"/>
    <n v="1620"/>
    <x v="7"/>
    <x v="3"/>
    <x v="1"/>
    <d v="2025-12-10T00:00:00"/>
    <n v="4"/>
  </r>
  <r>
    <s v="ORD00652"/>
    <d v="2025-04-21T00:00:00"/>
    <s v="C0021"/>
    <s v="Aman Singh"/>
    <x v="0"/>
    <n v="22"/>
    <x v="15"/>
    <x v="8"/>
    <s v="P204"/>
    <x v="20"/>
    <x v="4"/>
    <x v="15"/>
    <x v="2"/>
    <x v="266"/>
    <n v="3740"/>
    <x v="2"/>
    <x v="2"/>
    <x v="0"/>
    <d v="2025-04-26T00:00:00"/>
    <n v="3"/>
  </r>
  <r>
    <s v="ORD00653"/>
    <d v="2024-12-08T00:00:00"/>
    <s v="C0123"/>
    <s v="Aarav Mehta"/>
    <x v="0"/>
    <n v="57"/>
    <x v="4"/>
    <x v="3"/>
    <s v="P501"/>
    <x v="8"/>
    <x v="2"/>
    <x v="6"/>
    <x v="1"/>
    <x v="339"/>
    <n v="3720"/>
    <x v="5"/>
    <x v="0"/>
    <x v="1"/>
    <d v="2024-12-15T00:00:00"/>
    <n v="4"/>
  </r>
  <r>
    <s v="ORD00654"/>
    <d v="2025-05-30T00:00:00"/>
    <s v="C0217"/>
    <s v="Priya Yadav"/>
    <x v="1"/>
    <n v="38"/>
    <x v="14"/>
    <x v="1"/>
    <s v="P102"/>
    <x v="0"/>
    <x v="0"/>
    <x v="0"/>
    <x v="4"/>
    <x v="72"/>
    <n v="790"/>
    <x v="7"/>
    <x v="1"/>
    <x v="1"/>
    <d v="2025-06-08T00:00:00"/>
    <n v="3"/>
  </r>
  <r>
    <s v="ORD00655"/>
    <d v="2025-04-26T00:00:00"/>
    <s v="C0273"/>
    <s v="Kunal Mehta"/>
    <x v="0"/>
    <n v="54"/>
    <x v="1"/>
    <x v="1"/>
    <s v="P303"/>
    <x v="4"/>
    <x v="1"/>
    <x v="1"/>
    <x v="0"/>
    <x v="349"/>
    <n v="1650"/>
    <x v="7"/>
    <x v="3"/>
    <x v="1"/>
    <d v="2025-05-05T00:00:00"/>
    <n v="3"/>
  </r>
  <r>
    <s v="ORD00656"/>
    <d v="2024-03-23T00:00:00"/>
    <s v="C0201"/>
    <s v="Muskan Jain"/>
    <x v="1"/>
    <n v="33"/>
    <x v="5"/>
    <x v="4"/>
    <s v="P202"/>
    <x v="13"/>
    <x v="4"/>
    <x v="8"/>
    <x v="4"/>
    <x v="399"/>
    <n v="4300"/>
    <x v="2"/>
    <x v="0"/>
    <x v="1"/>
    <d v="2024-03-26T00:00:00"/>
    <n v="3"/>
  </r>
  <r>
    <s v="ORD00657"/>
    <d v="2025-05-23T00:00:00"/>
    <s v="C0078"/>
    <s v="Aditya Mishra"/>
    <x v="0"/>
    <n v="58"/>
    <x v="10"/>
    <x v="5"/>
    <s v="P401"/>
    <x v="10"/>
    <x v="3"/>
    <x v="7"/>
    <x v="4"/>
    <x v="400"/>
    <n v="370"/>
    <x v="0"/>
    <x v="4"/>
    <x v="0"/>
    <d v="2025-06-02T00:00:00"/>
    <n v="3"/>
  </r>
  <r>
    <s v="ORD00658"/>
    <d v="2025-04-30T00:00:00"/>
    <s v="C0178"/>
    <s v="Pooja Joshi"/>
    <x v="1"/>
    <n v="25"/>
    <x v="8"/>
    <x v="7"/>
    <s v="P303"/>
    <x v="4"/>
    <x v="1"/>
    <x v="1"/>
    <x v="4"/>
    <x v="401"/>
    <n v="330"/>
    <x v="0"/>
    <x v="0"/>
    <x v="1"/>
    <d v="2025-05-02T00:00:00"/>
    <n v="4"/>
  </r>
  <r>
    <s v="ORD00659"/>
    <d v="2025-06-16T00:00:00"/>
    <s v="C0172"/>
    <s v="Arjun Jain"/>
    <x v="0"/>
    <n v="54"/>
    <x v="8"/>
    <x v="7"/>
    <s v="P403"/>
    <x v="17"/>
    <x v="3"/>
    <x v="13"/>
    <x v="3"/>
    <x v="315"/>
    <n v="2280"/>
    <x v="7"/>
    <x v="4"/>
    <x v="3"/>
    <s v="NA"/>
    <s v="NA"/>
  </r>
  <r>
    <s v="ORD00660"/>
    <d v="2025-11-12T00:00:00"/>
    <s v="C0272"/>
    <s v="Aditya Gupta"/>
    <x v="0"/>
    <n v="46"/>
    <x v="3"/>
    <x v="2"/>
    <s v="P303"/>
    <x v="4"/>
    <x v="1"/>
    <x v="1"/>
    <x v="3"/>
    <x v="402"/>
    <n v="990"/>
    <x v="6"/>
    <x v="1"/>
    <x v="1"/>
    <d v="2025-11-18T00:00:00"/>
    <n v="4"/>
  </r>
  <r>
    <s v="ORD00661"/>
    <d v="2025-05-10T00:00:00"/>
    <s v="C0191"/>
    <s v="Rashmi Mehta"/>
    <x v="1"/>
    <n v="28"/>
    <x v="1"/>
    <x v="1"/>
    <s v="P102"/>
    <x v="0"/>
    <x v="0"/>
    <x v="0"/>
    <x v="2"/>
    <x v="119"/>
    <n v="1580"/>
    <x v="7"/>
    <x v="1"/>
    <x v="1"/>
    <d v="2025-05-14T00:00:00"/>
    <n v="3"/>
  </r>
  <r>
    <s v="ORD00662"/>
    <d v="2025-12-29T00:00:00"/>
    <s v="C0275"/>
    <s v="Pooja Sharma"/>
    <x v="1"/>
    <n v="49"/>
    <x v="1"/>
    <x v="1"/>
    <s v="P106"/>
    <x v="23"/>
    <x v="0"/>
    <x v="0"/>
    <x v="2"/>
    <x v="140"/>
    <n v="1420"/>
    <x v="6"/>
    <x v="0"/>
    <x v="1"/>
    <d v="2026-01-01T00:00:00"/>
    <n v="2"/>
  </r>
  <r>
    <s v="ORD00663"/>
    <d v="2024-11-20T00:00:00"/>
    <s v="C0295"/>
    <s v="Mohit Mishra"/>
    <x v="0"/>
    <n v="48"/>
    <x v="13"/>
    <x v="4"/>
    <s v="P303"/>
    <x v="4"/>
    <x v="1"/>
    <x v="1"/>
    <x v="3"/>
    <x v="403"/>
    <n v="990"/>
    <x v="7"/>
    <x v="0"/>
    <x v="1"/>
    <d v="2024-11-30T00:00:00"/>
    <n v="2"/>
  </r>
  <r>
    <s v="ORD00664"/>
    <d v="2025-11-12T00:00:00"/>
    <s v="C0163"/>
    <s v="Sneha Yadav"/>
    <x v="1"/>
    <n v="35"/>
    <x v="15"/>
    <x v="8"/>
    <s v="P105"/>
    <x v="21"/>
    <x v="0"/>
    <x v="16"/>
    <x v="3"/>
    <x v="290"/>
    <n v="5700"/>
    <x v="1"/>
    <x v="2"/>
    <x v="1"/>
    <d v="2025-11-22T00:00:00"/>
    <n v="4"/>
  </r>
  <r>
    <s v="ORD00665"/>
    <d v="2024-05-04T00:00:00"/>
    <s v="C0013"/>
    <s v="Pooja Gupta"/>
    <x v="1"/>
    <n v="27"/>
    <x v="12"/>
    <x v="9"/>
    <s v="P304"/>
    <x v="1"/>
    <x v="1"/>
    <x v="1"/>
    <x v="2"/>
    <x v="389"/>
    <n v="1040"/>
    <x v="1"/>
    <x v="1"/>
    <x v="1"/>
    <d v="2024-05-06T00:00:00"/>
    <n v="4"/>
  </r>
  <r>
    <s v="ORD00666"/>
    <d v="2025-10-24T00:00:00"/>
    <s v="C0152"/>
    <s v="Reena Verma"/>
    <x v="1"/>
    <n v="40"/>
    <x v="7"/>
    <x v="6"/>
    <s v="P202"/>
    <x v="13"/>
    <x v="4"/>
    <x v="8"/>
    <x v="0"/>
    <x v="32"/>
    <n v="21500"/>
    <x v="6"/>
    <x v="2"/>
    <x v="0"/>
    <d v="2025-11-02T00:00:00"/>
    <n v="4"/>
  </r>
  <r>
    <s v="ORD00667"/>
    <d v="2025-12-06T00:00:00"/>
    <s v="C0058"/>
    <s v="Suman Solanki"/>
    <x v="1"/>
    <n v="56"/>
    <x v="7"/>
    <x v="6"/>
    <s v="P102"/>
    <x v="0"/>
    <x v="0"/>
    <x v="0"/>
    <x v="2"/>
    <x v="206"/>
    <n v="1580"/>
    <x v="2"/>
    <x v="1"/>
    <x v="1"/>
    <d v="2025-12-14T00:00:00"/>
    <n v="4"/>
  </r>
  <r>
    <s v="ORD00668"/>
    <d v="2025-04-01T00:00:00"/>
    <s v="C0183"/>
    <s v="Kavita Joshi"/>
    <x v="1"/>
    <n v="42"/>
    <x v="2"/>
    <x v="0"/>
    <s v="P203"/>
    <x v="16"/>
    <x v="4"/>
    <x v="12"/>
    <x v="4"/>
    <x v="404"/>
    <n v="3050"/>
    <x v="5"/>
    <x v="2"/>
    <x v="3"/>
    <s v="NA"/>
    <s v="NA"/>
  </r>
  <r>
    <s v="ORD00669"/>
    <d v="2024-08-15T00:00:00"/>
    <s v="C0143"/>
    <s v="Rahul Mishra"/>
    <x v="0"/>
    <n v="46"/>
    <x v="10"/>
    <x v="5"/>
    <s v="P101"/>
    <x v="6"/>
    <x v="0"/>
    <x v="0"/>
    <x v="4"/>
    <x v="244"/>
    <n v="470"/>
    <x v="1"/>
    <x v="3"/>
    <x v="3"/>
    <s v="NA"/>
    <s v="NA"/>
  </r>
  <r>
    <s v="ORD00670"/>
    <d v="2025-02-07T00:00:00"/>
    <s v="C0100"/>
    <s v="Vivaan Patel"/>
    <x v="0"/>
    <n v="42"/>
    <x v="7"/>
    <x v="6"/>
    <s v="P203"/>
    <x v="16"/>
    <x v="4"/>
    <x v="12"/>
    <x v="0"/>
    <x v="405"/>
    <n v="15250"/>
    <x v="4"/>
    <x v="1"/>
    <x v="1"/>
    <d v="2025-02-11T00:00:00"/>
    <n v="5"/>
  </r>
  <r>
    <s v="ORD00671"/>
    <d v="2025-01-13T00:00:00"/>
    <s v="C0198"/>
    <s v="Muskan Khan"/>
    <x v="1"/>
    <n v="22"/>
    <x v="15"/>
    <x v="8"/>
    <s v="P101"/>
    <x v="6"/>
    <x v="0"/>
    <x v="0"/>
    <x v="3"/>
    <x v="406"/>
    <n v="1410"/>
    <x v="7"/>
    <x v="1"/>
    <x v="1"/>
    <d v="2025-01-22T00:00:00"/>
    <n v="3"/>
  </r>
  <r>
    <s v="ORD00672"/>
    <d v="2024-08-08T00:00:00"/>
    <s v="C0228"/>
    <s v="Kavita Solanki"/>
    <x v="1"/>
    <n v="52"/>
    <x v="8"/>
    <x v="7"/>
    <s v="P303"/>
    <x v="4"/>
    <x v="1"/>
    <x v="1"/>
    <x v="3"/>
    <x v="68"/>
    <n v="990"/>
    <x v="6"/>
    <x v="4"/>
    <x v="0"/>
    <d v="2024-08-16T00:00:00"/>
    <n v="3"/>
  </r>
  <r>
    <s v="ORD00673"/>
    <d v="2025-08-24T00:00:00"/>
    <s v="C0045"/>
    <s v="Rashmi Mehta"/>
    <x v="1"/>
    <n v="23"/>
    <x v="13"/>
    <x v="4"/>
    <s v="P107"/>
    <x v="5"/>
    <x v="0"/>
    <x v="4"/>
    <x v="3"/>
    <x v="407"/>
    <n v="2760"/>
    <x v="1"/>
    <x v="2"/>
    <x v="1"/>
    <d v="2025-08-27T00:00:00"/>
    <n v="5"/>
  </r>
  <r>
    <s v="ORD00674"/>
    <d v="2024-03-31T00:00:00"/>
    <s v="C0004"/>
    <s v="Reena Mishra"/>
    <x v="1"/>
    <n v="52"/>
    <x v="8"/>
    <x v="7"/>
    <s v="P501"/>
    <x v="8"/>
    <x v="2"/>
    <x v="6"/>
    <x v="3"/>
    <x v="368"/>
    <n v="2790"/>
    <x v="3"/>
    <x v="0"/>
    <x v="3"/>
    <s v="NA"/>
    <s v="NA"/>
  </r>
  <r>
    <s v="ORD00675"/>
    <d v="2025-04-18T00:00:00"/>
    <s v="C0291"/>
    <s v="Priya Gupta"/>
    <x v="1"/>
    <n v="34"/>
    <x v="13"/>
    <x v="4"/>
    <s v="P107"/>
    <x v="5"/>
    <x v="0"/>
    <x v="4"/>
    <x v="2"/>
    <x v="408"/>
    <n v="1840"/>
    <x v="3"/>
    <x v="1"/>
    <x v="3"/>
    <s v="NA"/>
    <s v="NA"/>
  </r>
  <r>
    <s v="ORD00676"/>
    <d v="2025-05-17T00:00:00"/>
    <s v="C0022"/>
    <s v="Vivaan Joshi"/>
    <x v="0"/>
    <n v="32"/>
    <x v="1"/>
    <x v="1"/>
    <s v="P403"/>
    <x v="17"/>
    <x v="3"/>
    <x v="13"/>
    <x v="3"/>
    <x v="24"/>
    <n v="2280"/>
    <x v="1"/>
    <x v="2"/>
    <x v="0"/>
    <d v="2025-05-26T00:00:00"/>
    <n v="4"/>
  </r>
  <r>
    <s v="ORD00677"/>
    <d v="2024-01-28T00:00:00"/>
    <s v="C0002"/>
    <s v="Vikas Gupta"/>
    <x v="0"/>
    <n v="33"/>
    <x v="13"/>
    <x v="4"/>
    <s v="P201"/>
    <x v="11"/>
    <x v="4"/>
    <x v="8"/>
    <x v="3"/>
    <x v="361"/>
    <n v="15300"/>
    <x v="1"/>
    <x v="3"/>
    <x v="0"/>
    <d v="2024-02-09T00:00:00"/>
    <n v="4"/>
  </r>
  <r>
    <s v="ORD00678"/>
    <d v="2025-03-03T00:00:00"/>
    <s v="C0092"/>
    <s v="Mohit Solanki"/>
    <x v="0"/>
    <n v="46"/>
    <x v="7"/>
    <x v="6"/>
    <s v="P503"/>
    <x v="7"/>
    <x v="2"/>
    <x v="5"/>
    <x v="2"/>
    <x v="409"/>
    <n v="1580"/>
    <x v="4"/>
    <x v="3"/>
    <x v="2"/>
    <d v="2025-03-09T00:00:00"/>
    <n v="5"/>
  </r>
  <r>
    <s v="ORD00679"/>
    <d v="2024-03-09T00:00:00"/>
    <s v="C0186"/>
    <s v="Sneha Solanki"/>
    <x v="1"/>
    <n v="18"/>
    <x v="7"/>
    <x v="6"/>
    <s v="P403"/>
    <x v="17"/>
    <x v="3"/>
    <x v="13"/>
    <x v="1"/>
    <x v="410"/>
    <n v="3040"/>
    <x v="0"/>
    <x v="4"/>
    <x v="0"/>
    <d v="2024-03-12T00:00:00"/>
    <n v="4"/>
  </r>
  <r>
    <s v="ORD00680"/>
    <d v="2025-06-08T00:00:00"/>
    <s v="C0295"/>
    <s v="Mohit Mishra"/>
    <x v="0"/>
    <n v="48"/>
    <x v="11"/>
    <x v="0"/>
    <s v="P201"/>
    <x v="11"/>
    <x v="4"/>
    <x v="8"/>
    <x v="2"/>
    <x v="296"/>
    <n v="10200"/>
    <x v="4"/>
    <x v="0"/>
    <x v="1"/>
    <d v="2025-06-17T00:00:00"/>
    <n v="3"/>
  </r>
  <r>
    <s v="ORD00681"/>
    <d v="2024-12-31T00:00:00"/>
    <s v="C0084"/>
    <s v="Aman Mehta"/>
    <x v="0"/>
    <n v="33"/>
    <x v="0"/>
    <x v="0"/>
    <s v="P201"/>
    <x v="11"/>
    <x v="4"/>
    <x v="8"/>
    <x v="3"/>
    <x v="411"/>
    <n v="15300"/>
    <x v="3"/>
    <x v="1"/>
    <x v="1"/>
    <d v="2025-01-06T00:00:00"/>
    <n v="4"/>
  </r>
  <r>
    <s v="ORD00682"/>
    <d v="2025-06-26T00:00:00"/>
    <s v="C0040"/>
    <s v="Priya Patel"/>
    <x v="1"/>
    <n v="33"/>
    <x v="10"/>
    <x v="5"/>
    <s v="P501"/>
    <x v="8"/>
    <x v="2"/>
    <x v="6"/>
    <x v="2"/>
    <x v="412"/>
    <n v="1860"/>
    <x v="2"/>
    <x v="2"/>
    <x v="2"/>
    <d v="2025-06-30T00:00:00"/>
    <n v="4"/>
  </r>
  <r>
    <s v="ORD00683"/>
    <d v="2024-11-19T00:00:00"/>
    <s v="C0155"/>
    <s v="Rahul Patel"/>
    <x v="0"/>
    <n v="44"/>
    <x v="14"/>
    <x v="1"/>
    <s v="P502"/>
    <x v="9"/>
    <x v="2"/>
    <x v="5"/>
    <x v="3"/>
    <x v="413"/>
    <n v="1260"/>
    <x v="2"/>
    <x v="2"/>
    <x v="3"/>
    <s v="NA"/>
    <s v="NA"/>
  </r>
  <r>
    <s v="ORD00684"/>
    <d v="2024-12-26T00:00:00"/>
    <s v="C0074"/>
    <s v="Arjun Singh"/>
    <x v="0"/>
    <n v="32"/>
    <x v="11"/>
    <x v="0"/>
    <s v="P105"/>
    <x v="21"/>
    <x v="0"/>
    <x v="16"/>
    <x v="0"/>
    <x v="193"/>
    <n v="9500"/>
    <x v="0"/>
    <x v="1"/>
    <x v="2"/>
    <d v="2025-01-04T00:00:00"/>
    <n v="5"/>
  </r>
  <r>
    <s v="ORD00685"/>
    <d v="2024-12-14T00:00:00"/>
    <s v="C0084"/>
    <s v="Aman Mehta"/>
    <x v="0"/>
    <n v="33"/>
    <x v="4"/>
    <x v="3"/>
    <s v="P107"/>
    <x v="5"/>
    <x v="0"/>
    <x v="4"/>
    <x v="2"/>
    <x v="247"/>
    <n v="1840"/>
    <x v="5"/>
    <x v="0"/>
    <x v="2"/>
    <d v="2024-12-24T00:00:00"/>
    <n v="3"/>
  </r>
  <r>
    <s v="ORD00686"/>
    <d v="2025-03-03T00:00:00"/>
    <s v="C0236"/>
    <s v="Aman Joshi"/>
    <x v="0"/>
    <n v="19"/>
    <x v="2"/>
    <x v="0"/>
    <s v="P104"/>
    <x v="19"/>
    <x v="0"/>
    <x v="14"/>
    <x v="2"/>
    <x v="331"/>
    <n v="2460"/>
    <x v="4"/>
    <x v="4"/>
    <x v="1"/>
    <d v="2025-03-01T00:00:00"/>
    <n v="4"/>
  </r>
  <r>
    <s v="ORD00687"/>
    <d v="2024-05-22T00:00:00"/>
    <s v="C0227"/>
    <s v="Anjali Gupta"/>
    <x v="1"/>
    <n v="42"/>
    <x v="9"/>
    <x v="8"/>
    <s v="P106"/>
    <x v="23"/>
    <x v="0"/>
    <x v="0"/>
    <x v="3"/>
    <x v="167"/>
    <n v="2130"/>
    <x v="4"/>
    <x v="3"/>
    <x v="1"/>
    <d v="2024-05-26T00:00:00"/>
    <n v="3"/>
  </r>
  <r>
    <s v="ORD00688"/>
    <d v="2025-12-05T00:00:00"/>
    <s v="C0117"/>
    <s v="Kavita Joshi"/>
    <x v="1"/>
    <n v="55"/>
    <x v="1"/>
    <x v="1"/>
    <s v="P105"/>
    <x v="21"/>
    <x v="0"/>
    <x v="16"/>
    <x v="2"/>
    <x v="290"/>
    <n v="3800"/>
    <x v="6"/>
    <x v="3"/>
    <x v="1"/>
    <d v="2025-12-08T00:00:00"/>
    <n v="3"/>
  </r>
  <r>
    <s v="ORD00689"/>
    <d v="2024-01-20T00:00:00"/>
    <s v="C0248"/>
    <s v="Deepak Patel"/>
    <x v="0"/>
    <n v="33"/>
    <x v="8"/>
    <x v="7"/>
    <s v="P102"/>
    <x v="0"/>
    <x v="0"/>
    <x v="0"/>
    <x v="2"/>
    <x v="206"/>
    <n v="1580"/>
    <x v="2"/>
    <x v="3"/>
    <x v="2"/>
    <d v="2024-02-01T00:00:00"/>
    <n v="2"/>
  </r>
  <r>
    <s v="ORD00690"/>
    <d v="2025-04-25T00:00:00"/>
    <s v="C0061"/>
    <s v="Aarav Khan"/>
    <x v="0"/>
    <n v="38"/>
    <x v="14"/>
    <x v="1"/>
    <s v="P102"/>
    <x v="0"/>
    <x v="0"/>
    <x v="0"/>
    <x v="4"/>
    <x v="115"/>
    <n v="790"/>
    <x v="0"/>
    <x v="3"/>
    <x v="2"/>
    <d v="2025-04-28T00:00:00"/>
    <n v="3"/>
  </r>
  <r>
    <s v="ORD00691"/>
    <d v="2025-09-08T00:00:00"/>
    <s v="C0106"/>
    <s v="Mohit Sharma"/>
    <x v="0"/>
    <n v="55"/>
    <x v="10"/>
    <x v="5"/>
    <s v="P106"/>
    <x v="23"/>
    <x v="0"/>
    <x v="0"/>
    <x v="3"/>
    <x v="167"/>
    <n v="2130"/>
    <x v="4"/>
    <x v="3"/>
    <x v="1"/>
    <d v="2025-09-14T00:00:00"/>
    <n v="4"/>
  </r>
  <r>
    <s v="ORD00692"/>
    <d v="2024-12-26T00:00:00"/>
    <s v="C0083"/>
    <s v="Nisha Patel"/>
    <x v="1"/>
    <n v="54"/>
    <x v="6"/>
    <x v="5"/>
    <s v="P401"/>
    <x v="10"/>
    <x v="3"/>
    <x v="7"/>
    <x v="0"/>
    <x v="414"/>
    <n v="1850"/>
    <x v="2"/>
    <x v="3"/>
    <x v="2"/>
    <d v="2025-01-06T00:00:00"/>
    <n v="2"/>
  </r>
  <r>
    <s v="ORD00693"/>
    <d v="2025-06-25T00:00:00"/>
    <s v="C0112"/>
    <s v="Rahul Verma"/>
    <x v="0"/>
    <n v="56"/>
    <x v="10"/>
    <x v="5"/>
    <s v="P202"/>
    <x v="13"/>
    <x v="4"/>
    <x v="8"/>
    <x v="2"/>
    <x v="415"/>
    <n v="8600"/>
    <x v="4"/>
    <x v="3"/>
    <x v="1"/>
    <d v="2025-07-05T00:00:00"/>
    <n v="5"/>
  </r>
  <r>
    <s v="ORD00694"/>
    <d v="2025-01-10T00:00:00"/>
    <s v="C0095"/>
    <s v="Aditya Mehta"/>
    <x v="0"/>
    <n v="53"/>
    <x v="3"/>
    <x v="2"/>
    <s v="P502"/>
    <x v="9"/>
    <x v="2"/>
    <x v="5"/>
    <x v="4"/>
    <x v="135"/>
    <n v="420"/>
    <x v="6"/>
    <x v="1"/>
    <x v="1"/>
    <d v="2025-01-18T00:00:00"/>
    <n v="4"/>
  </r>
  <r>
    <s v="ORD00695"/>
    <d v="2025-06-10T00:00:00"/>
    <s v="C0117"/>
    <s v="Kavita Joshi"/>
    <x v="1"/>
    <n v="55"/>
    <x v="8"/>
    <x v="7"/>
    <s v="P104"/>
    <x v="19"/>
    <x v="0"/>
    <x v="14"/>
    <x v="3"/>
    <x v="416"/>
    <n v="3690"/>
    <x v="2"/>
    <x v="4"/>
    <x v="1"/>
    <d v="2025-06-20T00:00:00"/>
    <n v="3"/>
  </r>
  <r>
    <s v="ORD00696"/>
    <d v="2025-05-22T00:00:00"/>
    <s v="C0185"/>
    <s v="Deepak Khan"/>
    <x v="0"/>
    <n v="37"/>
    <x v="1"/>
    <x v="1"/>
    <s v="P402"/>
    <x v="18"/>
    <x v="3"/>
    <x v="7"/>
    <x v="4"/>
    <x v="116"/>
    <n v="510"/>
    <x v="2"/>
    <x v="1"/>
    <x v="1"/>
    <d v="2025-05-25T00:00:00"/>
    <n v="5"/>
  </r>
  <r>
    <s v="ORD00697"/>
    <d v="2024-10-17T00:00:00"/>
    <s v="C0234"/>
    <s v="Rohan Khan"/>
    <x v="0"/>
    <n v="52"/>
    <x v="1"/>
    <x v="1"/>
    <s v="P502"/>
    <x v="9"/>
    <x v="2"/>
    <x v="5"/>
    <x v="1"/>
    <x v="236"/>
    <n v="1680"/>
    <x v="5"/>
    <x v="2"/>
    <x v="1"/>
    <d v="2024-10-23T00:00:00"/>
    <n v="5"/>
  </r>
  <r>
    <s v="ORD00698"/>
    <d v="2024-07-12T00:00:00"/>
    <s v="C0036"/>
    <s v="Aditya Singh"/>
    <x v="0"/>
    <n v="54"/>
    <x v="7"/>
    <x v="6"/>
    <s v="P502"/>
    <x v="9"/>
    <x v="2"/>
    <x v="5"/>
    <x v="3"/>
    <x v="66"/>
    <n v="1260"/>
    <x v="6"/>
    <x v="3"/>
    <x v="0"/>
    <d v="2024-07-21T00:00:00"/>
    <n v="3"/>
  </r>
  <r>
    <s v="ORD00699"/>
    <d v="2025-02-09T00:00:00"/>
    <s v="C0225"/>
    <s v="Akash Sharma"/>
    <x v="0"/>
    <n v="54"/>
    <x v="2"/>
    <x v="0"/>
    <s v="P104"/>
    <x v="19"/>
    <x v="0"/>
    <x v="14"/>
    <x v="2"/>
    <x v="327"/>
    <n v="2460"/>
    <x v="3"/>
    <x v="4"/>
    <x v="0"/>
    <d v="2025-02-20T00:00:00"/>
    <n v="3"/>
  </r>
  <r>
    <s v="ORD00700"/>
    <d v="2024-06-21T00:00:00"/>
    <s v="C0034"/>
    <s v="Vivaan Singh"/>
    <x v="0"/>
    <n v="20"/>
    <x v="15"/>
    <x v="8"/>
    <s v="P107"/>
    <x v="5"/>
    <x v="0"/>
    <x v="4"/>
    <x v="3"/>
    <x v="417"/>
    <n v="2760"/>
    <x v="5"/>
    <x v="2"/>
    <x v="2"/>
    <d v="2024-06-29T00:00:00"/>
    <n v="3"/>
  </r>
  <r>
    <s v="ORD00701"/>
    <d v="2024-08-26T00:00:00"/>
    <s v="C0218"/>
    <s v="Nisha Verma"/>
    <x v="1"/>
    <n v="26"/>
    <x v="7"/>
    <x v="6"/>
    <s v="P201"/>
    <x v="11"/>
    <x v="4"/>
    <x v="8"/>
    <x v="0"/>
    <x v="418"/>
    <n v="25500"/>
    <x v="0"/>
    <x v="4"/>
    <x v="1"/>
    <d v="2024-09-04T00:00:00"/>
    <n v="5"/>
  </r>
  <r>
    <s v="ORD00702"/>
    <d v="2025-05-11T00:00:00"/>
    <s v="C0262"/>
    <s v="Nisha Jain"/>
    <x v="1"/>
    <n v="41"/>
    <x v="14"/>
    <x v="1"/>
    <s v="P105"/>
    <x v="21"/>
    <x v="0"/>
    <x v="16"/>
    <x v="1"/>
    <x v="419"/>
    <n v="7600"/>
    <x v="2"/>
    <x v="3"/>
    <x v="1"/>
    <d v="2025-05-20T00:00:00"/>
    <n v="5"/>
  </r>
  <r>
    <s v="ORD00703"/>
    <d v="2024-08-24T00:00:00"/>
    <s v="C0069"/>
    <s v="NA"/>
    <x v="1"/>
    <n v="45"/>
    <x v="11"/>
    <x v="0"/>
    <s v="P104"/>
    <x v="19"/>
    <x v="0"/>
    <x v="14"/>
    <x v="4"/>
    <x v="171"/>
    <n v="1230"/>
    <x v="2"/>
    <x v="4"/>
    <x v="0"/>
    <d v="2024-08-26T00:00:00"/>
    <n v="3"/>
  </r>
  <r>
    <s v="ORD00704"/>
    <d v="2025-01-26T00:00:00"/>
    <s v="C0168"/>
    <s v="Rahul Khan"/>
    <x v="0"/>
    <n v="34"/>
    <x v="13"/>
    <x v="4"/>
    <s v="P202"/>
    <x v="13"/>
    <x v="4"/>
    <x v="8"/>
    <x v="0"/>
    <x v="420"/>
    <n v="21500"/>
    <x v="2"/>
    <x v="3"/>
    <x v="0"/>
    <d v="2025-02-05T00:00:00"/>
    <n v="5"/>
  </r>
  <r>
    <s v="ORD00705"/>
    <d v="2025-04-22T00:00:00"/>
    <s v="C0104"/>
    <s v="Reena Mishra"/>
    <x v="1"/>
    <n v="49"/>
    <x v="1"/>
    <x v="1"/>
    <s v="P502"/>
    <x v="9"/>
    <x v="2"/>
    <x v="5"/>
    <x v="1"/>
    <x v="6"/>
    <n v="1680"/>
    <x v="1"/>
    <x v="2"/>
    <x v="1"/>
    <d v="2025-05-02T00:00:00"/>
    <n v="4"/>
  </r>
  <r>
    <s v="ORD00706"/>
    <d v="2025-07-07T00:00:00"/>
    <s v="C0280"/>
    <s v="Aarav Solanki"/>
    <x v="0"/>
    <n v="30"/>
    <x v="11"/>
    <x v="0"/>
    <s v="P102"/>
    <x v="0"/>
    <x v="0"/>
    <x v="0"/>
    <x v="1"/>
    <x v="74"/>
    <n v="3160"/>
    <x v="2"/>
    <x v="4"/>
    <x v="1"/>
    <d v="2025-07-14T00:00:00"/>
    <n v="5"/>
  </r>
  <r>
    <s v="ORD00707"/>
    <d v="2025-03-29T00:00:00"/>
    <s v="C0236"/>
    <s v="Aman Joshi"/>
    <x v="0"/>
    <n v="19"/>
    <x v="0"/>
    <x v="0"/>
    <s v="P102"/>
    <x v="0"/>
    <x v="0"/>
    <x v="0"/>
    <x v="2"/>
    <x v="308"/>
    <n v="1580"/>
    <x v="0"/>
    <x v="0"/>
    <x v="1"/>
    <d v="2025-04-06T00:00:00"/>
    <n v="3"/>
  </r>
  <r>
    <s v="ORD00708"/>
    <d v="2024-11-15T00:00:00"/>
    <s v="C0200"/>
    <s v="Aman Singh"/>
    <x v="0"/>
    <n v="42"/>
    <x v="7"/>
    <x v="6"/>
    <s v="P104"/>
    <x v="19"/>
    <x v="0"/>
    <x v="14"/>
    <x v="0"/>
    <x v="130"/>
    <n v="6150"/>
    <x v="1"/>
    <x v="2"/>
    <x v="0"/>
    <d v="2024-11-25T00:00:00"/>
    <n v="5"/>
  </r>
  <r>
    <s v="ORD00709"/>
    <d v="2025-05-02T00:00:00"/>
    <s v="C0288"/>
    <s v="Muskan Solanki"/>
    <x v="1"/>
    <n v="51"/>
    <x v="5"/>
    <x v="4"/>
    <s v="P401"/>
    <x v="10"/>
    <x v="3"/>
    <x v="7"/>
    <x v="4"/>
    <x v="421"/>
    <n v="370"/>
    <x v="3"/>
    <x v="1"/>
    <x v="1"/>
    <d v="2025-05-13T00:00:00"/>
    <n v="5"/>
  </r>
  <r>
    <s v="ORD00710"/>
    <d v="2025-09-23T00:00:00"/>
    <s v="C0181"/>
    <s v="Pooja Jain"/>
    <x v="1"/>
    <n v="36"/>
    <x v="1"/>
    <x v="1"/>
    <s v="P203"/>
    <x v="16"/>
    <x v="4"/>
    <x v="12"/>
    <x v="4"/>
    <x v="65"/>
    <n v="3050"/>
    <x v="4"/>
    <x v="2"/>
    <x v="1"/>
    <d v="2025-09-27T00:00:00"/>
    <n v="4"/>
  </r>
  <r>
    <s v="ORD00711"/>
    <d v="2024-12-23T00:00:00"/>
    <s v="C0299"/>
    <s v="Kunal Yadav"/>
    <x v="0"/>
    <n v="29"/>
    <x v="11"/>
    <x v="0"/>
    <s v="P501"/>
    <x v="8"/>
    <x v="2"/>
    <x v="6"/>
    <x v="3"/>
    <x v="368"/>
    <n v="2790"/>
    <x v="3"/>
    <x v="3"/>
    <x v="1"/>
    <d v="2024-12-30T00:00:00"/>
    <n v="4"/>
  </r>
  <r>
    <s v="ORD00712"/>
    <d v="2025-02-25T00:00:00"/>
    <s v="C0180"/>
    <s v="Neha Joshi"/>
    <x v="1"/>
    <n v="44"/>
    <x v="0"/>
    <x v="0"/>
    <s v="P502"/>
    <x v="9"/>
    <x v="2"/>
    <x v="5"/>
    <x v="2"/>
    <x v="184"/>
    <n v="840"/>
    <x v="5"/>
    <x v="0"/>
    <x v="0"/>
    <d v="2025-03-03T00:00:00"/>
    <n v="3"/>
  </r>
  <r>
    <s v="ORD00713"/>
    <d v="2025-12-05T00:00:00"/>
    <s v="C0034"/>
    <s v="Vivaan Singh"/>
    <x v="0"/>
    <n v="20"/>
    <x v="1"/>
    <x v="1"/>
    <s v="P104"/>
    <x v="19"/>
    <x v="0"/>
    <x v="14"/>
    <x v="3"/>
    <x v="84"/>
    <n v="3690"/>
    <x v="6"/>
    <x v="3"/>
    <x v="3"/>
    <s v="NA"/>
    <s v="NA"/>
  </r>
  <r>
    <s v="ORD00714"/>
    <d v="2024-11-29T00:00:00"/>
    <s v="C0020"/>
    <s v="Suman Khan"/>
    <x v="1"/>
    <n v="41"/>
    <x v="3"/>
    <x v="2"/>
    <s v="P502"/>
    <x v="9"/>
    <x v="2"/>
    <x v="5"/>
    <x v="1"/>
    <x v="422"/>
    <n v="1680"/>
    <x v="3"/>
    <x v="1"/>
    <x v="1"/>
    <d v="2024-12-08T00:00:00"/>
    <n v="2"/>
  </r>
  <r>
    <s v="ORD00715"/>
    <d v="2024-11-20T00:00:00"/>
    <s v="C0194"/>
    <s v="Deepak Yadav"/>
    <x v="0"/>
    <n v="23"/>
    <x v="12"/>
    <x v="9"/>
    <s v="P203"/>
    <x v="16"/>
    <x v="4"/>
    <x v="12"/>
    <x v="0"/>
    <x v="423"/>
    <n v="15250"/>
    <x v="2"/>
    <x v="4"/>
    <x v="1"/>
    <d v="2024-12-02T00:00:00"/>
    <n v="4"/>
  </r>
  <r>
    <s v="ORD00716"/>
    <d v="2024-12-10T00:00:00"/>
    <s v="C0255"/>
    <s v="Aman Sharma"/>
    <x v="0"/>
    <n v="37"/>
    <x v="9"/>
    <x v="8"/>
    <s v="P106"/>
    <x v="23"/>
    <x v="0"/>
    <x v="0"/>
    <x v="0"/>
    <x v="307"/>
    <n v="3550"/>
    <x v="0"/>
    <x v="1"/>
    <x v="1"/>
    <d v="2024-12-15T00:00:00"/>
    <n v="5"/>
  </r>
  <r>
    <s v="ORD00717"/>
    <d v="2025-10-12T00:00:00"/>
    <s v="C0039"/>
    <s v="Suman Mehta"/>
    <x v="1"/>
    <n v="27"/>
    <x v="10"/>
    <x v="5"/>
    <s v="P202"/>
    <x v="13"/>
    <x v="4"/>
    <x v="8"/>
    <x v="3"/>
    <x v="358"/>
    <n v="12900"/>
    <x v="4"/>
    <x v="1"/>
    <x v="3"/>
    <s v="NA"/>
    <s v="NA"/>
  </r>
  <r>
    <s v="ORD00718"/>
    <d v="2025-02-15T00:00:00"/>
    <s v="C0116"/>
    <s v="Vivaan Khan"/>
    <x v="0"/>
    <n v="23"/>
    <x v="2"/>
    <x v="0"/>
    <s v="P503"/>
    <x v="7"/>
    <x v="2"/>
    <x v="5"/>
    <x v="0"/>
    <x v="179"/>
    <n v="3950"/>
    <x v="2"/>
    <x v="2"/>
    <x v="1"/>
    <d v="2025-02-21T00:00:00"/>
    <n v="3"/>
  </r>
  <r>
    <s v="ORD00719"/>
    <d v="2025-08-03T00:00:00"/>
    <s v="C0272"/>
    <s v="Aditya Gupta"/>
    <x v="0"/>
    <n v="46"/>
    <x v="7"/>
    <x v="6"/>
    <s v="P302"/>
    <x v="12"/>
    <x v="1"/>
    <x v="9"/>
    <x v="2"/>
    <x v="424"/>
    <n v="180"/>
    <x v="7"/>
    <x v="3"/>
    <x v="0"/>
    <d v="2025-08-09T00:00:00"/>
    <n v="4"/>
  </r>
  <r>
    <s v="ORD00720"/>
    <d v="2025-03-19T00:00:00"/>
    <s v="C0277"/>
    <s v="Mohit Yadav"/>
    <x v="0"/>
    <n v="34"/>
    <x v="9"/>
    <x v="8"/>
    <s v="P107"/>
    <x v="5"/>
    <x v="0"/>
    <x v="4"/>
    <x v="1"/>
    <x v="425"/>
    <n v="3680"/>
    <x v="3"/>
    <x v="1"/>
    <x v="3"/>
    <s v="NA"/>
    <s v="NA"/>
  </r>
  <r>
    <s v="ORD00721"/>
    <d v="2025-06-11T00:00:00"/>
    <s v="C0233"/>
    <s v="Vikas Patel"/>
    <x v="0"/>
    <n v="47"/>
    <x v="5"/>
    <x v="4"/>
    <s v="P101"/>
    <x v="6"/>
    <x v="0"/>
    <x v="0"/>
    <x v="0"/>
    <x v="426"/>
    <n v="2350"/>
    <x v="6"/>
    <x v="2"/>
    <x v="1"/>
    <d v="2025-06-16T00:00:00"/>
    <n v="5"/>
  </r>
  <r>
    <s v="ORD00722"/>
    <d v="2024-10-01T00:00:00"/>
    <s v="C0273"/>
    <s v="Kunal Mehta"/>
    <x v="0"/>
    <n v="54"/>
    <x v="8"/>
    <x v="7"/>
    <s v="P403"/>
    <x v="24"/>
    <x v="3"/>
    <x v="13"/>
    <x v="4"/>
    <x v="427"/>
    <n v="760"/>
    <x v="5"/>
    <x v="1"/>
    <x v="1"/>
    <d v="2024-10-05T00:00:00"/>
    <n v="4"/>
  </r>
  <r>
    <s v="ORD00723"/>
    <d v="2024-06-03T00:00:00"/>
    <s v="C0154"/>
    <s v="Vikas Patel"/>
    <x v="0"/>
    <n v="33"/>
    <x v="8"/>
    <x v="7"/>
    <s v="P302"/>
    <x v="12"/>
    <x v="1"/>
    <x v="9"/>
    <x v="3"/>
    <x v="143"/>
    <n v="270"/>
    <x v="2"/>
    <x v="0"/>
    <x v="2"/>
    <d v="2024-06-11T00:00:00"/>
    <n v="4"/>
  </r>
  <r>
    <s v="ORD00724"/>
    <d v="2024-10-20T00:00:00"/>
    <s v="C0083"/>
    <s v="Nisha Patel"/>
    <x v="1"/>
    <n v="54"/>
    <x v="14"/>
    <x v="1"/>
    <s v="P502"/>
    <x v="9"/>
    <x v="2"/>
    <x v="5"/>
    <x v="0"/>
    <x v="428"/>
    <n v="2100"/>
    <x v="5"/>
    <x v="4"/>
    <x v="1"/>
    <d v="2024-10-23T00:00:00"/>
    <n v="3"/>
  </r>
  <r>
    <s v="ORD00725"/>
    <d v="2024-07-15T00:00:00"/>
    <s v="C0015"/>
    <s v="Aditya Jain"/>
    <x v="0"/>
    <n v="24"/>
    <x v="6"/>
    <x v="5"/>
    <s v="P202"/>
    <x v="13"/>
    <x v="4"/>
    <x v="8"/>
    <x v="1"/>
    <x v="133"/>
    <n v="17200"/>
    <x v="1"/>
    <x v="2"/>
    <x v="1"/>
    <d v="2024-07-23T00:00:00"/>
    <n v="2"/>
  </r>
  <r>
    <s v="ORD00726"/>
    <d v="2024-07-25T00:00:00"/>
    <s v="C0082"/>
    <s v="Reena Mehta"/>
    <x v="1"/>
    <n v="31"/>
    <x v="14"/>
    <x v="1"/>
    <s v="P105"/>
    <x v="21"/>
    <x v="0"/>
    <x v="16"/>
    <x v="4"/>
    <x v="79"/>
    <n v="1900"/>
    <x v="0"/>
    <x v="1"/>
    <x v="0"/>
    <d v="2024-08-04T00:00:00"/>
    <n v="3"/>
  </r>
  <r>
    <s v="ORD00727"/>
    <d v="2025-10-21T00:00:00"/>
    <s v="C0022"/>
    <s v="Vivaan Joshi"/>
    <x v="0"/>
    <n v="32"/>
    <x v="7"/>
    <x v="6"/>
    <s v="P101"/>
    <x v="6"/>
    <x v="0"/>
    <x v="0"/>
    <x v="4"/>
    <x v="429"/>
    <n v="470"/>
    <x v="2"/>
    <x v="1"/>
    <x v="3"/>
    <s v="NA"/>
    <s v="NA"/>
  </r>
  <r>
    <s v="ORD00728"/>
    <d v="2024-11-01T00:00:00"/>
    <s v="C0033"/>
    <s v="Kunal Joshi"/>
    <x v="0"/>
    <n v="38"/>
    <x v="8"/>
    <x v="7"/>
    <s v="P204"/>
    <x v="20"/>
    <x v="4"/>
    <x v="15"/>
    <x v="4"/>
    <x v="142"/>
    <n v="1870"/>
    <x v="3"/>
    <x v="0"/>
    <x v="1"/>
    <d v="2024-11-04T00:00:00"/>
    <n v="3"/>
  </r>
  <r>
    <s v="ORD00729"/>
    <d v="2025-06-18T00:00:00"/>
    <s v="C0298"/>
    <s v="Arjun Singh"/>
    <x v="0"/>
    <n v="36"/>
    <x v="14"/>
    <x v="1"/>
    <s v="P304"/>
    <x v="1"/>
    <x v="1"/>
    <x v="1"/>
    <x v="4"/>
    <x v="430"/>
    <n v="520"/>
    <x v="5"/>
    <x v="2"/>
    <x v="1"/>
    <d v="2025-06-25T00:00:00"/>
    <n v="4"/>
  </r>
  <r>
    <s v="ORD00730"/>
    <d v="2025-08-21T00:00:00"/>
    <s v="C0200"/>
    <s v="Aman Singh"/>
    <x v="0"/>
    <n v="42"/>
    <x v="6"/>
    <x v="5"/>
    <s v="P302"/>
    <x v="12"/>
    <x v="1"/>
    <x v="9"/>
    <x v="2"/>
    <x v="53"/>
    <n v="180"/>
    <x v="6"/>
    <x v="3"/>
    <x v="1"/>
    <d v="2025-08-26T00:00:00"/>
    <n v="4"/>
  </r>
  <r>
    <s v="ORD00731"/>
    <d v="2025-03-26T00:00:00"/>
    <s v="C0210"/>
    <s v="Kavita Solanki"/>
    <x v="1"/>
    <n v="46"/>
    <x v="14"/>
    <x v="1"/>
    <s v="P403"/>
    <x v="17"/>
    <x v="3"/>
    <x v="13"/>
    <x v="4"/>
    <x v="137"/>
    <n v="760"/>
    <x v="1"/>
    <x v="2"/>
    <x v="1"/>
    <d v="2025-03-29T00:00:00"/>
    <n v="4"/>
  </r>
  <r>
    <s v="ORD00732"/>
    <d v="2025-07-12T00:00:00"/>
    <s v="C0217"/>
    <s v="Priya Yadav"/>
    <x v="1"/>
    <n v="38"/>
    <x v="7"/>
    <x v="6"/>
    <s v="P502"/>
    <x v="9"/>
    <x v="2"/>
    <x v="5"/>
    <x v="2"/>
    <x v="431"/>
    <n v="840"/>
    <x v="0"/>
    <x v="0"/>
    <x v="1"/>
    <d v="2025-07-21T00:00:00"/>
    <n v="4"/>
  </r>
  <r>
    <s v="ORD00733"/>
    <d v="2024-11-11T00:00:00"/>
    <s v="C0011"/>
    <s v="Aman Gupta"/>
    <x v="0"/>
    <n v="18"/>
    <x v="0"/>
    <x v="0"/>
    <s v="P504"/>
    <x v="15"/>
    <x v="2"/>
    <x v="11"/>
    <x v="4"/>
    <x v="312"/>
    <n v="1620"/>
    <x v="5"/>
    <x v="1"/>
    <x v="3"/>
    <s v="NA"/>
    <s v="NA"/>
  </r>
  <r>
    <s v="ORD00734"/>
    <d v="2025-01-28T00:00:00"/>
    <s v="C0159"/>
    <s v="Sneha Sharma"/>
    <x v="1"/>
    <n v="48"/>
    <x v="15"/>
    <x v="8"/>
    <s v="P502"/>
    <x v="9"/>
    <x v="2"/>
    <x v="5"/>
    <x v="4"/>
    <x v="432"/>
    <n v="420"/>
    <x v="5"/>
    <x v="4"/>
    <x v="1"/>
    <d v="2025-01-30T00:00:00"/>
    <n v="5"/>
  </r>
  <r>
    <s v="ORD00735"/>
    <d v="2024-09-18T00:00:00"/>
    <s v="C0155"/>
    <s v="Rahul Patel"/>
    <x v="0"/>
    <n v="44"/>
    <x v="2"/>
    <x v="0"/>
    <s v="P108"/>
    <x v="22"/>
    <x v="0"/>
    <x v="14"/>
    <x v="3"/>
    <x v="250"/>
    <n v="3240"/>
    <x v="5"/>
    <x v="0"/>
    <x v="1"/>
    <d v="2024-09-30T00:00:00"/>
    <n v="4"/>
  </r>
  <r>
    <s v="ORD00736"/>
    <d v="2025-10-21T00:00:00"/>
    <s v="C0209"/>
    <s v="Riya Khan"/>
    <x v="1"/>
    <n v="50"/>
    <x v="0"/>
    <x v="0"/>
    <s v="P201"/>
    <x v="11"/>
    <x v="4"/>
    <x v="8"/>
    <x v="4"/>
    <x v="433"/>
    <n v="5100"/>
    <x v="1"/>
    <x v="4"/>
    <x v="0"/>
    <d v="2025-10-29T00:00:00"/>
    <n v="4"/>
  </r>
  <r>
    <s v="ORD00737"/>
    <d v="2025-03-08T00:00:00"/>
    <s v="C0052"/>
    <s v="Reena Solanki"/>
    <x v="1"/>
    <n v="35"/>
    <x v="5"/>
    <x v="4"/>
    <s v="P503"/>
    <x v="7"/>
    <x v="2"/>
    <x v="5"/>
    <x v="3"/>
    <x v="434"/>
    <n v="2370"/>
    <x v="2"/>
    <x v="1"/>
    <x v="1"/>
    <d v="2025-03-19T00:00:00"/>
    <n v="4"/>
  </r>
  <r>
    <s v="ORD00738"/>
    <d v="2025-04-09T00:00:00"/>
    <s v="C0015"/>
    <s v="Aditya Jain"/>
    <x v="0"/>
    <n v="24"/>
    <x v="0"/>
    <x v="0"/>
    <s v="P501"/>
    <x v="8"/>
    <x v="2"/>
    <x v="6"/>
    <x v="2"/>
    <x v="19"/>
    <n v="1860"/>
    <x v="1"/>
    <x v="0"/>
    <x v="1"/>
    <d v="2025-04-17T00:00:00"/>
    <n v="4"/>
  </r>
  <r>
    <s v="ORD00739"/>
    <d v="2025-10-05T00:00:00"/>
    <s v="C0157"/>
    <s v="Kavita Joshi"/>
    <x v="1"/>
    <n v="33"/>
    <x v="9"/>
    <x v="8"/>
    <s v="P403"/>
    <x v="17"/>
    <x v="3"/>
    <x v="13"/>
    <x v="4"/>
    <x v="435"/>
    <n v="760"/>
    <x v="2"/>
    <x v="0"/>
    <x v="1"/>
    <d v="2025-10-15T00:00:00"/>
    <n v="3"/>
  </r>
  <r>
    <s v="ORD00740"/>
    <d v="2025-08-31T00:00:00"/>
    <s v="C0211"/>
    <s v="Rahul Mishra"/>
    <x v="0"/>
    <n v="48"/>
    <x v="9"/>
    <x v="8"/>
    <s v="P303"/>
    <x v="4"/>
    <x v="1"/>
    <x v="1"/>
    <x v="1"/>
    <x v="397"/>
    <n v="1320"/>
    <x v="6"/>
    <x v="1"/>
    <x v="1"/>
    <d v="2025-09-12T00:00:00"/>
    <n v="4"/>
  </r>
  <r>
    <s v="ORD00741"/>
    <d v="2024-10-15T00:00:00"/>
    <s v="C0102"/>
    <s v="Riya Gupta"/>
    <x v="1"/>
    <n v="45"/>
    <x v="2"/>
    <x v="0"/>
    <s v="P302"/>
    <x v="12"/>
    <x v="1"/>
    <x v="9"/>
    <x v="3"/>
    <x v="436"/>
    <n v="270"/>
    <x v="6"/>
    <x v="4"/>
    <x v="1"/>
    <d v="2024-10-26T00:00:00"/>
    <n v="4"/>
  </r>
  <r>
    <s v="ORD00742"/>
    <d v="2024-01-22T00:00:00"/>
    <s v="C0012"/>
    <s v="Rahul Mishra"/>
    <x v="0"/>
    <n v="45"/>
    <x v="6"/>
    <x v="5"/>
    <s v="P103"/>
    <x v="3"/>
    <x v="0"/>
    <x v="3"/>
    <x v="1"/>
    <x v="350"/>
    <n v="1640"/>
    <x v="5"/>
    <x v="1"/>
    <x v="0"/>
    <d v="2024-01-26T00:00:00"/>
    <n v="2"/>
  </r>
  <r>
    <s v="ORD00743"/>
    <d v="2025-02-14T00:00:00"/>
    <s v="C0220"/>
    <s v="Akash Patel"/>
    <x v="0"/>
    <n v="31"/>
    <x v="14"/>
    <x v="1"/>
    <s v="P105"/>
    <x v="21"/>
    <x v="0"/>
    <x v="16"/>
    <x v="4"/>
    <x v="230"/>
    <n v="1900"/>
    <x v="7"/>
    <x v="0"/>
    <x v="3"/>
    <s v="NA"/>
    <s v="NA"/>
  </r>
  <r>
    <s v="ORD00744"/>
    <d v="2024-04-30T00:00:00"/>
    <s v="C0008"/>
    <s v="Deepak Sharma"/>
    <x v="0"/>
    <n v="53"/>
    <x v="8"/>
    <x v="7"/>
    <s v="P303"/>
    <x v="4"/>
    <x v="1"/>
    <x v="1"/>
    <x v="1"/>
    <x v="344"/>
    <n v="1320"/>
    <x v="2"/>
    <x v="0"/>
    <x v="0"/>
    <d v="2024-05-05T00:00:00"/>
    <n v="4"/>
  </r>
  <r>
    <s v="ORD00745"/>
    <d v="2024-09-29T00:00:00"/>
    <s v="C0148"/>
    <s v="Aman Solanki"/>
    <x v="0"/>
    <n v="27"/>
    <x v="7"/>
    <x v="6"/>
    <s v="P301"/>
    <x v="2"/>
    <x v="1"/>
    <x v="2"/>
    <x v="2"/>
    <x v="288"/>
    <n v="420"/>
    <x v="3"/>
    <x v="0"/>
    <x v="3"/>
    <s v="NA"/>
    <s v="NA"/>
  </r>
  <r>
    <s v="ORD00746"/>
    <d v="2024-08-08T00:00:00"/>
    <s v="C0145"/>
    <s v="Nisha Sharma"/>
    <x v="1"/>
    <n v="25"/>
    <x v="10"/>
    <x v="5"/>
    <s v="P302"/>
    <x v="12"/>
    <x v="1"/>
    <x v="9"/>
    <x v="2"/>
    <x v="229"/>
    <n v="180"/>
    <x v="3"/>
    <x v="0"/>
    <x v="1"/>
    <d v="2024-08-14T00:00:00"/>
    <n v="4"/>
  </r>
  <r>
    <s v="ORD00747"/>
    <d v="2024-08-29T00:00:00"/>
    <s v="C0231"/>
    <s v="Muskan Sharma"/>
    <x v="1"/>
    <n v="42"/>
    <x v="6"/>
    <x v="5"/>
    <s v="P204"/>
    <x v="20"/>
    <x v="4"/>
    <x v="15"/>
    <x v="0"/>
    <x v="212"/>
    <n v="9350"/>
    <x v="1"/>
    <x v="3"/>
    <x v="1"/>
    <d v="2024-09-07T00:00:00"/>
    <n v="3"/>
  </r>
  <r>
    <s v="ORD00748"/>
    <d v="2024-11-27T00:00:00"/>
    <s v="C0204"/>
    <s v="Rahul Mishra"/>
    <x v="0"/>
    <n v="51"/>
    <x v="10"/>
    <x v="5"/>
    <s v="P503"/>
    <x v="7"/>
    <x v="2"/>
    <x v="5"/>
    <x v="1"/>
    <x v="437"/>
    <n v="3160"/>
    <x v="3"/>
    <x v="2"/>
    <x v="1"/>
    <d v="2024-11-30T00:00:00"/>
    <n v="3"/>
  </r>
  <r>
    <s v="ORD00749"/>
    <d v="2025-07-24T00:00:00"/>
    <s v="C0031"/>
    <s v="Rahul Mehta"/>
    <x v="0"/>
    <n v="42"/>
    <x v="0"/>
    <x v="0"/>
    <s v="P203"/>
    <x v="16"/>
    <x v="4"/>
    <x v="12"/>
    <x v="2"/>
    <x v="134"/>
    <n v="6100"/>
    <x v="1"/>
    <x v="1"/>
    <x v="3"/>
    <s v="NA"/>
    <s v="NA"/>
  </r>
  <r>
    <s v="ORD00750"/>
    <d v="2025-11-17T00:00:00"/>
    <s v="C0024"/>
    <s v="Arjun Jain"/>
    <x v="0"/>
    <n v="35"/>
    <x v="11"/>
    <x v="0"/>
    <s v="P201"/>
    <x v="11"/>
    <x v="4"/>
    <x v="8"/>
    <x v="0"/>
    <x v="298"/>
    <n v="25500"/>
    <x v="3"/>
    <x v="1"/>
    <x v="1"/>
    <d v="2025-11-29T00:00:00"/>
    <n v="4"/>
  </r>
  <r>
    <s v="ORD00751"/>
    <d v="2024-05-15T00:00:00"/>
    <s v="C0287"/>
    <s v="Reena Khan"/>
    <x v="1"/>
    <n v="41"/>
    <x v="0"/>
    <x v="0"/>
    <s v="P403"/>
    <x v="17"/>
    <x v="3"/>
    <x v="13"/>
    <x v="2"/>
    <x v="308"/>
    <n v="1520"/>
    <x v="0"/>
    <x v="0"/>
    <x v="3"/>
    <s v="NA"/>
    <s v="NA"/>
  </r>
  <r>
    <s v="ORD00752"/>
    <d v="2025-05-19T00:00:00"/>
    <s v="C0174"/>
    <s v="Akash Jain"/>
    <x v="0"/>
    <n v="18"/>
    <x v="3"/>
    <x v="2"/>
    <s v="P105"/>
    <x v="21"/>
    <x v="0"/>
    <x v="16"/>
    <x v="4"/>
    <x v="230"/>
    <n v="1900"/>
    <x v="7"/>
    <x v="2"/>
    <x v="1"/>
    <d v="2025-05-23T00:00:00"/>
    <n v="4"/>
  </r>
  <r>
    <s v="ORD00753"/>
    <d v="2024-04-29T00:00:00"/>
    <s v="C0161"/>
    <s v="Anjali Gupta"/>
    <x v="1"/>
    <n v="32"/>
    <x v="0"/>
    <x v="0"/>
    <s v="P105"/>
    <x v="21"/>
    <x v="0"/>
    <x v="16"/>
    <x v="1"/>
    <x v="279"/>
    <n v="7600"/>
    <x v="0"/>
    <x v="1"/>
    <x v="1"/>
    <d v="2024-05-05T00:00:00"/>
    <n v="4"/>
  </r>
  <r>
    <s v="ORD00754"/>
    <d v="2025-09-19T00:00:00"/>
    <s v="C0136"/>
    <s v="Deepak Singh"/>
    <x v="0"/>
    <n v="39"/>
    <x v="9"/>
    <x v="8"/>
    <s v="P302"/>
    <x v="12"/>
    <x v="1"/>
    <x v="9"/>
    <x v="2"/>
    <x v="424"/>
    <n v="180"/>
    <x v="7"/>
    <x v="4"/>
    <x v="2"/>
    <d v="2025-09-23T00:00:00"/>
    <n v="5"/>
  </r>
  <r>
    <s v="ORD00755"/>
    <d v="2024-02-24T00:00:00"/>
    <s v="C0097"/>
    <s v="Aarav Verma"/>
    <x v="0"/>
    <n v="33"/>
    <x v="13"/>
    <x v="4"/>
    <s v="P102"/>
    <x v="0"/>
    <x v="0"/>
    <x v="0"/>
    <x v="2"/>
    <x v="24"/>
    <n v="1580"/>
    <x v="6"/>
    <x v="3"/>
    <x v="1"/>
    <d v="2024-03-01T00:00:00"/>
    <n v="3"/>
  </r>
  <r>
    <s v="ORD00756"/>
    <d v="2025-12-23T00:00:00"/>
    <s v="C0240"/>
    <s v="Pooja Singh"/>
    <x v="1"/>
    <n v="47"/>
    <x v="8"/>
    <x v="7"/>
    <s v="P104"/>
    <x v="19"/>
    <x v="0"/>
    <x v="14"/>
    <x v="1"/>
    <x v="86"/>
    <n v="4920"/>
    <x v="4"/>
    <x v="4"/>
    <x v="1"/>
    <d v="2026-01-02T00:00:00"/>
    <n v="5"/>
  </r>
  <r>
    <s v="ORD00757"/>
    <d v="2025-04-13T00:00:00"/>
    <s v="C0253"/>
    <s v="Vikas Mishra"/>
    <x v="0"/>
    <n v="25"/>
    <x v="4"/>
    <x v="3"/>
    <s v="P504"/>
    <x v="15"/>
    <x v="2"/>
    <x v="11"/>
    <x v="2"/>
    <x v="266"/>
    <n v="3240"/>
    <x v="2"/>
    <x v="1"/>
    <x v="1"/>
    <d v="2025-04-18T00:00:00"/>
    <n v="4"/>
  </r>
  <r>
    <s v="ORD00758"/>
    <d v="2024-07-03T00:00:00"/>
    <s v="C0087"/>
    <s v="Anjali Jain"/>
    <x v="1"/>
    <n v="44"/>
    <x v="14"/>
    <x v="1"/>
    <s v="P403"/>
    <x v="17"/>
    <x v="3"/>
    <x v="13"/>
    <x v="0"/>
    <x v="438"/>
    <n v="3800"/>
    <x v="5"/>
    <x v="2"/>
    <x v="1"/>
    <d v="2024-07-13T00:00:00"/>
    <n v="3"/>
  </r>
  <r>
    <s v="ORD00759"/>
    <d v="2025-03-02T00:00:00"/>
    <s v="C0040"/>
    <s v="Priya Patel"/>
    <x v="1"/>
    <n v="33"/>
    <x v="6"/>
    <x v="5"/>
    <s v="P304"/>
    <x v="1"/>
    <x v="1"/>
    <x v="1"/>
    <x v="4"/>
    <x v="439"/>
    <n v="520"/>
    <x v="7"/>
    <x v="3"/>
    <x v="1"/>
    <d v="2025-03-14T00:00:00"/>
    <n v="3"/>
  </r>
  <r>
    <s v="ORD00760"/>
    <d v="2025-02-07T00:00:00"/>
    <s v="C0192"/>
    <s v="Reena Verma"/>
    <x v="1"/>
    <n v="36"/>
    <x v="4"/>
    <x v="3"/>
    <s v="P203"/>
    <x v="16"/>
    <x v="4"/>
    <x v="12"/>
    <x v="2"/>
    <x v="46"/>
    <n v="6100"/>
    <x v="4"/>
    <x v="3"/>
    <x v="1"/>
    <d v="2025-02-19T00:00:00"/>
    <n v="5"/>
  </r>
  <r>
    <s v="ORD00761"/>
    <d v="2025-04-09T00:00:00"/>
    <s v="C0138"/>
    <s v="Priya Solanki"/>
    <x v="1"/>
    <n v="49"/>
    <x v="11"/>
    <x v="0"/>
    <s v="P203"/>
    <x v="16"/>
    <x v="4"/>
    <x v="12"/>
    <x v="4"/>
    <x v="291"/>
    <n v="3050"/>
    <x v="1"/>
    <x v="1"/>
    <x v="0"/>
    <d v="2025-04-20T00:00:00"/>
    <n v="3"/>
  </r>
  <r>
    <s v="ORD00762"/>
    <d v="2024-08-04T00:00:00"/>
    <s v="C0025"/>
    <s v="Riya Joshi"/>
    <x v="1"/>
    <n v="41"/>
    <x v="1"/>
    <x v="1"/>
    <s v="P203"/>
    <x v="16"/>
    <x v="4"/>
    <x v="12"/>
    <x v="4"/>
    <x v="341"/>
    <n v="3050"/>
    <x v="2"/>
    <x v="2"/>
    <x v="3"/>
    <s v="NA"/>
    <s v="NA"/>
  </r>
  <r>
    <s v="ORD00763"/>
    <d v="2025-01-25T00:00:00"/>
    <s v="C0048"/>
    <s v="Deepak Verma"/>
    <x v="0"/>
    <n v="42"/>
    <x v="12"/>
    <x v="9"/>
    <s v="P201"/>
    <x v="11"/>
    <x v="4"/>
    <x v="8"/>
    <x v="2"/>
    <x v="440"/>
    <n v="10200"/>
    <x v="5"/>
    <x v="4"/>
    <x v="1"/>
    <d v="2025-01-27T00:00:00"/>
    <n v="4"/>
  </r>
  <r>
    <s v="ORD00764"/>
    <d v="2024-06-15T00:00:00"/>
    <s v="C0199"/>
    <s v="Riya Jain"/>
    <x v="1"/>
    <n v="58"/>
    <x v="12"/>
    <x v="9"/>
    <s v="P202"/>
    <x v="13"/>
    <x v="4"/>
    <x v="8"/>
    <x v="2"/>
    <x v="396"/>
    <n v="8600"/>
    <x v="2"/>
    <x v="1"/>
    <x v="1"/>
    <d v="2024-06-23T00:00:00"/>
    <n v="4"/>
  </r>
  <r>
    <s v="ORD00765"/>
    <d v="2025-12-02T00:00:00"/>
    <s v="C0068"/>
    <s v="Nisha Patel"/>
    <x v="1"/>
    <n v="34"/>
    <x v="15"/>
    <x v="8"/>
    <s v="P502"/>
    <x v="9"/>
    <x v="2"/>
    <x v="5"/>
    <x v="4"/>
    <x v="29"/>
    <n v="420"/>
    <x v="7"/>
    <x v="2"/>
    <x v="1"/>
    <d v="2025-12-11T00:00:00"/>
    <n v="5"/>
  </r>
  <r>
    <s v="ORD00766"/>
    <d v="2025-02-01T00:00:00"/>
    <s v="C0244"/>
    <s v="Vikas Solanki"/>
    <x v="0"/>
    <n v="21"/>
    <x v="14"/>
    <x v="1"/>
    <s v="P403"/>
    <x v="17"/>
    <x v="3"/>
    <x v="13"/>
    <x v="0"/>
    <x v="441"/>
    <n v="3800"/>
    <x v="3"/>
    <x v="3"/>
    <x v="2"/>
    <d v="2025-02-09T00:00:00"/>
    <n v="4"/>
  </r>
  <r>
    <s v="ORD00767"/>
    <d v="2025-09-20T00:00:00"/>
    <s v="C0096"/>
    <s v="Arjun Sharma"/>
    <x v="0"/>
    <n v="52"/>
    <x v="8"/>
    <x v="7"/>
    <s v="P501"/>
    <x v="8"/>
    <x v="2"/>
    <x v="6"/>
    <x v="1"/>
    <x v="442"/>
    <n v="3720"/>
    <x v="2"/>
    <x v="3"/>
    <x v="3"/>
    <s v="NA"/>
    <s v="NA"/>
  </r>
  <r>
    <s v="ORD00768"/>
    <d v="2024-12-15T00:00:00"/>
    <s v="C0238"/>
    <s v="Rohan Mehta"/>
    <x v="0"/>
    <n v="29"/>
    <x v="6"/>
    <x v="5"/>
    <s v="P501"/>
    <x v="8"/>
    <x v="2"/>
    <x v="6"/>
    <x v="2"/>
    <x v="19"/>
    <n v="1860"/>
    <x v="1"/>
    <x v="2"/>
    <x v="0"/>
    <d v="2024-12-27T00:00:00"/>
    <n v="3"/>
  </r>
  <r>
    <s v="ORD00769"/>
    <d v="2024-10-24T00:00:00"/>
    <s v="C0240"/>
    <s v="Pooja Singh"/>
    <x v="1"/>
    <n v="47"/>
    <x v="8"/>
    <x v="7"/>
    <s v="P103"/>
    <x v="3"/>
    <x v="0"/>
    <x v="3"/>
    <x v="1"/>
    <x v="12"/>
    <n v="1640"/>
    <x v="0"/>
    <x v="0"/>
    <x v="1"/>
    <d v="2024-11-05T00:00:00"/>
    <n v="4"/>
  </r>
  <r>
    <s v="ORD00770"/>
    <d v="2024-09-11T00:00:00"/>
    <s v="C0268"/>
    <s v="Suman Gupta"/>
    <x v="1"/>
    <n v="57"/>
    <x v="8"/>
    <x v="7"/>
    <s v="P202"/>
    <x v="13"/>
    <x v="4"/>
    <x v="8"/>
    <x v="0"/>
    <x v="18"/>
    <n v="21500"/>
    <x v="4"/>
    <x v="2"/>
    <x v="1"/>
    <d v="2024-09-13T00:00:00"/>
    <n v="3"/>
  </r>
  <r>
    <s v="ORD00771"/>
    <d v="2025-06-06T00:00:00"/>
    <s v="C0218"/>
    <s v="Nisha Verma"/>
    <x v="1"/>
    <n v="26"/>
    <x v="8"/>
    <x v="7"/>
    <s v="P104"/>
    <x v="19"/>
    <x v="0"/>
    <x v="14"/>
    <x v="1"/>
    <x v="274"/>
    <n v="4920"/>
    <x v="0"/>
    <x v="1"/>
    <x v="1"/>
    <d v="2025-06-17T00:00:00"/>
    <n v="3"/>
  </r>
  <r>
    <s v="ORD00772"/>
    <d v="2025-05-30T00:00:00"/>
    <s v="C0009"/>
    <s v="Mohit Mishra"/>
    <x v="0"/>
    <n v="52"/>
    <x v="4"/>
    <x v="3"/>
    <s v="P504"/>
    <x v="15"/>
    <x v="2"/>
    <x v="11"/>
    <x v="1"/>
    <x v="443"/>
    <n v="6480"/>
    <x v="6"/>
    <x v="0"/>
    <x v="2"/>
    <d v="2025-06-07T00:00:00"/>
    <n v="2"/>
  </r>
  <r>
    <s v="ORD00773"/>
    <d v="2024-03-26T00:00:00"/>
    <s v="C0214"/>
    <s v="Muskan Joshi"/>
    <x v="1"/>
    <n v="33"/>
    <x v="1"/>
    <x v="1"/>
    <s v="P203"/>
    <x v="16"/>
    <x v="4"/>
    <x v="12"/>
    <x v="0"/>
    <x v="59"/>
    <n v="15250"/>
    <x v="1"/>
    <x v="4"/>
    <x v="3"/>
    <s v="NA"/>
    <s v="NA"/>
  </r>
  <r>
    <s v="ORD00774"/>
    <d v="2024-09-28T00:00:00"/>
    <s v="C0175"/>
    <s v="Rashmi Solanki"/>
    <x v="1"/>
    <n v="30"/>
    <x v="5"/>
    <x v="4"/>
    <s v="P107"/>
    <x v="5"/>
    <x v="0"/>
    <x v="4"/>
    <x v="2"/>
    <x v="444"/>
    <n v="1840"/>
    <x v="2"/>
    <x v="2"/>
    <x v="1"/>
    <d v="2024-10-10T00:00:00"/>
    <n v="3"/>
  </r>
  <r>
    <s v="ORD00775"/>
    <d v="2025-03-20T00:00:00"/>
    <s v="C0274"/>
    <s v="Deepak Joshi"/>
    <x v="0"/>
    <n v="42"/>
    <x v="11"/>
    <x v="0"/>
    <s v="P101"/>
    <x v="6"/>
    <x v="0"/>
    <x v="0"/>
    <x v="1"/>
    <x v="313"/>
    <n v="1880"/>
    <x v="2"/>
    <x v="3"/>
    <x v="1"/>
    <d v="2025-04-01T00:00:00"/>
    <n v="5"/>
  </r>
  <r>
    <s v="ORD00776"/>
    <d v="2025-04-16T00:00:00"/>
    <s v="C0208"/>
    <s v="Nisha Khan"/>
    <x v="1"/>
    <n v="38"/>
    <x v="7"/>
    <x v="6"/>
    <s v="P202"/>
    <x v="13"/>
    <x v="4"/>
    <x v="8"/>
    <x v="0"/>
    <x v="445"/>
    <n v="21500"/>
    <x v="7"/>
    <x v="4"/>
    <x v="2"/>
    <d v="2025-04-22T00:00:00"/>
    <n v="3"/>
  </r>
  <r>
    <s v="ORD00777"/>
    <d v="2024-05-08T00:00:00"/>
    <s v="C0070"/>
    <s v="Mohit Solanki"/>
    <x v="0"/>
    <n v="30"/>
    <x v="11"/>
    <x v="0"/>
    <s v="P107"/>
    <x v="5"/>
    <x v="0"/>
    <x v="4"/>
    <x v="4"/>
    <x v="446"/>
    <n v="920"/>
    <x v="4"/>
    <x v="0"/>
    <x v="2"/>
    <d v="2024-05-10T00:00:00"/>
    <n v="4"/>
  </r>
  <r>
    <s v="ORD00778"/>
    <d v="2025-05-07T00:00:00"/>
    <s v="C0075"/>
    <s v="Aditya Yadav"/>
    <x v="0"/>
    <n v="19"/>
    <x v="6"/>
    <x v="5"/>
    <s v="P302"/>
    <x v="12"/>
    <x v="1"/>
    <x v="9"/>
    <x v="0"/>
    <x v="447"/>
    <n v="450"/>
    <x v="5"/>
    <x v="3"/>
    <x v="1"/>
    <d v="2025-05-16T00:00:00"/>
    <n v="3"/>
  </r>
  <r>
    <s v="ORD00779"/>
    <d v="2025-04-30T00:00:00"/>
    <s v="C0217"/>
    <s v="Priya Yadav"/>
    <x v="1"/>
    <n v="38"/>
    <x v="11"/>
    <x v="0"/>
    <s v="P104"/>
    <x v="19"/>
    <x v="0"/>
    <x v="14"/>
    <x v="2"/>
    <x v="104"/>
    <n v="2460"/>
    <x v="6"/>
    <x v="4"/>
    <x v="1"/>
    <d v="2025-05-09T00:00:00"/>
    <n v="2"/>
  </r>
  <r>
    <s v="ORD00780"/>
    <d v="2025-04-05T00:00:00"/>
    <s v="C0300"/>
    <s v="Neha Sharma"/>
    <x v="1"/>
    <n v="52"/>
    <x v="6"/>
    <x v="5"/>
    <s v="P107"/>
    <x v="5"/>
    <x v="0"/>
    <x v="4"/>
    <x v="3"/>
    <x v="448"/>
    <n v="2760"/>
    <x v="3"/>
    <x v="3"/>
    <x v="1"/>
    <d v="2025-04-07T00:00:00"/>
    <n v="3"/>
  </r>
  <r>
    <s v="ORD00781"/>
    <d v="2025-10-07T00:00:00"/>
    <s v="C0222"/>
    <s v="Pooja Solanki"/>
    <x v="1"/>
    <n v="47"/>
    <x v="8"/>
    <x v="7"/>
    <s v="P304"/>
    <x v="1"/>
    <x v="1"/>
    <x v="1"/>
    <x v="0"/>
    <x v="151"/>
    <n v="2600"/>
    <x v="0"/>
    <x v="3"/>
    <x v="1"/>
    <d v="2025-10-15T00:00:00"/>
    <n v="5"/>
  </r>
  <r>
    <s v="ORD00782"/>
    <d v="2025-06-09T00:00:00"/>
    <s v="C0250"/>
    <s v="Aman Singh"/>
    <x v="0"/>
    <n v="47"/>
    <x v="6"/>
    <x v="5"/>
    <s v="P503"/>
    <x v="7"/>
    <x v="2"/>
    <x v="5"/>
    <x v="4"/>
    <x v="449"/>
    <n v="790"/>
    <x v="4"/>
    <x v="4"/>
    <x v="3"/>
    <s v="NA"/>
    <s v="NA"/>
  </r>
  <r>
    <s v="ORD00783"/>
    <d v="2024-11-19T00:00:00"/>
    <s v="C0284"/>
    <s v="Riya Sharma"/>
    <x v="1"/>
    <n v="23"/>
    <x v="2"/>
    <x v="0"/>
    <s v="P201"/>
    <x v="11"/>
    <x v="4"/>
    <x v="8"/>
    <x v="1"/>
    <x v="450"/>
    <n v="20400"/>
    <x v="1"/>
    <x v="3"/>
    <x v="1"/>
    <d v="2024-11-30T00:00:00"/>
    <n v="4"/>
  </r>
  <r>
    <s v="ORD00784"/>
    <d v="2025-04-04T00:00:00"/>
    <s v="C0224"/>
    <s v="Kavita Jain"/>
    <x v="1"/>
    <n v="55"/>
    <x v="11"/>
    <x v="0"/>
    <s v="P106"/>
    <x v="23"/>
    <x v="0"/>
    <x v="0"/>
    <x v="3"/>
    <x v="451"/>
    <n v="2130"/>
    <x v="5"/>
    <x v="4"/>
    <x v="1"/>
    <d v="2025-04-13T00:00:00"/>
    <n v="4"/>
  </r>
  <r>
    <s v="ORD00785"/>
    <d v="2025-06-03T00:00:00"/>
    <s v="C0113"/>
    <s v="Aditya Joshi"/>
    <x v="0"/>
    <n v="33"/>
    <x v="9"/>
    <x v="8"/>
    <s v="P404"/>
    <x v="14"/>
    <x v="3"/>
    <x v="10"/>
    <x v="1"/>
    <x v="337"/>
    <n v="2440"/>
    <x v="6"/>
    <x v="1"/>
    <x v="0"/>
    <d v="2025-06-11T00:00:00"/>
    <n v="5"/>
  </r>
  <r>
    <s v="ORD00786"/>
    <d v="2025-11-20T00:00:00"/>
    <s v="C0185"/>
    <s v="Deepak Khan"/>
    <x v="0"/>
    <n v="37"/>
    <x v="7"/>
    <x v="6"/>
    <s v="P106"/>
    <x v="23"/>
    <x v="0"/>
    <x v="0"/>
    <x v="0"/>
    <x v="452"/>
    <n v="3550"/>
    <x v="5"/>
    <x v="1"/>
    <x v="0"/>
    <d v="2025-11-23T00:00:00"/>
    <n v="5"/>
  </r>
  <r>
    <s v="ORD00787"/>
    <d v="2024-05-12T00:00:00"/>
    <s v="C0089"/>
    <s v="Reena Joshi"/>
    <x v="1"/>
    <n v="24"/>
    <x v="10"/>
    <x v="5"/>
    <s v="P106"/>
    <x v="23"/>
    <x v="0"/>
    <x v="0"/>
    <x v="0"/>
    <x v="167"/>
    <n v="3550"/>
    <x v="1"/>
    <x v="3"/>
    <x v="2"/>
    <d v="2024-05-20T00:00:00"/>
    <n v="5"/>
  </r>
  <r>
    <s v="ORD00788"/>
    <d v="2024-11-06T00:00:00"/>
    <s v="C0121"/>
    <s v="Rohan Joshi"/>
    <x v="0"/>
    <n v="37"/>
    <x v="10"/>
    <x v="5"/>
    <s v="P402"/>
    <x v="18"/>
    <x v="3"/>
    <x v="7"/>
    <x v="4"/>
    <x v="205"/>
    <n v="510"/>
    <x v="4"/>
    <x v="1"/>
    <x v="1"/>
    <d v="2024-11-13T00:00:00"/>
    <n v="3"/>
  </r>
  <r>
    <s v="ORD00789"/>
    <d v="2024-06-27T00:00:00"/>
    <s v="C0258"/>
    <s v="Aditya Khan"/>
    <x v="0"/>
    <n v="58"/>
    <x v="0"/>
    <x v="0"/>
    <s v="P103"/>
    <x v="3"/>
    <x v="0"/>
    <x v="3"/>
    <x v="3"/>
    <x v="305"/>
    <n v="1230"/>
    <x v="3"/>
    <x v="3"/>
    <x v="3"/>
    <s v="NA"/>
    <s v="NA"/>
  </r>
  <r>
    <s v="ORD00790"/>
    <d v="2024-08-20T00:00:00"/>
    <s v="C0062"/>
    <s v="Muskan Sharma"/>
    <x v="1"/>
    <n v="25"/>
    <x v="6"/>
    <x v="5"/>
    <s v="P304"/>
    <x v="1"/>
    <x v="1"/>
    <x v="1"/>
    <x v="3"/>
    <x v="304"/>
    <n v="1560"/>
    <x v="7"/>
    <x v="1"/>
    <x v="2"/>
    <d v="2024-08-22T00:00:00"/>
    <n v="4"/>
  </r>
  <r>
    <s v="ORD00791"/>
    <d v="2024-06-03T00:00:00"/>
    <s v="C0264"/>
    <s v="Aarav Jain"/>
    <x v="0"/>
    <n v="49"/>
    <x v="4"/>
    <x v="3"/>
    <s v="P503"/>
    <x v="7"/>
    <x v="2"/>
    <x v="5"/>
    <x v="4"/>
    <x v="453"/>
    <n v="790"/>
    <x v="1"/>
    <x v="4"/>
    <x v="2"/>
    <d v="2024-06-06T00:00:00"/>
    <n v="3"/>
  </r>
  <r>
    <s v="ORD00792"/>
    <d v="2025-09-17T00:00:00"/>
    <s v="C0053"/>
    <s v="Suman Yadav"/>
    <x v="1"/>
    <n v="25"/>
    <x v="0"/>
    <x v="0"/>
    <s v="P401"/>
    <x v="10"/>
    <x v="3"/>
    <x v="7"/>
    <x v="4"/>
    <x v="201"/>
    <n v="370"/>
    <x v="6"/>
    <x v="3"/>
    <x v="2"/>
    <d v="2025-09-22T00:00:00"/>
    <n v="4"/>
  </r>
  <r>
    <s v="ORD00793"/>
    <d v="2024-06-09T00:00:00"/>
    <s v="C0150"/>
    <s v="Neha Yadav"/>
    <x v="1"/>
    <n v="20"/>
    <x v="3"/>
    <x v="2"/>
    <s v="P401"/>
    <x v="10"/>
    <x v="3"/>
    <x v="7"/>
    <x v="1"/>
    <x v="243"/>
    <n v="1480"/>
    <x v="2"/>
    <x v="0"/>
    <x v="0"/>
    <d v="2024-06-16T00:00:00"/>
    <n v="4"/>
  </r>
  <r>
    <s v="ORD00794"/>
    <d v="2024-05-21T00:00:00"/>
    <s v="C0063"/>
    <s v="Anjali Gupta"/>
    <x v="1"/>
    <n v="33"/>
    <x v="10"/>
    <x v="5"/>
    <s v="P303"/>
    <x v="4"/>
    <x v="1"/>
    <x v="1"/>
    <x v="1"/>
    <x v="197"/>
    <n v="1320"/>
    <x v="4"/>
    <x v="0"/>
    <x v="2"/>
    <d v="2024-05-30T00:00:00"/>
    <n v="4"/>
  </r>
  <r>
    <s v="ORD00795"/>
    <d v="2024-10-20T00:00:00"/>
    <s v="C0259"/>
    <s v="Kunal Verma"/>
    <x v="0"/>
    <n v="37"/>
    <x v="5"/>
    <x v="4"/>
    <s v="P103"/>
    <x v="3"/>
    <x v="0"/>
    <x v="3"/>
    <x v="3"/>
    <x v="346"/>
    <n v="1230"/>
    <x v="7"/>
    <x v="4"/>
    <x v="1"/>
    <d v="2024-11-01T00:00:00"/>
    <n v="4"/>
  </r>
  <r>
    <s v="ORD00796"/>
    <d v="2024-06-04T00:00:00"/>
    <s v="C0272"/>
    <s v="Aditya Gupta"/>
    <x v="0"/>
    <n v="46"/>
    <x v="8"/>
    <x v="7"/>
    <s v="P108"/>
    <x v="22"/>
    <x v="0"/>
    <x v="14"/>
    <x v="2"/>
    <x v="319"/>
    <n v="2160"/>
    <x v="3"/>
    <x v="4"/>
    <x v="1"/>
    <d v="2024-06-13T00:00:00"/>
    <n v="4"/>
  </r>
  <r>
    <s v="ORD00797"/>
    <d v="2024-01-31T00:00:00"/>
    <s v="C0227"/>
    <s v="Anjali Gupta"/>
    <x v="1"/>
    <n v="42"/>
    <x v="13"/>
    <x v="4"/>
    <s v="P101"/>
    <x v="6"/>
    <x v="0"/>
    <x v="0"/>
    <x v="0"/>
    <x v="454"/>
    <n v="2350"/>
    <x v="2"/>
    <x v="3"/>
    <x v="1"/>
    <d v="2024-02-07T00:00:00"/>
    <n v="5"/>
  </r>
  <r>
    <s v="ORD00798"/>
    <d v="2024-06-17T00:00:00"/>
    <s v="C0223"/>
    <s v="Kavita Sharma"/>
    <x v="1"/>
    <n v="31"/>
    <x v="0"/>
    <x v="0"/>
    <s v="P301"/>
    <x v="2"/>
    <x v="1"/>
    <x v="2"/>
    <x v="4"/>
    <x v="455"/>
    <n v="210"/>
    <x v="6"/>
    <x v="2"/>
    <x v="1"/>
    <d v="2024-06-29T00:00:00"/>
    <n v="4"/>
  </r>
  <r>
    <s v="ORD00799"/>
    <d v="2025-03-05T00:00:00"/>
    <s v="C0206"/>
    <s v="Kunal Verma"/>
    <x v="0"/>
    <n v="47"/>
    <x v="1"/>
    <x v="1"/>
    <s v="P504"/>
    <x v="15"/>
    <x v="2"/>
    <x v="11"/>
    <x v="3"/>
    <x v="118"/>
    <n v="4860"/>
    <x v="7"/>
    <x v="3"/>
    <x v="2"/>
    <d v="2025-03-11T00:00:00"/>
    <n v="3"/>
  </r>
  <r>
    <s v="ORD00801"/>
    <d v="2024-07-21T00:00:00"/>
    <s v="C0155"/>
    <s v="Rahul Patel"/>
    <x v="0"/>
    <n v="44"/>
    <x v="2"/>
    <x v="0"/>
    <s v="P102"/>
    <x v="0"/>
    <x v="0"/>
    <x v="0"/>
    <x v="0"/>
    <x v="456"/>
    <n v="3950"/>
    <x v="7"/>
    <x v="4"/>
    <x v="0"/>
    <d v="2024-07-25T00:00:00"/>
    <n v="4"/>
  </r>
  <r>
    <s v="ORD00802"/>
    <d v="2024-08-06T00:00:00"/>
    <s v="C0048"/>
    <s v="Deepak Verma"/>
    <x v="0"/>
    <n v="42"/>
    <x v="1"/>
    <x v="1"/>
    <s v="P401"/>
    <x v="10"/>
    <x v="3"/>
    <x v="7"/>
    <x v="3"/>
    <x v="378"/>
    <n v="1110"/>
    <x v="6"/>
    <x v="3"/>
    <x v="1"/>
    <d v="2024-08-16T00:00:00"/>
    <n v="4"/>
  </r>
  <r>
    <s v="ORD00803"/>
    <d v="2024-09-04T00:00:00"/>
    <s v="C0156"/>
    <s v="Aarav Patel"/>
    <x v="0"/>
    <n v="39"/>
    <x v="8"/>
    <x v="7"/>
    <s v="P401"/>
    <x v="10"/>
    <x v="3"/>
    <x v="7"/>
    <x v="4"/>
    <x v="161"/>
    <n v="370"/>
    <x v="4"/>
    <x v="1"/>
    <x v="1"/>
    <d v="2024-09-16T00:00:00"/>
    <n v="4"/>
  </r>
  <r>
    <s v="ORD00804"/>
    <d v="2024-05-06T00:00:00"/>
    <s v="C0025"/>
    <s v="Riya Joshi"/>
    <x v="1"/>
    <n v="41"/>
    <x v="4"/>
    <x v="3"/>
    <s v="P303"/>
    <x v="4"/>
    <x v="1"/>
    <x v="1"/>
    <x v="3"/>
    <x v="178"/>
    <n v="990"/>
    <x v="4"/>
    <x v="4"/>
    <x v="1"/>
    <d v="2024-05-11T00:00:00"/>
    <n v="4"/>
  </r>
  <r>
    <s v="ORD00805"/>
    <d v="2024-12-24T00:00:00"/>
    <s v="C0154"/>
    <s v="Vikas Patel"/>
    <x v="0"/>
    <n v="33"/>
    <x v="1"/>
    <x v="1"/>
    <s v="P502"/>
    <x v="9"/>
    <x v="2"/>
    <x v="5"/>
    <x v="0"/>
    <x v="426"/>
    <n v="2100"/>
    <x v="6"/>
    <x v="4"/>
    <x v="3"/>
    <s v="NA"/>
    <s v="NA"/>
  </r>
  <r>
    <s v="ORD00806"/>
    <d v="2024-09-10T00:00:00"/>
    <s v="C0054"/>
    <s v="Neha Jain"/>
    <x v="1"/>
    <n v="28"/>
    <x v="9"/>
    <x v="8"/>
    <s v="P401"/>
    <x v="10"/>
    <x v="3"/>
    <x v="7"/>
    <x v="0"/>
    <x v="60"/>
    <n v="1850"/>
    <x v="5"/>
    <x v="1"/>
    <x v="1"/>
    <d v="2024-09-13T00:00:00"/>
    <n v="3"/>
  </r>
  <r>
    <s v="ORD00807"/>
    <d v="2025-12-29T00:00:00"/>
    <s v="C0218"/>
    <s v="Nisha Verma"/>
    <x v="1"/>
    <n v="26"/>
    <x v="8"/>
    <x v="7"/>
    <s v="P103"/>
    <x v="3"/>
    <x v="0"/>
    <x v="3"/>
    <x v="4"/>
    <x v="161"/>
    <n v="410"/>
    <x v="4"/>
    <x v="4"/>
    <x v="1"/>
    <d v="2026-01-07T00:00:00"/>
    <n v="4"/>
  </r>
  <r>
    <s v="ORD00808"/>
    <d v="2025-04-01T00:00:00"/>
    <s v="C0040"/>
    <s v="Priya Patel"/>
    <x v="1"/>
    <n v="33"/>
    <x v="15"/>
    <x v="8"/>
    <s v="P502"/>
    <x v="9"/>
    <x v="2"/>
    <x v="5"/>
    <x v="0"/>
    <x v="42"/>
    <n v="2100"/>
    <x v="3"/>
    <x v="2"/>
    <x v="3"/>
    <s v="NA"/>
    <s v="NA"/>
  </r>
  <r>
    <s v="ORD00809"/>
    <d v="2025-06-15T00:00:00"/>
    <s v="C0203"/>
    <s v="Arjun Jain"/>
    <x v="0"/>
    <n v="32"/>
    <x v="14"/>
    <x v="1"/>
    <s v="P403"/>
    <x v="17"/>
    <x v="3"/>
    <x v="13"/>
    <x v="1"/>
    <x v="457"/>
    <n v="3040"/>
    <x v="3"/>
    <x v="4"/>
    <x v="0"/>
    <d v="2025-06-24T00:00:00"/>
    <n v="5"/>
  </r>
  <r>
    <s v="ORD00810"/>
    <d v="2024-06-15T00:00:00"/>
    <s v="C0074"/>
    <s v="Arjun Singh"/>
    <x v="0"/>
    <n v="32"/>
    <x v="13"/>
    <x v="4"/>
    <s v="P304"/>
    <x v="1"/>
    <x v="1"/>
    <x v="1"/>
    <x v="1"/>
    <x v="322"/>
    <n v="2080"/>
    <x v="6"/>
    <x v="2"/>
    <x v="2"/>
    <d v="2024-06-25T00:00:00"/>
    <n v="3"/>
  </r>
  <r>
    <s v="ORD00811"/>
    <d v="2025-12-12T00:00:00"/>
    <s v="C0109"/>
    <s v="Vivaan Khan"/>
    <x v="0"/>
    <n v="48"/>
    <x v="3"/>
    <x v="2"/>
    <s v="P304"/>
    <x v="1"/>
    <x v="1"/>
    <x v="1"/>
    <x v="4"/>
    <x v="373"/>
    <n v="520"/>
    <x v="6"/>
    <x v="2"/>
    <x v="1"/>
    <d v="2025-12-15T00:00:00"/>
    <n v="5"/>
  </r>
  <r>
    <s v="ORD00812"/>
    <d v="2024-04-22T00:00:00"/>
    <s v="C0062"/>
    <s v="Muskan Sharma"/>
    <x v="1"/>
    <n v="25"/>
    <x v="15"/>
    <x v="8"/>
    <s v="P403"/>
    <x v="17"/>
    <x v="3"/>
    <x v="13"/>
    <x v="3"/>
    <x v="80"/>
    <n v="2280"/>
    <x v="4"/>
    <x v="2"/>
    <x v="1"/>
    <d v="2024-04-25T00:00:00"/>
    <n v="4"/>
  </r>
  <r>
    <s v="ORD00813"/>
    <d v="2024-11-08T00:00:00"/>
    <s v="C0192"/>
    <s v="Reena Verma"/>
    <x v="1"/>
    <n v="36"/>
    <x v="1"/>
    <x v="1"/>
    <s v="P202"/>
    <x v="13"/>
    <x v="4"/>
    <x v="8"/>
    <x v="1"/>
    <x v="318"/>
    <n v="17200"/>
    <x v="4"/>
    <x v="0"/>
    <x v="1"/>
    <d v="2024-11-19T00:00:00"/>
    <n v="5"/>
  </r>
  <r>
    <s v="ORD00814"/>
    <d v="2024-02-19T00:00:00"/>
    <s v="C0157"/>
    <s v="Kavita Joshi"/>
    <x v="1"/>
    <n v="33"/>
    <x v="1"/>
    <x v="1"/>
    <s v="P107"/>
    <x v="5"/>
    <x v="0"/>
    <x v="4"/>
    <x v="2"/>
    <x v="458"/>
    <n v="1840"/>
    <x v="1"/>
    <x v="3"/>
    <x v="1"/>
    <d v="2024-02-29T00:00:00"/>
    <n v="4"/>
  </r>
  <r>
    <s v="ORD00815"/>
    <d v="2024-03-10T00:00:00"/>
    <s v="C0023"/>
    <s v="Neha Verma"/>
    <x v="1"/>
    <n v="32"/>
    <x v="8"/>
    <x v="7"/>
    <s v="P304"/>
    <x v="1"/>
    <x v="1"/>
    <x v="1"/>
    <x v="0"/>
    <x v="151"/>
    <n v="2600"/>
    <x v="0"/>
    <x v="2"/>
    <x v="1"/>
    <d v="2024-03-17T00:00:00"/>
    <n v="5"/>
  </r>
  <r>
    <s v="ORD00816"/>
    <d v="2025-05-01T00:00:00"/>
    <s v="C0068"/>
    <s v="Nisha Patel"/>
    <x v="1"/>
    <n v="34"/>
    <x v="13"/>
    <x v="4"/>
    <s v="P401"/>
    <x v="10"/>
    <x v="3"/>
    <x v="7"/>
    <x v="1"/>
    <x v="384"/>
    <n v="1480"/>
    <x v="1"/>
    <x v="4"/>
    <x v="1"/>
    <d v="2025-05-08T00:00:00"/>
    <n v="3"/>
  </r>
  <r>
    <s v="ORD00817"/>
    <d v="2025-10-01T00:00:00"/>
    <s v="C0210"/>
    <s v="Kavita Solanki"/>
    <x v="1"/>
    <n v="46"/>
    <x v="12"/>
    <x v="9"/>
    <s v="P108"/>
    <x v="22"/>
    <x v="0"/>
    <x v="14"/>
    <x v="1"/>
    <x v="146"/>
    <n v="4320"/>
    <x v="7"/>
    <x v="2"/>
    <x v="1"/>
    <d v="2025-10-13T00:00:00"/>
    <n v="5"/>
  </r>
  <r>
    <s v="ORD00818"/>
    <d v="2024-10-11T00:00:00"/>
    <s v="C0046"/>
    <s v="Vivaan Verma"/>
    <x v="0"/>
    <n v="27"/>
    <x v="5"/>
    <x v="4"/>
    <s v="P503"/>
    <x v="7"/>
    <x v="2"/>
    <x v="5"/>
    <x v="4"/>
    <x v="103"/>
    <n v="790"/>
    <x v="0"/>
    <x v="2"/>
    <x v="0"/>
    <d v="2024-10-14T00:00:00"/>
    <n v="3"/>
  </r>
  <r>
    <s v="ORD00819"/>
    <d v="2024-07-16T00:00:00"/>
    <s v="C0278"/>
    <s v="Pooja Gupta"/>
    <x v="1"/>
    <n v="56"/>
    <x v="0"/>
    <x v="0"/>
    <s v="P403"/>
    <x v="17"/>
    <x v="3"/>
    <x v="13"/>
    <x v="0"/>
    <x v="438"/>
    <n v="3800"/>
    <x v="5"/>
    <x v="4"/>
    <x v="3"/>
    <s v="NA"/>
    <s v="NA"/>
  </r>
  <r>
    <s v="ORD00820"/>
    <d v="2024-01-20T00:00:00"/>
    <s v="C0062"/>
    <s v="Muskan Sharma"/>
    <x v="1"/>
    <n v="25"/>
    <x v="5"/>
    <x v="4"/>
    <s v="P101"/>
    <x v="6"/>
    <x v="0"/>
    <x v="0"/>
    <x v="3"/>
    <x v="203"/>
    <n v="1410"/>
    <x v="5"/>
    <x v="0"/>
    <x v="2"/>
    <d v="2024-01-31T00:00:00"/>
    <n v="5"/>
  </r>
  <r>
    <s v="ORD00821"/>
    <d v="2024-03-27T00:00:00"/>
    <s v="C0274"/>
    <s v="Deepak Joshi"/>
    <x v="0"/>
    <n v="42"/>
    <x v="9"/>
    <x v="8"/>
    <s v="P301"/>
    <x v="2"/>
    <x v="1"/>
    <x v="2"/>
    <x v="0"/>
    <x v="459"/>
    <n v="1050"/>
    <x v="4"/>
    <x v="4"/>
    <x v="2"/>
    <d v="2024-03-29T00:00:00"/>
    <n v="4"/>
  </r>
  <r>
    <s v="ORD00822"/>
    <d v="2025-03-23T00:00:00"/>
    <s v="C0093"/>
    <s v="Rohan Jain"/>
    <x v="0"/>
    <n v="29"/>
    <x v="8"/>
    <x v="7"/>
    <s v="P101"/>
    <x v="6"/>
    <x v="0"/>
    <x v="0"/>
    <x v="0"/>
    <x v="324"/>
    <n v="2350"/>
    <x v="7"/>
    <x v="4"/>
    <x v="1"/>
    <d v="2025-03-26T00:00:00"/>
    <n v="3"/>
  </r>
  <r>
    <s v="ORD00823"/>
    <d v="2024-04-11T00:00:00"/>
    <s v="C0278"/>
    <s v="Pooja Gupta"/>
    <x v="1"/>
    <n v="56"/>
    <x v="5"/>
    <x v="4"/>
    <s v="P202"/>
    <x v="13"/>
    <x v="4"/>
    <x v="8"/>
    <x v="2"/>
    <x v="22"/>
    <n v="8600"/>
    <x v="6"/>
    <x v="1"/>
    <x v="2"/>
    <d v="2024-04-14T00:00:00"/>
    <n v="3"/>
  </r>
  <r>
    <s v="ORD00824"/>
    <d v="2024-11-10T00:00:00"/>
    <s v="C0209"/>
    <s v="Riya Khan"/>
    <x v="1"/>
    <n v="50"/>
    <x v="5"/>
    <x v="4"/>
    <s v="P102"/>
    <x v="0"/>
    <x v="0"/>
    <x v="0"/>
    <x v="0"/>
    <x v="456"/>
    <n v="3950"/>
    <x v="7"/>
    <x v="0"/>
    <x v="1"/>
    <d v="2024-11-12T00:00:00"/>
    <n v="4"/>
  </r>
  <r>
    <s v="ORD00825"/>
    <d v="2025-02-03T00:00:00"/>
    <s v="C0051"/>
    <s v="Aarav Joshi"/>
    <x v="0"/>
    <n v="25"/>
    <x v="9"/>
    <x v="8"/>
    <s v="P105"/>
    <x v="21"/>
    <x v="0"/>
    <x v="16"/>
    <x v="1"/>
    <x v="351"/>
    <n v="7600"/>
    <x v="7"/>
    <x v="1"/>
    <x v="1"/>
    <d v="2025-02-06T00:00:00"/>
    <n v="2"/>
  </r>
  <r>
    <s v="ORD00826"/>
    <d v="2024-07-26T00:00:00"/>
    <s v="C0123"/>
    <s v="Aarav Mehta"/>
    <x v="0"/>
    <n v="57"/>
    <x v="6"/>
    <x v="5"/>
    <s v="P304"/>
    <x v="1"/>
    <x v="1"/>
    <x v="1"/>
    <x v="0"/>
    <x v="158"/>
    <n v="2600"/>
    <x v="3"/>
    <x v="3"/>
    <x v="1"/>
    <d v="2024-07-28T00:00:00"/>
    <n v="4"/>
  </r>
  <r>
    <s v="ORD00827"/>
    <d v="2025-04-20T00:00:00"/>
    <s v="C0284"/>
    <s v="Riya Sharma"/>
    <x v="1"/>
    <n v="23"/>
    <x v="8"/>
    <x v="7"/>
    <s v="P103"/>
    <x v="3"/>
    <x v="0"/>
    <x v="3"/>
    <x v="1"/>
    <x v="169"/>
    <n v="1640"/>
    <x v="4"/>
    <x v="4"/>
    <x v="0"/>
    <d v="2025-04-25T00:00:00"/>
    <n v="2"/>
  </r>
  <r>
    <s v="ORD00828"/>
    <d v="2024-10-02T00:00:00"/>
    <s v="C0284"/>
    <s v="Riya Sharma"/>
    <x v="1"/>
    <n v="23"/>
    <x v="4"/>
    <x v="3"/>
    <s v="P108"/>
    <x v="22"/>
    <x v="0"/>
    <x v="14"/>
    <x v="0"/>
    <x v="460"/>
    <n v="5400"/>
    <x v="6"/>
    <x v="1"/>
    <x v="3"/>
    <s v="NA"/>
    <s v="NA"/>
  </r>
  <r>
    <s v="ORD00829"/>
    <d v="2025-02-20T00:00:00"/>
    <s v="C0229"/>
    <s v="Deepak Singh"/>
    <x v="0"/>
    <n v="49"/>
    <x v="2"/>
    <x v="0"/>
    <s v="P501"/>
    <x v="8"/>
    <x v="2"/>
    <x v="6"/>
    <x v="0"/>
    <x v="131"/>
    <n v="4650"/>
    <x v="5"/>
    <x v="0"/>
    <x v="1"/>
    <d v="2025-03-02T00:00:00"/>
    <n v="3"/>
  </r>
  <r>
    <s v="ORD00830"/>
    <d v="2024-09-08T00:00:00"/>
    <s v="C0276"/>
    <s v="Pooja Patel"/>
    <x v="1"/>
    <n v="49"/>
    <x v="8"/>
    <x v="7"/>
    <s v="P402"/>
    <x v="18"/>
    <x v="3"/>
    <x v="7"/>
    <x v="1"/>
    <x v="151"/>
    <n v="2040"/>
    <x v="4"/>
    <x v="3"/>
    <x v="2"/>
    <d v="2024-09-17T00:00:00"/>
    <n v="4"/>
  </r>
  <r>
    <s v="ORD00831"/>
    <d v="2025-10-30T00:00:00"/>
    <s v="C0086"/>
    <s v="Arjun Verma"/>
    <x v="0"/>
    <n v="45"/>
    <x v="11"/>
    <x v="0"/>
    <s v="P102"/>
    <x v="0"/>
    <x v="0"/>
    <x v="0"/>
    <x v="1"/>
    <x v="410"/>
    <n v="3160"/>
    <x v="0"/>
    <x v="2"/>
    <x v="1"/>
    <d v="2025-11-11T00:00:00"/>
    <n v="5"/>
  </r>
  <r>
    <s v="ORD00832"/>
    <d v="2024-12-25T00:00:00"/>
    <s v="C0109"/>
    <s v="Vivaan Khan"/>
    <x v="0"/>
    <n v="48"/>
    <x v="1"/>
    <x v="1"/>
    <s v="P102"/>
    <x v="0"/>
    <x v="0"/>
    <x v="0"/>
    <x v="2"/>
    <x v="206"/>
    <n v="1580"/>
    <x v="2"/>
    <x v="1"/>
    <x v="1"/>
    <d v="2025-01-02T00:00:00"/>
    <n v="3"/>
  </r>
  <r>
    <s v="ORD00833"/>
    <d v="2024-05-23T00:00:00"/>
    <s v="C0285"/>
    <s v="Neha Singh"/>
    <x v="1"/>
    <n v="43"/>
    <x v="14"/>
    <x v="1"/>
    <s v="P302"/>
    <x v="12"/>
    <x v="1"/>
    <x v="9"/>
    <x v="2"/>
    <x v="424"/>
    <n v="180"/>
    <x v="7"/>
    <x v="1"/>
    <x v="0"/>
    <d v="2024-05-29T00:00:00"/>
    <n v="5"/>
  </r>
  <r>
    <s v="ORD00834"/>
    <d v="2024-10-06T00:00:00"/>
    <s v="C0126"/>
    <s v="Priya Patel"/>
    <x v="1"/>
    <n v="40"/>
    <x v="9"/>
    <x v="8"/>
    <s v="P203"/>
    <x v="16"/>
    <x v="4"/>
    <x v="12"/>
    <x v="2"/>
    <x v="134"/>
    <n v="6100"/>
    <x v="1"/>
    <x v="2"/>
    <x v="1"/>
    <d v="2024-10-08T00:00:00"/>
    <n v="3"/>
  </r>
  <r>
    <s v="ORD00835"/>
    <d v="2025-10-23T00:00:00"/>
    <s v="C0002"/>
    <s v="Vikas Gupta"/>
    <x v="0"/>
    <n v="33"/>
    <x v="7"/>
    <x v="6"/>
    <s v="P101"/>
    <x v="6"/>
    <x v="0"/>
    <x v="0"/>
    <x v="4"/>
    <x v="135"/>
    <n v="470"/>
    <x v="6"/>
    <x v="4"/>
    <x v="3"/>
    <s v="NA"/>
    <s v="NA"/>
  </r>
  <r>
    <s v="ORD00836"/>
    <d v="2025-12-14T00:00:00"/>
    <s v="C0251"/>
    <s v="Akash Gupta"/>
    <x v="0"/>
    <n v="41"/>
    <x v="12"/>
    <x v="9"/>
    <s v="P402"/>
    <x v="18"/>
    <x v="3"/>
    <x v="7"/>
    <x v="4"/>
    <x v="116"/>
    <n v="510"/>
    <x v="2"/>
    <x v="2"/>
    <x v="1"/>
    <d v="2025-12-26T00:00:00"/>
    <n v="5"/>
  </r>
  <r>
    <s v="ORD00837"/>
    <d v="2025-11-19T00:00:00"/>
    <s v="C0064"/>
    <s v="Vivaan Singh"/>
    <x v="0"/>
    <n v="54"/>
    <x v="15"/>
    <x v="8"/>
    <s v="P301"/>
    <x v="2"/>
    <x v="1"/>
    <x v="2"/>
    <x v="0"/>
    <x v="461"/>
    <n v="1050"/>
    <x v="7"/>
    <x v="4"/>
    <x v="1"/>
    <d v="2025-11-21T00:00:00"/>
    <n v="3"/>
  </r>
  <r>
    <s v="ORD00838"/>
    <d v="2025-04-18T00:00:00"/>
    <s v="C0190"/>
    <s v="Riya Mehta"/>
    <x v="1"/>
    <n v="31"/>
    <x v="10"/>
    <x v="5"/>
    <s v="P303"/>
    <x v="4"/>
    <x v="1"/>
    <x v="1"/>
    <x v="4"/>
    <x v="462"/>
    <n v="330"/>
    <x v="5"/>
    <x v="3"/>
    <x v="2"/>
    <d v="2025-04-24T00:00:00"/>
    <n v="4"/>
  </r>
  <r>
    <s v="ORD00839"/>
    <d v="2024-07-15T00:00:00"/>
    <s v="C0047"/>
    <s v="Suman Patel"/>
    <x v="1"/>
    <n v="45"/>
    <x v="1"/>
    <x v="1"/>
    <s v="P503"/>
    <x v="7"/>
    <x v="2"/>
    <x v="5"/>
    <x v="2"/>
    <x v="463"/>
    <n v="1580"/>
    <x v="5"/>
    <x v="4"/>
    <x v="1"/>
    <d v="2024-07-17T00:00:00"/>
    <n v="4"/>
  </r>
  <r>
    <s v="ORD00840"/>
    <d v="2025-05-19T00:00:00"/>
    <s v="C0108"/>
    <s v="Vikas Yadav"/>
    <x v="0"/>
    <n v="21"/>
    <x v="11"/>
    <x v="0"/>
    <s v="P107"/>
    <x v="5"/>
    <x v="0"/>
    <x v="4"/>
    <x v="1"/>
    <x v="464"/>
    <n v="3680"/>
    <x v="2"/>
    <x v="1"/>
    <x v="3"/>
    <s v="NA"/>
    <s v="NA"/>
  </r>
  <r>
    <s v="ORD00841"/>
    <d v="2025-05-27T00:00:00"/>
    <s v="C0253"/>
    <s v="Vikas Mishra"/>
    <x v="0"/>
    <n v="25"/>
    <x v="5"/>
    <x v="4"/>
    <s v="P402"/>
    <x v="18"/>
    <x v="3"/>
    <x v="7"/>
    <x v="2"/>
    <x v="114"/>
    <n v="1020"/>
    <x v="6"/>
    <x v="3"/>
    <x v="3"/>
    <s v="NA"/>
    <s v="NA"/>
  </r>
  <r>
    <s v="ORD00842"/>
    <d v="2024-05-11T00:00:00"/>
    <s v="C0034"/>
    <s v="Vivaan Singh"/>
    <x v="0"/>
    <n v="20"/>
    <x v="13"/>
    <x v="4"/>
    <s v="P201"/>
    <x v="11"/>
    <x v="4"/>
    <x v="8"/>
    <x v="0"/>
    <x v="265"/>
    <n v="25500"/>
    <x v="5"/>
    <x v="2"/>
    <x v="0"/>
    <d v="2024-05-17T00:00:00"/>
    <n v="4"/>
  </r>
  <r>
    <s v="ORD00843"/>
    <d v="2025-11-25T00:00:00"/>
    <s v="C0012"/>
    <s v="Rahul Mishra"/>
    <x v="0"/>
    <n v="45"/>
    <x v="14"/>
    <x v="1"/>
    <s v="P502"/>
    <x v="9"/>
    <x v="2"/>
    <x v="5"/>
    <x v="0"/>
    <x v="222"/>
    <n v="2100"/>
    <x v="1"/>
    <x v="3"/>
    <x v="1"/>
    <d v="2025-12-07T00:00:00"/>
    <n v="2"/>
  </r>
  <r>
    <s v="ORD00844"/>
    <d v="2024-11-26T00:00:00"/>
    <s v="C0222"/>
    <s v="Pooja Solanki"/>
    <x v="1"/>
    <n v="47"/>
    <x v="8"/>
    <x v="7"/>
    <s v="P201"/>
    <x v="11"/>
    <x v="4"/>
    <x v="8"/>
    <x v="4"/>
    <x v="433"/>
    <n v="5100"/>
    <x v="1"/>
    <x v="4"/>
    <x v="1"/>
    <d v="2024-12-06T00:00:00"/>
    <n v="2"/>
  </r>
  <r>
    <s v="ORD00845"/>
    <d v="2024-08-17T00:00:00"/>
    <s v="C0025"/>
    <s v="Riya Joshi"/>
    <x v="1"/>
    <n v="41"/>
    <x v="14"/>
    <x v="1"/>
    <s v="P302"/>
    <x v="12"/>
    <x v="1"/>
    <x v="9"/>
    <x v="0"/>
    <x v="240"/>
    <n v="450"/>
    <x v="1"/>
    <x v="1"/>
    <x v="1"/>
    <d v="2024-08-25T00:00:00"/>
    <n v="4"/>
  </r>
  <r>
    <s v="ORD00846"/>
    <d v="2024-12-08T00:00:00"/>
    <s v="C0042"/>
    <s v="Priya Mishra"/>
    <x v="1"/>
    <n v="55"/>
    <x v="11"/>
    <x v="0"/>
    <s v="P504"/>
    <x v="15"/>
    <x v="2"/>
    <x v="11"/>
    <x v="2"/>
    <x v="26"/>
    <n v="3240"/>
    <x v="3"/>
    <x v="3"/>
    <x v="1"/>
    <d v="2024-12-13T00:00:00"/>
    <n v="3"/>
  </r>
  <r>
    <s v="ORD00847"/>
    <d v="2024-12-03T00:00:00"/>
    <s v="C0160"/>
    <s v="Kunal Singh"/>
    <x v="0"/>
    <n v="47"/>
    <x v="2"/>
    <x v="0"/>
    <s v="P501"/>
    <x v="8"/>
    <x v="2"/>
    <x v="6"/>
    <x v="4"/>
    <x v="254"/>
    <n v="930"/>
    <x v="4"/>
    <x v="4"/>
    <x v="1"/>
    <d v="2024-12-05T00:00:00"/>
    <n v="4"/>
  </r>
  <r>
    <s v="ORD00848"/>
    <d v="2024-09-13T00:00:00"/>
    <s v="C0127"/>
    <s v="Aditya Singh"/>
    <x v="0"/>
    <n v="41"/>
    <x v="4"/>
    <x v="3"/>
    <s v="P304"/>
    <x v="1"/>
    <x v="1"/>
    <x v="1"/>
    <x v="2"/>
    <x v="155"/>
    <n v="1040"/>
    <x v="7"/>
    <x v="3"/>
    <x v="2"/>
    <d v="2024-09-20T00:00:00"/>
    <n v="4"/>
  </r>
  <r>
    <s v="ORD00849"/>
    <d v="2024-03-15T00:00:00"/>
    <s v="C0225"/>
    <s v="Akash Sharma"/>
    <x v="0"/>
    <n v="54"/>
    <x v="4"/>
    <x v="3"/>
    <s v="P501"/>
    <x v="8"/>
    <x v="2"/>
    <x v="6"/>
    <x v="1"/>
    <x v="442"/>
    <n v="3720"/>
    <x v="2"/>
    <x v="3"/>
    <x v="1"/>
    <d v="2024-03-17T00:00:00"/>
    <n v="5"/>
  </r>
  <r>
    <s v="ORD00850"/>
    <d v="2024-11-16T00:00:00"/>
    <s v="C0034"/>
    <s v="Vivaan Singh"/>
    <x v="0"/>
    <n v="20"/>
    <x v="13"/>
    <x v="4"/>
    <s v="P102"/>
    <x v="0"/>
    <x v="0"/>
    <x v="0"/>
    <x v="1"/>
    <x v="0"/>
    <n v="3160"/>
    <x v="4"/>
    <x v="1"/>
    <x v="3"/>
    <s v="NA"/>
    <s v="NA"/>
  </r>
  <r>
    <s v="ORD00851"/>
    <d v="2025-10-03T00:00:00"/>
    <s v="C0222"/>
    <s v="Pooja Solanki"/>
    <x v="1"/>
    <n v="47"/>
    <x v="2"/>
    <x v="0"/>
    <s v="P104"/>
    <x v="19"/>
    <x v="0"/>
    <x v="14"/>
    <x v="4"/>
    <x v="280"/>
    <n v="1230"/>
    <x v="4"/>
    <x v="1"/>
    <x v="2"/>
    <d v="2025-10-11T00:00:00"/>
    <n v="5"/>
  </r>
  <r>
    <s v="ORD00852"/>
    <d v="2024-04-08T00:00:00"/>
    <s v="C0211"/>
    <s v="Rahul Mishra"/>
    <x v="0"/>
    <n v="48"/>
    <x v="6"/>
    <x v="5"/>
    <s v="P404"/>
    <x v="14"/>
    <x v="3"/>
    <x v="10"/>
    <x v="0"/>
    <x v="295"/>
    <n v="3050"/>
    <x v="4"/>
    <x v="4"/>
    <x v="1"/>
    <d v="2024-04-17T00:00:00"/>
    <n v="5"/>
  </r>
  <r>
    <s v="ORD00853"/>
    <d v="2025-09-27T00:00:00"/>
    <s v="C0052"/>
    <s v="Reena Solanki"/>
    <x v="1"/>
    <n v="35"/>
    <x v="9"/>
    <x v="8"/>
    <s v="P501"/>
    <x v="8"/>
    <x v="2"/>
    <x v="6"/>
    <x v="4"/>
    <x v="40"/>
    <n v="930"/>
    <x v="1"/>
    <x v="2"/>
    <x v="1"/>
    <d v="2025-10-08T00:00:00"/>
    <n v="4"/>
  </r>
  <r>
    <s v="ORD00854"/>
    <d v="2024-04-20T00:00:00"/>
    <s v="C0053"/>
    <s v="Suman Yadav"/>
    <x v="1"/>
    <n v="25"/>
    <x v="11"/>
    <x v="0"/>
    <s v="P404"/>
    <x v="14"/>
    <x v="3"/>
    <x v="10"/>
    <x v="4"/>
    <x v="387"/>
    <n v="610"/>
    <x v="5"/>
    <x v="2"/>
    <x v="1"/>
    <d v="2024-05-02T00:00:00"/>
    <n v="4"/>
  </r>
  <r>
    <s v="ORD00855"/>
    <d v="2024-12-29T00:00:00"/>
    <s v="C0216"/>
    <s v="Akash Gupta"/>
    <x v="0"/>
    <n v="33"/>
    <x v="7"/>
    <x v="6"/>
    <s v="P504"/>
    <x v="15"/>
    <x v="2"/>
    <x v="11"/>
    <x v="0"/>
    <x v="212"/>
    <n v="8100"/>
    <x v="1"/>
    <x v="0"/>
    <x v="1"/>
    <d v="2025-01-02T00:00:00"/>
    <n v="2"/>
  </r>
  <r>
    <s v="ORD00856"/>
    <d v="2024-03-02T00:00:00"/>
    <s v="C0066"/>
    <s v="Aditya Solanki"/>
    <x v="0"/>
    <n v="26"/>
    <x v="1"/>
    <x v="1"/>
    <s v="P403"/>
    <x v="17"/>
    <x v="3"/>
    <x v="13"/>
    <x v="1"/>
    <x v="80"/>
    <n v="3040"/>
    <x v="7"/>
    <x v="1"/>
    <x v="3"/>
    <s v="NA"/>
    <s v="NA"/>
  </r>
  <r>
    <s v="ORD00857"/>
    <d v="2025-07-08T00:00:00"/>
    <s v="C0075"/>
    <s v="Aditya Yadav"/>
    <x v="0"/>
    <n v="19"/>
    <x v="13"/>
    <x v="4"/>
    <s v="P304"/>
    <x v="1"/>
    <x v="1"/>
    <x v="1"/>
    <x v="3"/>
    <x v="304"/>
    <n v="1560"/>
    <x v="7"/>
    <x v="1"/>
    <x v="1"/>
    <d v="2025-07-10T00:00:00"/>
    <n v="3"/>
  </r>
  <r>
    <s v="ORD00858"/>
    <d v="2024-02-28T00:00:00"/>
    <s v="C0122"/>
    <s v="Riya Yadav"/>
    <x v="1"/>
    <n v="22"/>
    <x v="0"/>
    <x v="0"/>
    <s v="P302"/>
    <x v="12"/>
    <x v="1"/>
    <x v="9"/>
    <x v="3"/>
    <x v="465"/>
    <n v="270"/>
    <x v="5"/>
    <x v="0"/>
    <x v="0"/>
    <d v="2024-03-04T00:00:00"/>
    <n v="3"/>
  </r>
  <r>
    <s v="ORD00859"/>
    <d v="2024-12-15T00:00:00"/>
    <s v="C0097"/>
    <s v="Aarav Verma"/>
    <x v="0"/>
    <n v="33"/>
    <x v="7"/>
    <x v="6"/>
    <s v="P503"/>
    <x v="7"/>
    <x v="2"/>
    <x v="5"/>
    <x v="1"/>
    <x v="139"/>
    <n v="3160"/>
    <x v="7"/>
    <x v="2"/>
    <x v="3"/>
    <s v="NA"/>
    <s v="NA"/>
  </r>
  <r>
    <s v="ORD00860"/>
    <d v="2024-12-09T00:00:00"/>
    <s v="C0154"/>
    <s v="Vikas Patel"/>
    <x v="0"/>
    <n v="33"/>
    <x v="8"/>
    <x v="7"/>
    <s v="P203"/>
    <x v="16"/>
    <x v="4"/>
    <x v="12"/>
    <x v="2"/>
    <x v="360"/>
    <n v="6100"/>
    <x v="2"/>
    <x v="4"/>
    <x v="2"/>
    <d v="2024-12-11T00:00:00"/>
    <n v="5"/>
  </r>
  <r>
    <s v="ORD00861"/>
    <d v="2024-08-12T00:00:00"/>
    <s v="C0002"/>
    <s v="Vikas Gupta"/>
    <x v="0"/>
    <n v="33"/>
    <x v="6"/>
    <x v="5"/>
    <s v="P503"/>
    <x v="7"/>
    <x v="2"/>
    <x v="5"/>
    <x v="2"/>
    <x v="126"/>
    <n v="1580"/>
    <x v="1"/>
    <x v="2"/>
    <x v="1"/>
    <d v="2024-08-17T00:00:00"/>
    <n v="5"/>
  </r>
  <r>
    <s v="ORD00862"/>
    <d v="2024-12-05T00:00:00"/>
    <s v="C0193"/>
    <s v="Rashmi Joshi"/>
    <x v="1"/>
    <n v="58"/>
    <x v="10"/>
    <x v="5"/>
    <s v="P301"/>
    <x v="2"/>
    <x v="1"/>
    <x v="2"/>
    <x v="2"/>
    <x v="466"/>
    <n v="420"/>
    <x v="4"/>
    <x v="1"/>
    <x v="1"/>
    <d v="2024-12-08T00:00:00"/>
    <n v="4"/>
  </r>
  <r>
    <s v="ORD00863"/>
    <d v="2024-01-31T00:00:00"/>
    <s v="C0285"/>
    <s v="Neha Singh"/>
    <x v="1"/>
    <n v="43"/>
    <x v="4"/>
    <x v="3"/>
    <s v="P105"/>
    <x v="21"/>
    <x v="0"/>
    <x v="16"/>
    <x v="3"/>
    <x v="290"/>
    <n v="5700"/>
    <x v="1"/>
    <x v="0"/>
    <x v="0"/>
    <d v="2024-02-11T00:00:00"/>
    <n v="4"/>
  </r>
  <r>
    <s v="ORD00864"/>
    <d v="2024-02-14T00:00:00"/>
    <s v="C0016"/>
    <s v="Anjali Yadav"/>
    <x v="1"/>
    <n v="56"/>
    <x v="10"/>
    <x v="5"/>
    <s v="P107"/>
    <x v="5"/>
    <x v="0"/>
    <x v="4"/>
    <x v="3"/>
    <x v="17"/>
    <n v="2760"/>
    <x v="6"/>
    <x v="0"/>
    <x v="1"/>
    <d v="2024-02-18T00:00:00"/>
    <n v="4"/>
  </r>
  <r>
    <s v="ORD00865"/>
    <d v="2025-07-21T00:00:00"/>
    <s v="C0126"/>
    <s v="Priya Patel"/>
    <x v="1"/>
    <n v="40"/>
    <x v="5"/>
    <x v="4"/>
    <s v="P107"/>
    <x v="5"/>
    <x v="0"/>
    <x v="4"/>
    <x v="4"/>
    <x v="102"/>
    <n v="920"/>
    <x v="6"/>
    <x v="1"/>
    <x v="1"/>
    <d v="2025-07-23T00:00:00"/>
    <n v="3"/>
  </r>
  <r>
    <s v="ORD00866"/>
    <d v="2025-01-23T00:00:00"/>
    <s v="C0057"/>
    <s v="Arjun Joshi"/>
    <x v="0"/>
    <n v="37"/>
    <x v="9"/>
    <x v="8"/>
    <s v="P107"/>
    <x v="5"/>
    <x v="0"/>
    <x v="4"/>
    <x v="3"/>
    <x v="407"/>
    <n v="2760"/>
    <x v="1"/>
    <x v="0"/>
    <x v="1"/>
    <d v="2025-01-30T00:00:00"/>
    <n v="3"/>
  </r>
  <r>
    <s v="ORD00867"/>
    <d v="2025-06-23T00:00:00"/>
    <s v="C0223"/>
    <s v="Kavita Sharma"/>
    <x v="1"/>
    <n v="31"/>
    <x v="2"/>
    <x v="0"/>
    <s v="P104"/>
    <x v="19"/>
    <x v="0"/>
    <x v="14"/>
    <x v="2"/>
    <x v="104"/>
    <n v="2460"/>
    <x v="6"/>
    <x v="0"/>
    <x v="1"/>
    <d v="2025-07-03T00:00:00"/>
    <n v="5"/>
  </r>
  <r>
    <s v="ORD00868"/>
    <d v="2025-12-12T00:00:00"/>
    <s v="C0192"/>
    <s v="Reena Verma"/>
    <x v="1"/>
    <n v="36"/>
    <x v="9"/>
    <x v="8"/>
    <s v="P404"/>
    <x v="14"/>
    <x v="3"/>
    <x v="10"/>
    <x v="1"/>
    <x v="125"/>
    <n v="2440"/>
    <x v="5"/>
    <x v="3"/>
    <x v="2"/>
    <d v="2025-12-23T00:00:00"/>
    <n v="4"/>
  </r>
  <r>
    <s v="ORD00869"/>
    <d v="2025-07-02T00:00:00"/>
    <s v="C0151"/>
    <s v="Anjali Singh"/>
    <x v="1"/>
    <n v="33"/>
    <x v="13"/>
    <x v="4"/>
    <s v="P203"/>
    <x v="16"/>
    <x v="4"/>
    <x v="12"/>
    <x v="2"/>
    <x v="46"/>
    <n v="6100"/>
    <x v="4"/>
    <x v="1"/>
    <x v="2"/>
    <d v="2025-07-06T00:00:00"/>
    <n v="5"/>
  </r>
  <r>
    <s v="ORD00870"/>
    <d v="2024-08-02T00:00:00"/>
    <s v="C0042"/>
    <s v="Priya Mishra"/>
    <x v="1"/>
    <n v="55"/>
    <x v="7"/>
    <x v="6"/>
    <s v="P502"/>
    <x v="9"/>
    <x v="2"/>
    <x v="5"/>
    <x v="0"/>
    <x v="454"/>
    <n v="2100"/>
    <x v="2"/>
    <x v="0"/>
    <x v="3"/>
    <s v="NA"/>
    <s v="NA"/>
  </r>
  <r>
    <s v="ORD00871"/>
    <d v="2025-02-01T00:00:00"/>
    <s v="C0261"/>
    <s v="Aman Sharma"/>
    <x v="0"/>
    <n v="40"/>
    <x v="15"/>
    <x v="8"/>
    <s v="P304"/>
    <x v="1"/>
    <x v="1"/>
    <x v="1"/>
    <x v="0"/>
    <x v="78"/>
    <n v="2600"/>
    <x v="1"/>
    <x v="0"/>
    <x v="1"/>
    <d v="2025-02-08T00:00:00"/>
    <n v="5"/>
  </r>
  <r>
    <s v="ORD00872"/>
    <d v="2025-05-21T00:00:00"/>
    <s v="C0243"/>
    <s v="Aditya Mehta"/>
    <x v="0"/>
    <n v="19"/>
    <x v="14"/>
    <x v="1"/>
    <s v="P403"/>
    <x v="17"/>
    <x v="3"/>
    <x v="13"/>
    <x v="1"/>
    <x v="0"/>
    <n v="3040"/>
    <x v="4"/>
    <x v="0"/>
    <x v="1"/>
    <d v="2025-05-26T00:00:00"/>
    <n v="5"/>
  </r>
  <r>
    <s v="ORD00873"/>
    <d v="2024-08-28T00:00:00"/>
    <s v="C0203"/>
    <s v="Arjun Jain"/>
    <x v="0"/>
    <n v="32"/>
    <x v="10"/>
    <x v="5"/>
    <s v="P202"/>
    <x v="13"/>
    <x v="4"/>
    <x v="8"/>
    <x v="1"/>
    <x v="278"/>
    <n v="17200"/>
    <x v="3"/>
    <x v="2"/>
    <x v="1"/>
    <d v="2024-09-04T00:00:00"/>
    <n v="4"/>
  </r>
  <r>
    <s v="ORD00874"/>
    <d v="2025-07-17T00:00:00"/>
    <s v="C0044"/>
    <s v="Anjali Singh"/>
    <x v="1"/>
    <n v="26"/>
    <x v="13"/>
    <x v="4"/>
    <s v="P103"/>
    <x v="3"/>
    <x v="0"/>
    <x v="3"/>
    <x v="3"/>
    <x v="182"/>
    <n v="1230"/>
    <x v="1"/>
    <x v="2"/>
    <x v="1"/>
    <d v="2025-07-22T00:00:00"/>
    <n v="2"/>
  </r>
  <r>
    <s v="ORD00875"/>
    <d v="2025-04-21T00:00:00"/>
    <s v="C0263"/>
    <s v="Aditya Solanki"/>
    <x v="0"/>
    <n v="39"/>
    <x v="9"/>
    <x v="8"/>
    <s v="P302"/>
    <x v="12"/>
    <x v="1"/>
    <x v="9"/>
    <x v="1"/>
    <x v="94"/>
    <n v="360"/>
    <x v="1"/>
    <x v="4"/>
    <x v="1"/>
    <d v="2025-04-28T00:00:00"/>
    <n v="5"/>
  </r>
  <r>
    <s v="ORD00876"/>
    <d v="2024-11-20T00:00:00"/>
    <s v="C0140"/>
    <s v="Suman Jain"/>
    <x v="1"/>
    <n v="35"/>
    <x v="12"/>
    <x v="9"/>
    <s v="P101"/>
    <x v="6"/>
    <x v="0"/>
    <x v="0"/>
    <x v="2"/>
    <x v="260"/>
    <n v="940"/>
    <x v="1"/>
    <x v="0"/>
    <x v="1"/>
    <d v="2024-12-02T00:00:00"/>
    <n v="3"/>
  </r>
  <r>
    <s v="ORD00877"/>
    <d v="2025-01-02T00:00:00"/>
    <s v="C0043"/>
    <s v="Kavita Khan"/>
    <x v="1"/>
    <n v="43"/>
    <x v="1"/>
    <x v="1"/>
    <s v="P401"/>
    <x v="10"/>
    <x v="3"/>
    <x v="7"/>
    <x v="0"/>
    <x v="414"/>
    <n v="1850"/>
    <x v="2"/>
    <x v="1"/>
    <x v="1"/>
    <d v="2025-01-05T00:00:00"/>
    <n v="3"/>
  </r>
  <r>
    <s v="ORD00878"/>
    <d v="2024-03-14T00:00:00"/>
    <s v="C0185"/>
    <s v="Deepak Khan"/>
    <x v="0"/>
    <n v="37"/>
    <x v="0"/>
    <x v="0"/>
    <s v="P402"/>
    <x v="18"/>
    <x v="3"/>
    <x v="7"/>
    <x v="2"/>
    <x v="155"/>
    <n v="1020"/>
    <x v="7"/>
    <x v="0"/>
    <x v="0"/>
    <d v="2024-03-21T00:00:00"/>
    <n v="4"/>
  </r>
  <r>
    <s v="ORD00879"/>
    <d v="2024-11-05T00:00:00"/>
    <s v="C0141"/>
    <s v="Vivaan Sharma"/>
    <x v="0"/>
    <n v="39"/>
    <x v="10"/>
    <x v="5"/>
    <s v="P503"/>
    <x v="7"/>
    <x v="2"/>
    <x v="5"/>
    <x v="0"/>
    <x v="316"/>
    <n v="3950"/>
    <x v="6"/>
    <x v="2"/>
    <x v="1"/>
    <d v="2024-11-07T00:00:00"/>
    <n v="4"/>
  </r>
  <r>
    <s v="ORD00880"/>
    <d v="2024-10-15T00:00:00"/>
    <s v="C0178"/>
    <s v="Pooja Joshi"/>
    <x v="1"/>
    <n v="25"/>
    <x v="12"/>
    <x v="9"/>
    <s v="P301"/>
    <x v="2"/>
    <x v="1"/>
    <x v="2"/>
    <x v="0"/>
    <x v="459"/>
    <n v="1050"/>
    <x v="4"/>
    <x v="4"/>
    <x v="0"/>
    <d v="2024-10-25T00:00:00"/>
    <n v="3"/>
  </r>
  <r>
    <s v="ORD00881"/>
    <d v="2025-02-11T00:00:00"/>
    <s v="C0117"/>
    <s v="Kavita Joshi"/>
    <x v="1"/>
    <n v="55"/>
    <x v="6"/>
    <x v="5"/>
    <s v="P504"/>
    <x v="15"/>
    <x v="2"/>
    <x v="11"/>
    <x v="2"/>
    <x v="54"/>
    <n v="3240"/>
    <x v="1"/>
    <x v="0"/>
    <x v="3"/>
    <s v="NA"/>
    <s v="NA"/>
  </r>
  <r>
    <s v="ORD00882"/>
    <d v="2025-08-24T00:00:00"/>
    <s v="C0283"/>
    <s v="Akash Mehta"/>
    <x v="0"/>
    <n v="49"/>
    <x v="3"/>
    <x v="2"/>
    <s v="P504"/>
    <x v="15"/>
    <x v="2"/>
    <x v="11"/>
    <x v="1"/>
    <x v="212"/>
    <n v="6480"/>
    <x v="7"/>
    <x v="3"/>
    <x v="1"/>
    <d v="2025-08-29T00:00:00"/>
    <n v="5"/>
  </r>
  <r>
    <s v="ORD00883"/>
    <d v="2025-12-15T00:00:00"/>
    <s v="C0214"/>
    <s v="Muskan Joshi"/>
    <x v="1"/>
    <n v="33"/>
    <x v="10"/>
    <x v="5"/>
    <s v="P303"/>
    <x v="4"/>
    <x v="1"/>
    <x v="1"/>
    <x v="1"/>
    <x v="197"/>
    <n v="1320"/>
    <x v="4"/>
    <x v="1"/>
    <x v="1"/>
    <d v="2025-12-26T00:00:00"/>
    <n v="3"/>
  </r>
  <r>
    <s v="ORD00884"/>
    <d v="2024-11-08T00:00:00"/>
    <s v="C0005"/>
    <s v="Aditya Khan"/>
    <x v="0"/>
    <n v="45"/>
    <x v="7"/>
    <x v="6"/>
    <s v="P502"/>
    <x v="9"/>
    <x v="2"/>
    <x v="5"/>
    <x v="3"/>
    <x v="406"/>
    <n v="1260"/>
    <x v="7"/>
    <x v="0"/>
    <x v="1"/>
    <d v="2024-11-16T00:00:00"/>
    <n v="5"/>
  </r>
  <r>
    <s v="ORD00885"/>
    <d v="2025-12-08T00:00:00"/>
    <s v="C0276"/>
    <s v="Pooja Patel"/>
    <x v="1"/>
    <n v="49"/>
    <x v="1"/>
    <x v="1"/>
    <s v="P203"/>
    <x v="16"/>
    <x v="4"/>
    <x v="12"/>
    <x v="0"/>
    <x v="405"/>
    <n v="15250"/>
    <x v="4"/>
    <x v="2"/>
    <x v="2"/>
    <d v="2025-12-10T00:00:00"/>
    <n v="3"/>
  </r>
  <r>
    <s v="ORD00886"/>
    <d v="2024-06-06T00:00:00"/>
    <s v="C0170"/>
    <s v="Kavita Yadav"/>
    <x v="1"/>
    <n v="38"/>
    <x v="12"/>
    <x v="9"/>
    <s v="P301"/>
    <x v="2"/>
    <x v="1"/>
    <x v="2"/>
    <x v="2"/>
    <x v="288"/>
    <n v="420"/>
    <x v="3"/>
    <x v="3"/>
    <x v="3"/>
    <s v="NA"/>
    <s v="NA"/>
  </r>
  <r>
    <s v="ORD00887"/>
    <d v="2025-01-30T00:00:00"/>
    <s v="C0097"/>
    <s v="Aarav Verma"/>
    <x v="0"/>
    <n v="33"/>
    <x v="7"/>
    <x v="6"/>
    <s v="P104"/>
    <x v="19"/>
    <x v="0"/>
    <x v="14"/>
    <x v="3"/>
    <x v="104"/>
    <n v="3690"/>
    <x v="1"/>
    <x v="1"/>
    <x v="1"/>
    <d v="2025-02-03T00:00:00"/>
    <n v="3"/>
  </r>
  <r>
    <s v="ORD00888"/>
    <d v="2025-11-22T00:00:00"/>
    <s v="C0284"/>
    <s v="Riya Sharma"/>
    <x v="1"/>
    <n v="23"/>
    <x v="5"/>
    <x v="4"/>
    <s v="P102"/>
    <x v="0"/>
    <x v="0"/>
    <x v="0"/>
    <x v="0"/>
    <x v="80"/>
    <n v="3950"/>
    <x v="1"/>
    <x v="3"/>
    <x v="1"/>
    <d v="2025-11-27T00:00:00"/>
    <n v="3"/>
  </r>
  <r>
    <s v="ORD00889"/>
    <d v="2025-01-30T00:00:00"/>
    <s v="C0146"/>
    <s v="Aditya Mishra"/>
    <x v="0"/>
    <n v="27"/>
    <x v="10"/>
    <x v="5"/>
    <s v="P108"/>
    <x v="22"/>
    <x v="0"/>
    <x v="14"/>
    <x v="3"/>
    <x v="467"/>
    <n v="3240"/>
    <x v="2"/>
    <x v="5"/>
    <x v="1"/>
    <d v="2025-02-06T00:00:00"/>
    <n v="2"/>
  </r>
  <r>
    <s v="ORD00890"/>
    <d v="2024-06-24T00:00:00"/>
    <s v="C0168"/>
    <s v="Rahul Khan"/>
    <x v="0"/>
    <n v="34"/>
    <x v="8"/>
    <x v="7"/>
    <s v="P301"/>
    <x v="2"/>
    <x v="1"/>
    <x v="2"/>
    <x v="2"/>
    <x v="468"/>
    <n v="420"/>
    <x v="2"/>
    <x v="0"/>
    <x v="3"/>
    <s v="NA"/>
    <s v="NA"/>
  </r>
  <r>
    <s v="ORD00891"/>
    <d v="2025-03-04T00:00:00"/>
    <s v="C0245"/>
    <s v="Anjali Singh"/>
    <x v="1"/>
    <n v="22"/>
    <x v="2"/>
    <x v="0"/>
    <s v="P301"/>
    <x v="2"/>
    <x v="1"/>
    <x v="2"/>
    <x v="2"/>
    <x v="183"/>
    <n v="420"/>
    <x v="6"/>
    <x v="0"/>
    <x v="1"/>
    <d v="2025-03-12T00:00:00"/>
    <n v="5"/>
  </r>
  <r>
    <s v="ORD00892"/>
    <d v="2024-06-11T00:00:00"/>
    <s v="C0295"/>
    <s v="Mohit Mishra"/>
    <x v="0"/>
    <n v="48"/>
    <x v="1"/>
    <x v="1"/>
    <s v="P403"/>
    <x v="17"/>
    <x v="3"/>
    <x v="13"/>
    <x v="2"/>
    <x v="469"/>
    <n v="1520"/>
    <x v="1"/>
    <x v="1"/>
    <x v="1"/>
    <d v="2024-06-13T00:00:00"/>
    <n v="3"/>
  </r>
  <r>
    <s v="ORD00893"/>
    <d v="2025-04-01T00:00:00"/>
    <s v="C0033"/>
    <s v="Kunal Joshi"/>
    <x v="0"/>
    <n v="38"/>
    <x v="12"/>
    <x v="9"/>
    <s v="P404"/>
    <x v="14"/>
    <x v="3"/>
    <x v="10"/>
    <x v="2"/>
    <x v="470"/>
    <n v="1220"/>
    <x v="7"/>
    <x v="2"/>
    <x v="1"/>
    <d v="2025-04-10T00:00:00"/>
    <n v="5"/>
  </r>
  <r>
    <s v="ORD00894"/>
    <d v="2025-08-12T00:00:00"/>
    <s v="C0021"/>
    <s v="Aman Singh"/>
    <x v="0"/>
    <n v="22"/>
    <x v="2"/>
    <x v="0"/>
    <s v="P202"/>
    <x v="13"/>
    <x v="4"/>
    <x v="8"/>
    <x v="1"/>
    <x v="358"/>
    <n v="17200"/>
    <x v="7"/>
    <x v="1"/>
    <x v="1"/>
    <d v="2025-08-23T00:00:00"/>
    <n v="3"/>
  </r>
  <r>
    <s v="ORD00895"/>
    <d v="2025-03-01T00:00:00"/>
    <s v="C0128"/>
    <s v="Neha Patel"/>
    <x v="1"/>
    <n v="46"/>
    <x v="5"/>
    <x v="4"/>
    <s v="P404"/>
    <x v="14"/>
    <x v="3"/>
    <x v="10"/>
    <x v="1"/>
    <x v="471"/>
    <n v="2440"/>
    <x v="1"/>
    <x v="4"/>
    <x v="0"/>
    <d v="2025-03-05T00:00:00"/>
    <n v="3"/>
  </r>
  <r>
    <s v="ORD00896"/>
    <d v="2025-02-06T00:00:00"/>
    <s v="C0023"/>
    <s v="Neha Verma"/>
    <x v="1"/>
    <n v="32"/>
    <x v="6"/>
    <x v="5"/>
    <s v="P106"/>
    <x v="23"/>
    <x v="0"/>
    <x v="0"/>
    <x v="3"/>
    <x v="70"/>
    <n v="2130"/>
    <x v="0"/>
    <x v="3"/>
    <x v="0"/>
    <d v="2025-02-11T00:00:00"/>
    <n v="5"/>
  </r>
  <r>
    <s v="ORD00897"/>
    <d v="2025-02-25T00:00:00"/>
    <s v="C0284"/>
    <s v="Riya Sharma"/>
    <x v="1"/>
    <n v="23"/>
    <x v="4"/>
    <x v="3"/>
    <s v="P204"/>
    <x v="20"/>
    <x v="4"/>
    <x v="15"/>
    <x v="4"/>
    <x v="261"/>
    <n v="1870"/>
    <x v="2"/>
    <x v="2"/>
    <x v="2"/>
    <d v="2025-03-04T00:00:00"/>
    <n v="5"/>
  </r>
  <r>
    <s v="ORD00898"/>
    <d v="2025-04-06T00:00:00"/>
    <s v="C0085"/>
    <s v="Muskan Jain"/>
    <x v="1"/>
    <n v="30"/>
    <x v="14"/>
    <x v="1"/>
    <s v="P107"/>
    <x v="5"/>
    <x v="0"/>
    <x v="4"/>
    <x v="0"/>
    <x v="472"/>
    <n v="4600"/>
    <x v="4"/>
    <x v="4"/>
    <x v="1"/>
    <d v="2025-04-09T00:00:00"/>
    <n v="5"/>
  </r>
  <r>
    <s v="ORD00899"/>
    <d v="2025-01-25T00:00:00"/>
    <s v="C0176"/>
    <s v="Anjali Jain"/>
    <x v="1"/>
    <n v="22"/>
    <x v="12"/>
    <x v="9"/>
    <s v="P107"/>
    <x v="5"/>
    <x v="0"/>
    <x v="4"/>
    <x v="1"/>
    <x v="303"/>
    <n v="3680"/>
    <x v="4"/>
    <x v="3"/>
    <x v="1"/>
    <d v="2025-01-28T00:00:00"/>
    <n v="3"/>
  </r>
  <r>
    <s v="ORD00900"/>
    <d v="2024-11-30T00:00:00"/>
    <s v="C0238"/>
    <s v="Rohan Mehta"/>
    <x v="0"/>
    <n v="29"/>
    <x v="7"/>
    <x v="6"/>
    <s v="P303"/>
    <x v="4"/>
    <x v="1"/>
    <x v="1"/>
    <x v="4"/>
    <x v="195"/>
    <n v="330"/>
    <x v="2"/>
    <x v="2"/>
    <x v="0"/>
    <d v="2024-12-05T00:00:00"/>
    <n v="5"/>
  </r>
  <r>
    <s v="ORD00901"/>
    <d v="2024-05-23T00:00:00"/>
    <s v="C0242"/>
    <s v="Priya Jain"/>
    <x v="1"/>
    <n v="34"/>
    <x v="14"/>
    <x v="1"/>
    <s v="P106"/>
    <x v="23"/>
    <x v="0"/>
    <x v="0"/>
    <x v="2"/>
    <x v="211"/>
    <n v="1420"/>
    <x v="4"/>
    <x v="2"/>
    <x v="1"/>
    <d v="2024-05-27T00:00:00"/>
    <n v="4"/>
  </r>
  <r>
    <s v="ORD00902"/>
    <d v="2024-05-07T00:00:00"/>
    <s v="C0274"/>
    <s v="Deepak Joshi"/>
    <x v="0"/>
    <n v="42"/>
    <x v="12"/>
    <x v="9"/>
    <s v="P106"/>
    <x v="23"/>
    <x v="0"/>
    <x v="0"/>
    <x v="4"/>
    <x v="473"/>
    <n v="710"/>
    <x v="4"/>
    <x v="1"/>
    <x v="1"/>
    <d v="2024-05-16T00:00:00"/>
    <n v="4"/>
  </r>
  <r>
    <s v="ORD00903"/>
    <d v="2024-07-01T00:00:00"/>
    <s v="C0111"/>
    <s v="Vivaan Solanki"/>
    <x v="0"/>
    <n v="23"/>
    <x v="0"/>
    <x v="0"/>
    <s v="P502"/>
    <x v="9"/>
    <x v="2"/>
    <x v="5"/>
    <x v="0"/>
    <x v="428"/>
    <n v="2100"/>
    <x v="5"/>
    <x v="4"/>
    <x v="0"/>
    <d v="2024-07-03T00:00:00"/>
    <n v="3"/>
  </r>
  <r>
    <s v="ORD00904"/>
    <d v="2025-02-03T00:00:00"/>
    <s v="C0158"/>
    <s v="Priya Patel"/>
    <x v="1"/>
    <n v="24"/>
    <x v="3"/>
    <x v="2"/>
    <s v="P102"/>
    <x v="0"/>
    <x v="0"/>
    <x v="0"/>
    <x v="0"/>
    <x v="338"/>
    <n v="3950"/>
    <x v="4"/>
    <x v="3"/>
    <x v="2"/>
    <d v="2025-02-11T00:00:00"/>
    <n v="4"/>
  </r>
  <r>
    <s v="ORD00905"/>
    <d v="2024-09-12T00:00:00"/>
    <s v="C0192"/>
    <s v="Reena Verma"/>
    <x v="1"/>
    <n v="36"/>
    <x v="6"/>
    <x v="5"/>
    <s v="P107"/>
    <x v="5"/>
    <x v="0"/>
    <x v="4"/>
    <x v="4"/>
    <x v="446"/>
    <n v="920"/>
    <x v="4"/>
    <x v="4"/>
    <x v="1"/>
    <d v="2024-09-14T00:00:00"/>
    <n v="4"/>
  </r>
  <r>
    <s v="ORD00906"/>
    <d v="2024-07-15T00:00:00"/>
    <s v="C0033"/>
    <s v="Kunal Joshi"/>
    <x v="0"/>
    <n v="38"/>
    <x v="6"/>
    <x v="5"/>
    <s v="P104"/>
    <x v="19"/>
    <x v="0"/>
    <x v="14"/>
    <x v="2"/>
    <x v="104"/>
    <n v="2460"/>
    <x v="6"/>
    <x v="3"/>
    <x v="1"/>
    <d v="2024-07-25T00:00:00"/>
    <n v="3"/>
  </r>
  <r>
    <s v="ORD00907"/>
    <d v="2024-11-30T00:00:00"/>
    <s v="C0166"/>
    <s v="Reena Solanki"/>
    <x v="1"/>
    <n v="39"/>
    <x v="10"/>
    <x v="5"/>
    <s v="P404"/>
    <x v="14"/>
    <x v="3"/>
    <x v="10"/>
    <x v="2"/>
    <x v="474"/>
    <n v="1220"/>
    <x v="3"/>
    <x v="4"/>
    <x v="1"/>
    <d v="2024-12-05T00:00:00"/>
    <n v="4"/>
  </r>
  <r>
    <s v="ORD00908"/>
    <d v="2024-04-18T00:00:00"/>
    <s v="C0183"/>
    <s v="Kavita Joshi"/>
    <x v="1"/>
    <n v="42"/>
    <x v="9"/>
    <x v="8"/>
    <s v="P106"/>
    <x v="23"/>
    <x v="0"/>
    <x v="0"/>
    <x v="4"/>
    <x v="475"/>
    <n v="710"/>
    <x v="3"/>
    <x v="1"/>
    <x v="1"/>
    <d v="2024-04-26T00:00:00"/>
    <n v="4"/>
  </r>
  <r>
    <s v="ORD00909"/>
    <d v="2025-04-14T00:00:00"/>
    <s v="C0113"/>
    <s v="Aditya Joshi"/>
    <x v="0"/>
    <n v="33"/>
    <x v="2"/>
    <x v="0"/>
    <s v="P502"/>
    <x v="9"/>
    <x v="2"/>
    <x v="5"/>
    <x v="3"/>
    <x v="406"/>
    <n v="1260"/>
    <x v="7"/>
    <x v="3"/>
    <x v="1"/>
    <d v="2025-04-19T00:00:00"/>
    <n v="5"/>
  </r>
  <r>
    <s v="ORD00910"/>
    <d v="2024-11-04T00:00:00"/>
    <s v="C0256"/>
    <s v="Aman Joshi"/>
    <x v="0"/>
    <n v="42"/>
    <x v="4"/>
    <x v="3"/>
    <s v="P503"/>
    <x v="7"/>
    <x v="2"/>
    <x v="5"/>
    <x v="0"/>
    <x v="316"/>
    <n v="3950"/>
    <x v="6"/>
    <x v="1"/>
    <x v="1"/>
    <d v="2024-11-15T00:00:00"/>
    <n v="4"/>
  </r>
  <r>
    <s v="ORD00911"/>
    <d v="2025-10-08T00:00:00"/>
    <s v="C0199"/>
    <s v="Riya Jain"/>
    <x v="1"/>
    <n v="58"/>
    <x v="13"/>
    <x v="4"/>
    <s v="P203"/>
    <x v="16"/>
    <x v="4"/>
    <x v="12"/>
    <x v="2"/>
    <x v="157"/>
    <n v="6100"/>
    <x v="7"/>
    <x v="4"/>
    <x v="1"/>
    <d v="2025-10-15T00:00:00"/>
    <n v="2"/>
  </r>
  <r>
    <s v="ORD00912"/>
    <d v="2025-09-15T00:00:00"/>
    <s v="C0300"/>
    <s v="Neha Sharma"/>
    <x v="1"/>
    <n v="52"/>
    <x v="3"/>
    <x v="2"/>
    <s v="P301"/>
    <x v="2"/>
    <x v="1"/>
    <x v="2"/>
    <x v="0"/>
    <x v="476"/>
    <n v="1050"/>
    <x v="5"/>
    <x v="2"/>
    <x v="3"/>
    <s v="NA"/>
    <s v="NA"/>
  </r>
  <r>
    <s v="ORD00913"/>
    <d v="2025-12-22T00:00:00"/>
    <s v="C0007"/>
    <s v="Mohit Singh"/>
    <x v="0"/>
    <n v="50"/>
    <x v="6"/>
    <x v="5"/>
    <s v="P101"/>
    <x v="6"/>
    <x v="0"/>
    <x v="0"/>
    <x v="0"/>
    <x v="454"/>
    <n v="2350"/>
    <x v="2"/>
    <x v="1"/>
    <x v="1"/>
    <d v="2025-12-30T00:00:00"/>
    <n v="4"/>
  </r>
  <r>
    <s v="ORD00914"/>
    <d v="2025-09-26T00:00:00"/>
    <s v="C0041"/>
    <s v="Vikas Solanki"/>
    <x v="0"/>
    <n v="52"/>
    <x v="0"/>
    <x v="0"/>
    <s v="P105"/>
    <x v="21"/>
    <x v="0"/>
    <x v="16"/>
    <x v="3"/>
    <x v="290"/>
    <n v="5700"/>
    <x v="1"/>
    <x v="1"/>
    <x v="1"/>
    <d v="2025-09-30T00:00:00"/>
    <n v="5"/>
  </r>
  <r>
    <s v="ORD00915"/>
    <d v="2024-07-28T00:00:00"/>
    <s v="C0020"/>
    <s v="Suman Khan"/>
    <x v="1"/>
    <n v="41"/>
    <x v="6"/>
    <x v="5"/>
    <s v="P504"/>
    <x v="15"/>
    <x v="2"/>
    <x v="11"/>
    <x v="0"/>
    <x v="212"/>
    <n v="8100"/>
    <x v="1"/>
    <x v="1"/>
    <x v="1"/>
    <d v="2024-08-03T00:00:00"/>
    <n v="4"/>
  </r>
  <r>
    <s v="ORD00916"/>
    <d v="2025-10-21T00:00:00"/>
    <s v="C0021"/>
    <s v="Aman Singh"/>
    <x v="0"/>
    <n v="22"/>
    <x v="8"/>
    <x v="7"/>
    <s v="P501"/>
    <x v="8"/>
    <x v="2"/>
    <x v="6"/>
    <x v="3"/>
    <x v="262"/>
    <n v="2790"/>
    <x v="4"/>
    <x v="0"/>
    <x v="2"/>
    <d v="2025-10-28T00:00:00"/>
    <n v="4"/>
  </r>
  <r>
    <s v="ORD00917"/>
    <d v="2024-09-05T00:00:00"/>
    <s v="C0106"/>
    <s v="Mohit Sharma"/>
    <x v="0"/>
    <n v="55"/>
    <x v="0"/>
    <x v="0"/>
    <s v="P502"/>
    <x v="9"/>
    <x v="2"/>
    <x v="5"/>
    <x v="2"/>
    <x v="184"/>
    <n v="840"/>
    <x v="5"/>
    <x v="2"/>
    <x v="2"/>
    <d v="2024-09-13T00:00:00"/>
    <n v="4"/>
  </r>
  <r>
    <s v="ORD00918"/>
    <d v="2024-07-06T00:00:00"/>
    <s v="C0227"/>
    <s v="Anjali Gupta"/>
    <x v="1"/>
    <n v="42"/>
    <x v="11"/>
    <x v="0"/>
    <s v="P103"/>
    <x v="3"/>
    <x v="0"/>
    <x v="3"/>
    <x v="1"/>
    <x v="243"/>
    <n v="1640"/>
    <x v="2"/>
    <x v="0"/>
    <x v="1"/>
    <d v="2024-07-18T00:00:00"/>
    <n v="3"/>
  </r>
  <r>
    <s v="ORD00919"/>
    <d v="2024-07-28T00:00:00"/>
    <s v="C0065"/>
    <s v="Aditya Verma"/>
    <x v="0"/>
    <n v="49"/>
    <x v="2"/>
    <x v="0"/>
    <s v="P106"/>
    <x v="23"/>
    <x v="0"/>
    <x v="0"/>
    <x v="0"/>
    <x v="452"/>
    <n v="3550"/>
    <x v="5"/>
    <x v="0"/>
    <x v="3"/>
    <s v="NA"/>
    <s v="NA"/>
  </r>
  <r>
    <s v="ORD00920"/>
    <d v="2024-03-21T00:00:00"/>
    <s v="C0219"/>
    <s v="Rohan Singh"/>
    <x v="0"/>
    <n v="42"/>
    <x v="3"/>
    <x v="2"/>
    <s v="P202"/>
    <x v="13"/>
    <x v="4"/>
    <x v="8"/>
    <x v="2"/>
    <x v="150"/>
    <n v="8600"/>
    <x v="5"/>
    <x v="0"/>
    <x v="1"/>
    <d v="2024-03-25T00:00:00"/>
    <n v="4"/>
  </r>
  <r>
    <s v="ORD00921"/>
    <d v="2024-11-06T00:00:00"/>
    <s v="C0147"/>
    <s v="Nisha Sharma"/>
    <x v="1"/>
    <n v="41"/>
    <x v="3"/>
    <x v="2"/>
    <s v="P501"/>
    <x v="8"/>
    <x v="2"/>
    <x v="6"/>
    <x v="2"/>
    <x v="8"/>
    <n v="1860"/>
    <x v="0"/>
    <x v="4"/>
    <x v="1"/>
    <d v="2024-11-13T00:00:00"/>
    <n v="5"/>
  </r>
  <r>
    <s v="ORD00922"/>
    <d v="2025-01-21T00:00:00"/>
    <s v="C0086"/>
    <s v="Arjun Verma"/>
    <x v="0"/>
    <n v="45"/>
    <x v="7"/>
    <x v="6"/>
    <s v="P303"/>
    <x v="4"/>
    <x v="1"/>
    <x v="1"/>
    <x v="1"/>
    <x v="477"/>
    <n v="1320"/>
    <x v="3"/>
    <x v="0"/>
    <x v="2"/>
    <d v="2025-01-30T00:00:00"/>
    <n v="2"/>
  </r>
  <r>
    <s v="ORD00923"/>
    <d v="2025-01-25T00:00:00"/>
    <s v="C0219"/>
    <s v="Rohan Singh"/>
    <x v="0"/>
    <n v="42"/>
    <x v="2"/>
    <x v="0"/>
    <s v="P202"/>
    <x v="13"/>
    <x v="4"/>
    <x v="8"/>
    <x v="0"/>
    <x v="32"/>
    <n v="21500"/>
    <x v="6"/>
    <x v="2"/>
    <x v="0"/>
    <d v="2025-01-29T00:00:00"/>
    <n v="4"/>
  </r>
  <r>
    <s v="ORD00924"/>
    <d v="2025-01-24T00:00:00"/>
    <s v="C0238"/>
    <s v="Rohan Mehta"/>
    <x v="0"/>
    <n v="29"/>
    <x v="1"/>
    <x v="1"/>
    <s v="P303"/>
    <x v="4"/>
    <x v="1"/>
    <x v="1"/>
    <x v="3"/>
    <x v="4"/>
    <n v="990"/>
    <x v="3"/>
    <x v="2"/>
    <x v="3"/>
    <s v="NA"/>
    <s v="NA"/>
  </r>
  <r>
    <s v="ORD00925"/>
    <d v="2025-05-07T00:00:00"/>
    <s v="C0037"/>
    <s v="Akash Yadav"/>
    <x v="0"/>
    <n v="31"/>
    <x v="9"/>
    <x v="8"/>
    <s v="P105"/>
    <x v="21"/>
    <x v="0"/>
    <x v="16"/>
    <x v="1"/>
    <x v="57"/>
    <n v="7600"/>
    <x v="5"/>
    <x v="0"/>
    <x v="1"/>
    <d v="2025-05-09T00:00:00"/>
    <n v="2"/>
  </r>
  <r>
    <s v="ORD00926"/>
    <d v="2025-05-27T00:00:00"/>
    <s v="C0192"/>
    <s v="Reena Verma"/>
    <x v="1"/>
    <n v="36"/>
    <x v="7"/>
    <x v="6"/>
    <s v="P301"/>
    <x v="2"/>
    <x v="1"/>
    <x v="2"/>
    <x v="1"/>
    <x v="478"/>
    <n v="840"/>
    <x v="3"/>
    <x v="1"/>
    <x v="1"/>
    <d v="2025-06-05T00:00:00"/>
    <n v="4"/>
  </r>
  <r>
    <s v="ORD00927"/>
    <d v="2025-10-18T00:00:00"/>
    <s v="C0037"/>
    <s v="Akash Yadav"/>
    <x v="0"/>
    <n v="31"/>
    <x v="8"/>
    <x v="7"/>
    <s v="P102"/>
    <x v="0"/>
    <x v="0"/>
    <x v="0"/>
    <x v="4"/>
    <x v="367"/>
    <n v="790"/>
    <x v="3"/>
    <x v="2"/>
    <x v="1"/>
    <d v="2025-10-23T00:00:00"/>
    <n v="5"/>
  </r>
  <r>
    <s v="ORD00928"/>
    <d v="2024-09-18T00:00:00"/>
    <s v="C0179"/>
    <s v="Vikas Gupta"/>
    <x v="0"/>
    <n v="50"/>
    <x v="7"/>
    <x v="6"/>
    <s v="P501"/>
    <x v="8"/>
    <x v="2"/>
    <x v="6"/>
    <x v="3"/>
    <x v="262"/>
    <n v="2790"/>
    <x v="4"/>
    <x v="4"/>
    <x v="1"/>
    <d v="2024-09-23T00:00:00"/>
    <n v="4"/>
  </r>
  <r>
    <s v="ORD00929"/>
    <d v="2025-05-04T00:00:00"/>
    <s v="C0018"/>
    <s v="Nisha Verma"/>
    <x v="1"/>
    <n v="42"/>
    <x v="15"/>
    <x v="8"/>
    <s v="P501"/>
    <x v="8"/>
    <x v="2"/>
    <x v="6"/>
    <x v="4"/>
    <x v="165"/>
    <n v="930"/>
    <x v="6"/>
    <x v="1"/>
    <x v="3"/>
    <s v="NA"/>
    <s v="NA"/>
  </r>
  <r>
    <s v="ORD00930"/>
    <d v="2025-04-11T00:00:00"/>
    <s v="C0076"/>
    <s v="Aman Solanki"/>
    <x v="0"/>
    <n v="32"/>
    <x v="14"/>
    <x v="1"/>
    <s v="P108"/>
    <x v="22"/>
    <x v="0"/>
    <x v="14"/>
    <x v="0"/>
    <x v="460"/>
    <n v="5400"/>
    <x v="6"/>
    <x v="3"/>
    <x v="1"/>
    <d v="2025-04-14T00:00:00"/>
    <n v="5"/>
  </r>
  <r>
    <s v="ORD00931"/>
    <d v="2025-02-11T00:00:00"/>
    <s v="C0042"/>
    <s v="Priya Mishra"/>
    <x v="1"/>
    <n v="55"/>
    <x v="10"/>
    <x v="5"/>
    <s v="P302"/>
    <x v="12"/>
    <x v="1"/>
    <x v="9"/>
    <x v="2"/>
    <x v="229"/>
    <n v="180"/>
    <x v="3"/>
    <x v="1"/>
    <x v="0"/>
    <d v="2025-02-17T00:00:00"/>
    <n v="5"/>
  </r>
  <r>
    <s v="ORD00932"/>
    <d v="2025-08-23T00:00:00"/>
    <s v="C0158"/>
    <s v="Priya Patel"/>
    <x v="1"/>
    <n v="24"/>
    <x v="8"/>
    <x v="7"/>
    <s v="P504"/>
    <x v="15"/>
    <x v="2"/>
    <x v="11"/>
    <x v="4"/>
    <x v="261"/>
    <n v="1620"/>
    <x v="2"/>
    <x v="2"/>
    <x v="2"/>
    <d v="2025-08-30T00:00:00"/>
    <n v="3"/>
  </r>
  <r>
    <s v="ORD00933"/>
    <d v="2024-10-02T00:00:00"/>
    <s v="C0108"/>
    <s v="Vikas Yadav"/>
    <x v="0"/>
    <n v="21"/>
    <x v="12"/>
    <x v="9"/>
    <s v="P503"/>
    <x v="7"/>
    <x v="2"/>
    <x v="5"/>
    <x v="3"/>
    <x v="139"/>
    <n v="2370"/>
    <x v="4"/>
    <x v="0"/>
    <x v="2"/>
    <d v="2024-10-11T00:00:00"/>
    <n v="2"/>
  </r>
  <r>
    <s v="ORD00934"/>
    <d v="2024-04-09T00:00:00"/>
    <s v="C0036"/>
    <s v="Aditya Singh"/>
    <x v="0"/>
    <n v="54"/>
    <x v="8"/>
    <x v="7"/>
    <s v="P401"/>
    <x v="10"/>
    <x v="3"/>
    <x v="7"/>
    <x v="1"/>
    <x v="12"/>
    <n v="1480"/>
    <x v="0"/>
    <x v="4"/>
    <x v="1"/>
    <d v="2024-04-13T00:00:00"/>
    <n v="4"/>
  </r>
  <r>
    <s v="ORD00935"/>
    <d v="2024-07-09T00:00:00"/>
    <s v="C0069"/>
    <s v="Rashmi Khan"/>
    <x v="1"/>
    <n v="45"/>
    <x v="10"/>
    <x v="5"/>
    <s v="P304"/>
    <x v="1"/>
    <x v="1"/>
    <x v="1"/>
    <x v="2"/>
    <x v="326"/>
    <n v="1040"/>
    <x v="2"/>
    <x v="4"/>
    <x v="3"/>
    <s v="NA"/>
    <s v="NA"/>
  </r>
  <r>
    <s v="ORD00936"/>
    <d v="2024-08-05T00:00:00"/>
    <s v="C0096"/>
    <s v="Arjun Sharma"/>
    <x v="0"/>
    <n v="52"/>
    <x v="10"/>
    <x v="5"/>
    <s v="P102"/>
    <x v="0"/>
    <x v="0"/>
    <x v="0"/>
    <x v="2"/>
    <x v="31"/>
    <n v="1580"/>
    <x v="5"/>
    <x v="1"/>
    <x v="2"/>
    <d v="2024-08-13T00:00:00"/>
    <n v="5"/>
  </r>
  <r>
    <s v="ORD00937"/>
    <d v="2025-10-03T00:00:00"/>
    <s v="C0056"/>
    <s v="Rashmi Patel"/>
    <x v="1"/>
    <n v="50"/>
    <x v="5"/>
    <x v="4"/>
    <s v="P103"/>
    <x v="3"/>
    <x v="0"/>
    <x v="3"/>
    <x v="3"/>
    <x v="88"/>
    <n v="1230"/>
    <x v="2"/>
    <x v="4"/>
    <x v="1"/>
    <d v="2025-10-09T00:00:00"/>
    <n v="3"/>
  </r>
  <r>
    <s v="ORD00938"/>
    <d v="2024-12-16T00:00:00"/>
    <s v="C0016"/>
    <s v="Anjali Yadav"/>
    <x v="1"/>
    <n v="56"/>
    <x v="6"/>
    <x v="5"/>
    <s v="P304"/>
    <x v="1"/>
    <x v="1"/>
    <x v="1"/>
    <x v="1"/>
    <x v="479"/>
    <n v="2080"/>
    <x v="2"/>
    <x v="3"/>
    <x v="1"/>
    <d v="2024-12-22T00:00:00"/>
    <n v="2"/>
  </r>
  <r>
    <s v="ORD00939"/>
    <d v="2025-11-12T00:00:00"/>
    <s v="C0299"/>
    <s v="Kunal Yadav"/>
    <x v="0"/>
    <n v="29"/>
    <x v="0"/>
    <x v="0"/>
    <s v="P104"/>
    <x v="19"/>
    <x v="0"/>
    <x v="14"/>
    <x v="2"/>
    <x v="331"/>
    <n v="2460"/>
    <x v="4"/>
    <x v="4"/>
    <x v="3"/>
    <s v="NA"/>
    <s v="NA"/>
  </r>
  <r>
    <s v="ORD00940"/>
    <d v="2025-06-16T00:00:00"/>
    <s v="C0137"/>
    <s v="Mohit Joshi"/>
    <x v="0"/>
    <n v="58"/>
    <x v="7"/>
    <x v="6"/>
    <s v="P304"/>
    <x v="1"/>
    <x v="1"/>
    <x v="1"/>
    <x v="3"/>
    <x v="13"/>
    <n v="1560"/>
    <x v="3"/>
    <x v="1"/>
    <x v="1"/>
    <d v="2025-06-28T00:00:00"/>
    <n v="4"/>
  </r>
  <r>
    <s v="ORD00941"/>
    <d v="2024-11-18T00:00:00"/>
    <s v="C0123"/>
    <s v="Aarav Mehta"/>
    <x v="0"/>
    <n v="57"/>
    <x v="15"/>
    <x v="8"/>
    <s v="P502"/>
    <x v="9"/>
    <x v="2"/>
    <x v="5"/>
    <x v="1"/>
    <x v="422"/>
    <n v="1680"/>
    <x v="3"/>
    <x v="2"/>
    <x v="1"/>
    <d v="2024-11-25T00:00:00"/>
    <n v="4"/>
  </r>
  <r>
    <s v="ORD00942"/>
    <d v="2024-04-12T00:00:00"/>
    <s v="C0002"/>
    <s v="Vikas Gupta"/>
    <x v="0"/>
    <n v="33"/>
    <x v="3"/>
    <x v="2"/>
    <s v="P503"/>
    <x v="7"/>
    <x v="2"/>
    <x v="5"/>
    <x v="1"/>
    <x v="91"/>
    <n v="3160"/>
    <x v="6"/>
    <x v="3"/>
    <x v="3"/>
    <s v="NA"/>
    <s v="NA"/>
  </r>
  <r>
    <s v="ORD00943"/>
    <d v="2024-05-05T00:00:00"/>
    <s v="C0272"/>
    <s v="Aditya Gupta"/>
    <x v="0"/>
    <n v="46"/>
    <x v="14"/>
    <x v="1"/>
    <s v="P503"/>
    <x v="7"/>
    <x v="2"/>
    <x v="5"/>
    <x v="2"/>
    <x v="480"/>
    <n v="1580"/>
    <x v="7"/>
    <x v="4"/>
    <x v="3"/>
    <s v="NA"/>
    <s v="NA"/>
  </r>
  <r>
    <s v="ORD00944"/>
    <d v="2025-12-03T00:00:00"/>
    <s v="C0244"/>
    <s v="Vikas Solanki"/>
    <x v="0"/>
    <n v="21"/>
    <x v="8"/>
    <x v="7"/>
    <s v="P502"/>
    <x v="9"/>
    <x v="2"/>
    <x v="5"/>
    <x v="2"/>
    <x v="207"/>
    <n v="840"/>
    <x v="4"/>
    <x v="1"/>
    <x v="1"/>
    <d v="2025-12-15T00:00:00"/>
    <n v="4"/>
  </r>
  <r>
    <s v="ORD00945"/>
    <d v="2024-02-16T00:00:00"/>
    <s v="C0167"/>
    <s v="Aarav Verma"/>
    <x v="0"/>
    <n v="34"/>
    <x v="3"/>
    <x v="2"/>
    <s v="P108"/>
    <x v="22"/>
    <x v="0"/>
    <x v="14"/>
    <x v="0"/>
    <x v="146"/>
    <n v="5400"/>
    <x v="1"/>
    <x v="4"/>
    <x v="0"/>
    <d v="2024-02-27T00:00:00"/>
    <n v="3"/>
  </r>
  <r>
    <s v="ORD00946"/>
    <d v="2024-12-22T00:00:00"/>
    <s v="C0220"/>
    <s v="Akash Patel"/>
    <x v="0"/>
    <n v="31"/>
    <x v="7"/>
    <x v="6"/>
    <s v="P502"/>
    <x v="9"/>
    <x v="2"/>
    <x v="5"/>
    <x v="4"/>
    <x v="481"/>
    <n v="420"/>
    <x v="3"/>
    <x v="1"/>
    <x v="3"/>
    <s v="NA"/>
    <s v="NA"/>
  </r>
  <r>
    <s v="ORD00947"/>
    <d v="2024-07-18T00:00:00"/>
    <s v="C0074"/>
    <s v="Arjun Singh"/>
    <x v="0"/>
    <n v="32"/>
    <x v="0"/>
    <x v="0"/>
    <s v="P105"/>
    <x v="21"/>
    <x v="0"/>
    <x v="16"/>
    <x v="1"/>
    <x v="419"/>
    <n v="7600"/>
    <x v="2"/>
    <x v="1"/>
    <x v="2"/>
    <d v="2024-07-30T00:00:00"/>
    <n v="5"/>
  </r>
  <r>
    <s v="ORD00948"/>
    <d v="2024-06-21T00:00:00"/>
    <s v="C0229"/>
    <s v="Deepak Singh"/>
    <x v="0"/>
    <n v="49"/>
    <x v="4"/>
    <x v="3"/>
    <s v="P304"/>
    <x v="1"/>
    <x v="1"/>
    <x v="1"/>
    <x v="0"/>
    <x v="334"/>
    <n v="2600"/>
    <x v="5"/>
    <x v="0"/>
    <x v="1"/>
    <d v="2024-06-25T00:00:00"/>
    <n v="3"/>
  </r>
  <r>
    <s v="ORD00949"/>
    <d v="2024-04-18T00:00:00"/>
    <s v="C0223"/>
    <s v="Kavita Sharma"/>
    <x v="1"/>
    <n v="31"/>
    <x v="11"/>
    <x v="0"/>
    <s v="P106"/>
    <x v="23"/>
    <x v="0"/>
    <x v="0"/>
    <x v="3"/>
    <x v="482"/>
    <n v="2130"/>
    <x v="3"/>
    <x v="1"/>
    <x v="1"/>
    <d v="2024-04-24T00:00:00"/>
    <n v="5"/>
  </r>
  <r>
    <s v="ORD00951"/>
    <d v="2025-10-21T00:00:00"/>
    <s v="C0176"/>
    <s v="Anjali Jain"/>
    <x v="1"/>
    <n v="22"/>
    <x v="12"/>
    <x v="9"/>
    <s v="P503"/>
    <x v="7"/>
    <x v="2"/>
    <x v="5"/>
    <x v="1"/>
    <x v="437"/>
    <n v="3160"/>
    <x v="3"/>
    <x v="0"/>
    <x v="1"/>
    <d v="2025-10-27T00:00:00"/>
    <n v="3"/>
  </r>
  <r>
    <s v="ORD00952"/>
    <d v="2024-10-24T00:00:00"/>
    <s v="C0045"/>
    <s v="Rashmi Mehta"/>
    <x v="1"/>
    <n v="23"/>
    <x v="4"/>
    <x v="3"/>
    <s v="P103"/>
    <x v="3"/>
    <x v="0"/>
    <x v="3"/>
    <x v="3"/>
    <x v="483"/>
    <n v="1230"/>
    <x v="5"/>
    <x v="3"/>
    <x v="3"/>
    <s v="NA"/>
    <s v="NA"/>
  </r>
  <r>
    <s v="ORD00953"/>
    <d v="2025-01-11T00:00:00"/>
    <s v="C0066"/>
    <s v="Aditya Solanki"/>
    <x v="0"/>
    <n v="26"/>
    <x v="9"/>
    <x v="8"/>
    <s v="P301"/>
    <x v="2"/>
    <x v="1"/>
    <x v="2"/>
    <x v="0"/>
    <x v="459"/>
    <n v="1050"/>
    <x v="4"/>
    <x v="1"/>
    <x v="1"/>
    <d v="2025-01-22T00:00:00"/>
    <n v="4"/>
  </r>
  <r>
    <s v="ORD00954"/>
    <d v="2025-02-01T00:00:00"/>
    <s v="C0217"/>
    <s v="Priya Yadav"/>
    <x v="1"/>
    <n v="38"/>
    <x v="9"/>
    <x v="8"/>
    <s v="P204"/>
    <x v="20"/>
    <x v="4"/>
    <x v="15"/>
    <x v="2"/>
    <x v="69"/>
    <n v="3740"/>
    <x v="5"/>
    <x v="3"/>
    <x v="1"/>
    <d v="2025-02-03T00:00:00"/>
    <n v="5"/>
  </r>
  <r>
    <s v="ORD00955"/>
    <d v="2024-11-19T00:00:00"/>
    <s v="C0075"/>
    <s v="Aditya Yadav"/>
    <x v="0"/>
    <n v="19"/>
    <x v="1"/>
    <x v="1"/>
    <s v="P108"/>
    <x v="22"/>
    <x v="0"/>
    <x v="14"/>
    <x v="1"/>
    <x v="252"/>
    <n v="4320"/>
    <x v="1"/>
    <x v="0"/>
    <x v="3"/>
    <s v="NA"/>
    <s v="NA"/>
  </r>
  <r>
    <s v="ORD00956"/>
    <d v="2024-10-17T00:00:00"/>
    <s v="C0075"/>
    <s v="Aditya Yadav"/>
    <x v="0"/>
    <n v="19"/>
    <x v="0"/>
    <x v="0"/>
    <s v="P404"/>
    <x v="14"/>
    <x v="3"/>
    <x v="10"/>
    <x v="3"/>
    <x v="471"/>
    <n v="1830"/>
    <x v="0"/>
    <x v="2"/>
    <x v="0"/>
    <d v="2024-10-20T00:00:00"/>
    <n v="4"/>
  </r>
  <r>
    <s v="ORD00957"/>
    <d v="2025-12-24T00:00:00"/>
    <s v="C0294"/>
    <s v="Akash Patel"/>
    <x v="0"/>
    <n v="30"/>
    <x v="7"/>
    <x v="6"/>
    <s v="P501"/>
    <x v="8"/>
    <x v="2"/>
    <x v="6"/>
    <x v="2"/>
    <x v="19"/>
    <n v="1860"/>
    <x v="1"/>
    <x v="1"/>
    <x v="0"/>
    <d v="2026-01-01T00:00:00"/>
    <n v="2"/>
  </r>
  <r>
    <s v="ORD00958"/>
    <d v="2024-12-07T00:00:00"/>
    <s v="C0079"/>
    <s v="Vivaan Singh"/>
    <x v="0"/>
    <n v="22"/>
    <x v="10"/>
    <x v="5"/>
    <s v="P504"/>
    <x v="15"/>
    <x v="2"/>
    <x v="11"/>
    <x v="2"/>
    <x v="145"/>
    <n v="3240"/>
    <x v="4"/>
    <x v="0"/>
    <x v="2"/>
    <d v="2024-12-16T00:00:00"/>
    <n v="5"/>
  </r>
  <r>
    <s v="ORD00959"/>
    <d v="2024-11-02T00:00:00"/>
    <s v="C0082"/>
    <s v="Reena Mehta"/>
    <x v="1"/>
    <n v="31"/>
    <x v="11"/>
    <x v="0"/>
    <s v="P402"/>
    <x v="18"/>
    <x v="3"/>
    <x v="7"/>
    <x v="1"/>
    <x v="78"/>
    <n v="2040"/>
    <x v="7"/>
    <x v="4"/>
    <x v="0"/>
    <d v="2024-11-11T00:00:00"/>
    <n v="4"/>
  </r>
  <r>
    <s v="ORD00960"/>
    <d v="2025-02-04T00:00:00"/>
    <s v="C0201"/>
    <s v="Muskan Jain"/>
    <x v="1"/>
    <n v="33"/>
    <x v="2"/>
    <x v="0"/>
    <s v="P401"/>
    <x v="10"/>
    <x v="3"/>
    <x v="7"/>
    <x v="3"/>
    <x v="384"/>
    <n v="1110"/>
    <x v="0"/>
    <x v="0"/>
    <x v="0"/>
    <d v="2025-02-14T00:00:00"/>
    <n v="5"/>
  </r>
  <r>
    <s v="ORD00961"/>
    <d v="2024-04-09T00:00:00"/>
    <s v="C0068"/>
    <s v="Nisha Patel"/>
    <x v="1"/>
    <n v="34"/>
    <x v="9"/>
    <x v="8"/>
    <s v="P403"/>
    <x v="17"/>
    <x v="3"/>
    <x v="13"/>
    <x v="4"/>
    <x v="115"/>
    <n v="760"/>
    <x v="0"/>
    <x v="4"/>
    <x v="0"/>
    <d v="2024-04-13T00:00:00"/>
    <n v="3"/>
  </r>
  <r>
    <s v="ORD00962"/>
    <d v="2025-03-28T00:00:00"/>
    <s v="C0248"/>
    <s v="Deepak Patel"/>
    <x v="0"/>
    <n v="33"/>
    <x v="1"/>
    <x v="1"/>
    <s v="P105"/>
    <x v="21"/>
    <x v="0"/>
    <x v="16"/>
    <x v="2"/>
    <x v="484"/>
    <n v="3800"/>
    <x v="5"/>
    <x v="0"/>
    <x v="0"/>
    <d v="2025-04-09T00:00:00"/>
    <n v="2"/>
  </r>
  <r>
    <s v="ORD00963"/>
    <d v="2025-01-05T00:00:00"/>
    <s v="C0295"/>
    <s v="Mohit Mishra"/>
    <x v="0"/>
    <n v="48"/>
    <x v="4"/>
    <x v="3"/>
    <s v="P502"/>
    <x v="9"/>
    <x v="2"/>
    <x v="5"/>
    <x v="2"/>
    <x v="485"/>
    <n v="840"/>
    <x v="3"/>
    <x v="4"/>
    <x v="0"/>
    <d v="2025-01-09T00:00:00"/>
    <n v="2"/>
  </r>
  <r>
    <s v="ORD00964"/>
    <d v="2024-04-08T00:00:00"/>
    <s v="C0183"/>
    <s v="Kavita Joshi"/>
    <x v="1"/>
    <n v="42"/>
    <x v="7"/>
    <x v="6"/>
    <s v="P106"/>
    <x v="23"/>
    <x v="0"/>
    <x v="0"/>
    <x v="4"/>
    <x v="228"/>
    <n v="710"/>
    <x v="2"/>
    <x v="2"/>
    <x v="0"/>
    <d v="2024-04-15T00:00:00"/>
    <n v="5"/>
  </r>
  <r>
    <s v="ORD00965"/>
    <d v="2024-06-01T00:00:00"/>
    <s v="C0207"/>
    <s v="Rohan Mehta"/>
    <x v="0"/>
    <n v="51"/>
    <x v="6"/>
    <x v="5"/>
    <s v="P102"/>
    <x v="0"/>
    <x v="0"/>
    <x v="0"/>
    <x v="4"/>
    <x v="427"/>
    <n v="790"/>
    <x v="5"/>
    <x v="4"/>
    <x v="1"/>
    <d v="2024-06-07T00:00:00"/>
    <n v="3"/>
  </r>
  <r>
    <s v="ORD00966"/>
    <d v="2025-10-30T00:00:00"/>
    <s v="C0193"/>
    <s v="Rashmi Joshi"/>
    <x v="1"/>
    <n v="58"/>
    <x v="2"/>
    <x v="0"/>
    <s v="P303"/>
    <x v="4"/>
    <x v="1"/>
    <x v="1"/>
    <x v="1"/>
    <x v="486"/>
    <n v="1320"/>
    <x v="0"/>
    <x v="4"/>
    <x v="1"/>
    <d v="2025-11-01T00:00:00"/>
    <n v="3"/>
  </r>
  <r>
    <s v="ORD00967"/>
    <d v="2024-04-29T00:00:00"/>
    <s v="C0043"/>
    <s v="Kavita Khan"/>
    <x v="1"/>
    <n v="43"/>
    <x v="4"/>
    <x v="3"/>
    <s v="P304"/>
    <x v="1"/>
    <x v="1"/>
    <x v="1"/>
    <x v="0"/>
    <x v="334"/>
    <n v="2600"/>
    <x v="5"/>
    <x v="3"/>
    <x v="3"/>
    <s v="NA"/>
    <s v="NA"/>
  </r>
  <r>
    <s v="ORD00968"/>
    <d v="2025-08-09T00:00:00"/>
    <s v="C0294"/>
    <s v="Akash Patel"/>
    <x v="0"/>
    <n v="30"/>
    <x v="7"/>
    <x v="6"/>
    <s v="P201"/>
    <x v="11"/>
    <x v="4"/>
    <x v="8"/>
    <x v="4"/>
    <x v="487"/>
    <n v="5100"/>
    <x v="6"/>
    <x v="4"/>
    <x v="1"/>
    <d v="2025-08-21T00:00:00"/>
    <n v="5"/>
  </r>
  <r>
    <s v="ORD00969"/>
    <d v="2024-11-01T00:00:00"/>
    <s v="C0293"/>
    <s v="Pooja Verma"/>
    <x v="1"/>
    <n v="52"/>
    <x v="13"/>
    <x v="4"/>
    <s v="P104"/>
    <x v="19"/>
    <x v="0"/>
    <x v="14"/>
    <x v="3"/>
    <x v="416"/>
    <n v="3690"/>
    <x v="2"/>
    <x v="2"/>
    <x v="1"/>
    <d v="2024-11-09T00:00:00"/>
    <n v="2"/>
  </r>
  <r>
    <s v="ORD00970"/>
    <d v="2025-02-07T00:00:00"/>
    <s v="C0285"/>
    <s v="Neha Singh"/>
    <x v="1"/>
    <n v="43"/>
    <x v="7"/>
    <x v="6"/>
    <s v="P103"/>
    <x v="3"/>
    <x v="0"/>
    <x v="3"/>
    <x v="0"/>
    <x v="414"/>
    <n v="2050"/>
    <x v="2"/>
    <x v="0"/>
    <x v="0"/>
    <d v="2025-02-10T00:00:00"/>
    <n v="3"/>
  </r>
  <r>
    <s v="ORD00971"/>
    <d v="2025-09-05T00:00:00"/>
    <s v="C0093"/>
    <s v="Rohan Jain"/>
    <x v="0"/>
    <n v="29"/>
    <x v="11"/>
    <x v="0"/>
    <s v="P402"/>
    <x v="18"/>
    <x v="3"/>
    <x v="7"/>
    <x v="1"/>
    <x v="78"/>
    <n v="2040"/>
    <x v="7"/>
    <x v="3"/>
    <x v="1"/>
    <d v="2025-09-09T00:00:00"/>
    <n v="4"/>
  </r>
  <r>
    <s v="ORD00972"/>
    <d v="2025-10-30T00:00:00"/>
    <s v="C0083"/>
    <s v="Nisha Patel"/>
    <x v="1"/>
    <n v="54"/>
    <x v="2"/>
    <x v="0"/>
    <s v="P402"/>
    <x v="18"/>
    <x v="3"/>
    <x v="7"/>
    <x v="3"/>
    <x v="78"/>
    <n v="1530"/>
    <x v="4"/>
    <x v="3"/>
    <x v="1"/>
    <d v="2025-11-09T00:00:00"/>
    <n v="4"/>
  </r>
  <r>
    <s v="ORD00973"/>
    <d v="2025-01-07T00:00:00"/>
    <s v="C0279"/>
    <s v="Akash Gupta"/>
    <x v="0"/>
    <n v="53"/>
    <x v="5"/>
    <x v="4"/>
    <s v="P302"/>
    <x v="12"/>
    <x v="1"/>
    <x v="9"/>
    <x v="4"/>
    <x v="16"/>
    <n v="90"/>
    <x v="5"/>
    <x v="1"/>
    <x v="1"/>
    <d v="2025-01-17T00:00:00"/>
    <n v="4"/>
  </r>
  <r>
    <s v="ORD00974"/>
    <d v="2025-11-05T00:00:00"/>
    <s v="C0274"/>
    <s v="Deepak Joshi"/>
    <x v="0"/>
    <n v="42"/>
    <x v="3"/>
    <x v="2"/>
    <s v="P105"/>
    <x v="21"/>
    <x v="0"/>
    <x v="16"/>
    <x v="0"/>
    <x v="351"/>
    <n v="9500"/>
    <x v="1"/>
    <x v="1"/>
    <x v="3"/>
    <s v="NA"/>
    <s v="NA"/>
  </r>
  <r>
    <s v="ORD00975"/>
    <d v="2024-12-26T00:00:00"/>
    <s v="C0276"/>
    <s v="Pooja Patel"/>
    <x v="1"/>
    <n v="49"/>
    <x v="10"/>
    <x v="5"/>
    <s v="P503"/>
    <x v="7"/>
    <x v="2"/>
    <x v="5"/>
    <x v="4"/>
    <x v="449"/>
    <n v="790"/>
    <x v="4"/>
    <x v="0"/>
    <x v="1"/>
    <d v="2024-12-31T00:00:00"/>
    <n v="3"/>
  </r>
  <r>
    <s v="ORD00976"/>
    <d v="2024-11-02T00:00:00"/>
    <s v="C0111"/>
    <s v="Vivaan Solanki"/>
    <x v="0"/>
    <n v="23"/>
    <x v="13"/>
    <x v="4"/>
    <s v="P404"/>
    <x v="14"/>
    <x v="3"/>
    <x v="10"/>
    <x v="0"/>
    <x v="488"/>
    <n v="3050"/>
    <x v="5"/>
    <x v="2"/>
    <x v="1"/>
    <d v="2024-11-08T00:00:00"/>
    <n v="3"/>
  </r>
  <r>
    <s v="ORD00977"/>
    <d v="2025-09-29T00:00:00"/>
    <s v="C0217"/>
    <s v="Priya Yadav"/>
    <x v="1"/>
    <n v="38"/>
    <x v="2"/>
    <x v="0"/>
    <s v="P402"/>
    <x v="18"/>
    <x v="3"/>
    <x v="7"/>
    <x v="3"/>
    <x v="1"/>
    <n v="1530"/>
    <x v="0"/>
    <x v="4"/>
    <x v="0"/>
    <d v="2025-10-03T00:00:00"/>
    <n v="5"/>
  </r>
  <r>
    <s v="ORD00978"/>
    <d v="2025-04-12T00:00:00"/>
    <s v="C0043"/>
    <s v="Kavita Khan"/>
    <x v="1"/>
    <n v="43"/>
    <x v="14"/>
    <x v="1"/>
    <s v="P502"/>
    <x v="9"/>
    <x v="2"/>
    <x v="5"/>
    <x v="1"/>
    <x v="173"/>
    <n v="1680"/>
    <x v="6"/>
    <x v="2"/>
    <x v="1"/>
    <d v="2025-04-15T00:00:00"/>
    <n v="4"/>
  </r>
  <r>
    <s v="ORD00979"/>
    <d v="2025-10-10T00:00:00"/>
    <s v="C0099"/>
    <s v="Muskan Singh"/>
    <x v="1"/>
    <n v="43"/>
    <x v="15"/>
    <x v="8"/>
    <s v="P403"/>
    <x v="17"/>
    <x v="3"/>
    <x v="13"/>
    <x v="0"/>
    <x v="489"/>
    <n v="3800"/>
    <x v="6"/>
    <x v="4"/>
    <x v="2"/>
    <d v="2025-10-14T00:00:00"/>
    <n v="4"/>
  </r>
  <r>
    <s v="ORD00980"/>
    <d v="2025-03-20T00:00:00"/>
    <s v="C0195"/>
    <s v="Kunal Joshi"/>
    <x v="0"/>
    <n v="37"/>
    <x v="11"/>
    <x v="0"/>
    <s v="P404"/>
    <x v="14"/>
    <x v="3"/>
    <x v="10"/>
    <x v="2"/>
    <x v="388"/>
    <n v="1220"/>
    <x v="2"/>
    <x v="1"/>
    <x v="1"/>
    <d v="2025-03-30T00:00:00"/>
    <n v="3"/>
  </r>
  <r>
    <s v="ORD00981"/>
    <d v="2025-12-01T00:00:00"/>
    <s v="C0281"/>
    <s v="Aditya Singh"/>
    <x v="0"/>
    <n v="44"/>
    <x v="8"/>
    <x v="7"/>
    <s v="P103"/>
    <x v="3"/>
    <x v="0"/>
    <x v="3"/>
    <x v="3"/>
    <x v="88"/>
    <n v="1230"/>
    <x v="2"/>
    <x v="1"/>
    <x v="1"/>
    <d v="2025-12-07T00:00:00"/>
    <n v="3"/>
  </r>
  <r>
    <s v="ORD00982"/>
    <d v="2024-08-19T00:00:00"/>
    <s v="C0141"/>
    <s v="Vivaan Sharma"/>
    <x v="0"/>
    <n v="39"/>
    <x v="11"/>
    <x v="0"/>
    <s v="P104"/>
    <x v="19"/>
    <x v="0"/>
    <x v="14"/>
    <x v="1"/>
    <x v="490"/>
    <n v="4920"/>
    <x v="5"/>
    <x v="4"/>
    <x v="1"/>
    <d v="2024-08-22T00:00:00"/>
    <n v="3"/>
  </r>
  <r>
    <s v="ORD00983"/>
    <d v="2025-06-23T00:00:00"/>
    <s v="C0157"/>
    <s v="Kavita Joshi"/>
    <x v="1"/>
    <n v="33"/>
    <x v="7"/>
    <x v="6"/>
    <s v="P104"/>
    <x v="19"/>
    <x v="0"/>
    <x v="14"/>
    <x v="0"/>
    <x v="377"/>
    <n v="6150"/>
    <x v="7"/>
    <x v="2"/>
    <x v="2"/>
    <d v="2025-06-29T00:00:00"/>
    <n v="4"/>
  </r>
  <r>
    <s v="ORD00984"/>
    <d v="2025-09-14T00:00:00"/>
    <s v="C0051"/>
    <s v="Aarav Joshi"/>
    <x v="0"/>
    <n v="25"/>
    <x v="0"/>
    <x v="0"/>
    <s v="P106"/>
    <x v="23"/>
    <x v="0"/>
    <x v="0"/>
    <x v="3"/>
    <x v="482"/>
    <n v="2130"/>
    <x v="3"/>
    <x v="0"/>
    <x v="1"/>
    <d v="2025-09-26T00:00:00"/>
    <n v="5"/>
  </r>
  <r>
    <s v="ORD00985"/>
    <d v="2025-05-03T00:00:00"/>
    <s v="C0066"/>
    <s v="Aditya Solanki"/>
    <x v="0"/>
    <n v="26"/>
    <x v="14"/>
    <x v="1"/>
    <s v="P101"/>
    <x v="6"/>
    <x v="0"/>
    <x v="0"/>
    <x v="0"/>
    <x v="426"/>
    <n v="2350"/>
    <x v="6"/>
    <x v="0"/>
    <x v="1"/>
    <d v="2025-05-11T00:00:00"/>
    <n v="4"/>
  </r>
  <r>
    <s v="ORD00986"/>
    <d v="2024-02-24T00:00:00"/>
    <s v="C0190"/>
    <s v="Riya Mehta"/>
    <x v="1"/>
    <n v="31"/>
    <x v="6"/>
    <x v="5"/>
    <s v="P502"/>
    <x v="9"/>
    <x v="2"/>
    <x v="5"/>
    <x v="0"/>
    <x v="42"/>
    <n v="2100"/>
    <x v="3"/>
    <x v="4"/>
    <x v="1"/>
    <d v="2024-03-04T00:00:00"/>
    <n v="4"/>
  </r>
  <r>
    <s v="ORD00987"/>
    <d v="2025-04-24T00:00:00"/>
    <s v="C0258"/>
    <s v="Aditya Khan"/>
    <x v="0"/>
    <n v="58"/>
    <x v="1"/>
    <x v="1"/>
    <s v="P201"/>
    <x v="11"/>
    <x v="4"/>
    <x v="8"/>
    <x v="1"/>
    <x v="491"/>
    <n v="20400"/>
    <x v="5"/>
    <x v="1"/>
    <x v="0"/>
    <d v="2025-04-27T00:00:00"/>
    <n v="4"/>
  </r>
  <r>
    <s v="ORD00988"/>
    <d v="2025-02-20T00:00:00"/>
    <s v="C0161"/>
    <s v="Anjali Gupta"/>
    <x v="1"/>
    <n v="32"/>
    <x v="2"/>
    <x v="0"/>
    <s v="P501"/>
    <x v="8"/>
    <x v="2"/>
    <x v="6"/>
    <x v="4"/>
    <x v="492"/>
    <n v="930"/>
    <x v="2"/>
    <x v="0"/>
    <x v="1"/>
    <d v="2025-02-24T00:00:00"/>
    <n v="2"/>
  </r>
  <r>
    <s v="ORD00989"/>
    <d v="2024-03-27T00:00:00"/>
    <s v="C0147"/>
    <s v="Nisha Sharma"/>
    <x v="1"/>
    <n v="41"/>
    <x v="7"/>
    <x v="6"/>
    <s v="P101"/>
    <x v="6"/>
    <x v="0"/>
    <x v="0"/>
    <x v="1"/>
    <x v="173"/>
    <n v="1880"/>
    <x v="6"/>
    <x v="4"/>
    <x v="1"/>
    <d v="2024-04-06T00:00:00"/>
    <n v="3"/>
  </r>
  <r>
    <s v="ORD00990"/>
    <d v="2025-02-19T00:00:00"/>
    <s v="C0008"/>
    <s v="Deepak Sharma"/>
    <x v="0"/>
    <n v="53"/>
    <x v="10"/>
    <x v="5"/>
    <s v="P504"/>
    <x v="15"/>
    <x v="2"/>
    <x v="11"/>
    <x v="4"/>
    <x v="142"/>
    <n v="1620"/>
    <x v="3"/>
    <x v="2"/>
    <x v="0"/>
    <d v="2025-02-26T00:00:00"/>
    <n v="4"/>
  </r>
  <r>
    <s v="ORD00991"/>
    <d v="2025-11-08T00:00:00"/>
    <s v="C0271"/>
    <s v="Priya Yadav"/>
    <x v="1"/>
    <n v="33"/>
    <x v="0"/>
    <x v="0"/>
    <s v="P404"/>
    <x v="14"/>
    <x v="3"/>
    <x v="10"/>
    <x v="1"/>
    <x v="337"/>
    <n v="2440"/>
    <x v="6"/>
    <x v="2"/>
    <x v="1"/>
    <d v="2025-11-12T00:00:00"/>
    <n v="3"/>
  </r>
  <r>
    <s v="ORD00992"/>
    <d v="2025-01-10T00:00:00"/>
    <s v="C0069"/>
    <s v="Rashmi Khan"/>
    <x v="1"/>
    <n v="45"/>
    <x v="15"/>
    <x v="8"/>
    <s v="P102"/>
    <x v="0"/>
    <x v="0"/>
    <x v="0"/>
    <x v="1"/>
    <x v="33"/>
    <n v="3160"/>
    <x v="1"/>
    <x v="4"/>
    <x v="1"/>
    <d v="2025-01-17T00:00:00"/>
    <n v="3"/>
  </r>
  <r>
    <s v="ORD00993"/>
    <d v="2024-12-12T00:00:00"/>
    <s v="C0128"/>
    <s v="Neha Patel"/>
    <x v="1"/>
    <n v="46"/>
    <x v="4"/>
    <x v="3"/>
    <s v="P202"/>
    <x v="13"/>
    <x v="4"/>
    <x v="8"/>
    <x v="3"/>
    <x v="22"/>
    <n v="12900"/>
    <x v="1"/>
    <x v="1"/>
    <x v="1"/>
    <d v="2024-12-17T00:00:00"/>
    <n v="2"/>
  </r>
  <r>
    <s v="ORD00994"/>
    <d v="2025-10-08T00:00:00"/>
    <s v="C0292"/>
    <s v="Kunal Verma"/>
    <x v="0"/>
    <n v="30"/>
    <x v="12"/>
    <x v="9"/>
    <s v="P107"/>
    <x v="5"/>
    <x v="0"/>
    <x v="4"/>
    <x v="3"/>
    <x v="162"/>
    <n v="2760"/>
    <x v="4"/>
    <x v="4"/>
    <x v="3"/>
    <s v="NA"/>
    <s v="NA"/>
  </r>
  <r>
    <s v="ORD00995"/>
    <d v="2025-05-14T00:00:00"/>
    <s v="C0030"/>
    <s v="Nisha Mishra"/>
    <x v="1"/>
    <n v="33"/>
    <x v="15"/>
    <x v="8"/>
    <s v="P101"/>
    <x v="6"/>
    <x v="0"/>
    <x v="0"/>
    <x v="0"/>
    <x v="222"/>
    <n v="2350"/>
    <x v="1"/>
    <x v="1"/>
    <x v="1"/>
    <d v="2025-05-21T00:00:00"/>
    <n v="3"/>
  </r>
  <r>
    <s v="ORD00996"/>
    <d v="2024-01-06T00:00:00"/>
    <s v="C0180"/>
    <s v="Neha Joshi"/>
    <x v="1"/>
    <n v="44"/>
    <x v="5"/>
    <x v="4"/>
    <s v="P301"/>
    <x v="2"/>
    <x v="1"/>
    <x v="2"/>
    <x v="3"/>
    <x v="398"/>
    <n v="630"/>
    <x v="4"/>
    <x v="3"/>
    <x v="1"/>
    <d v="2024-01-15T00:00:00"/>
    <n v="4"/>
  </r>
  <r>
    <s v="ORD00997"/>
    <d v="2024-03-27T00:00:00"/>
    <s v="C0271"/>
    <s v="Priya Yadav"/>
    <x v="1"/>
    <n v="33"/>
    <x v="13"/>
    <x v="4"/>
    <s v="P302"/>
    <x v="12"/>
    <x v="1"/>
    <x v="9"/>
    <x v="4"/>
    <x v="493"/>
    <n v="90"/>
    <x v="1"/>
    <x v="3"/>
    <x v="1"/>
    <d v="2024-04-08T00:00:00"/>
    <n v="4"/>
  </r>
  <r>
    <s v="ORD00998"/>
    <d v="2024-08-19T00:00:00"/>
    <s v="C0241"/>
    <s v="Pooja Yadav"/>
    <x v="1"/>
    <n v="42"/>
    <x v="12"/>
    <x v="9"/>
    <s v="P204"/>
    <x v="20"/>
    <x v="4"/>
    <x v="15"/>
    <x v="3"/>
    <x v="118"/>
    <n v="5610"/>
    <x v="7"/>
    <x v="4"/>
    <x v="1"/>
    <d v="2024-08-29T00:00:00"/>
    <n v="4"/>
  </r>
  <r>
    <s v="ORD00999"/>
    <d v="2024-04-21T00:00:00"/>
    <s v="C0225"/>
    <s v="Akash Sharma"/>
    <x v="0"/>
    <n v="54"/>
    <x v="3"/>
    <x v="2"/>
    <s v="P106"/>
    <x v="23"/>
    <x v="0"/>
    <x v="0"/>
    <x v="2"/>
    <x v="494"/>
    <n v="1420"/>
    <x v="7"/>
    <x v="4"/>
    <x v="1"/>
    <d v="2024-04-28T00:00:00"/>
    <n v="4"/>
  </r>
  <r>
    <s v="ORD01000"/>
    <d v="2024-04-23T00:00:00"/>
    <s v="C0098"/>
    <s v="Rahul Jain"/>
    <x v="0"/>
    <n v="49"/>
    <x v="1"/>
    <x v="1"/>
    <s v="P102"/>
    <x v="0"/>
    <x v="0"/>
    <x v="0"/>
    <x v="2"/>
    <x v="48"/>
    <n v="1580"/>
    <x v="3"/>
    <x v="4"/>
    <x v="0"/>
    <d v="2024-04-30T00:00:00"/>
    <n v="2"/>
  </r>
  <r>
    <m/>
    <s v="NA"/>
    <m/>
    <m/>
    <x v="2"/>
    <m/>
    <x v="18"/>
    <x v="10"/>
    <m/>
    <x v="25"/>
    <x v="5"/>
    <x v="17"/>
    <x v="6"/>
    <x v="495"/>
    <m/>
    <x v="9"/>
    <x v="7"/>
    <x v="4"/>
    <m/>
    <m/>
  </r>
  <r>
    <m/>
    <s v="NA"/>
    <m/>
    <m/>
    <x v="2"/>
    <m/>
    <x v="18"/>
    <x v="10"/>
    <m/>
    <x v="25"/>
    <x v="5"/>
    <x v="17"/>
    <x v="6"/>
    <x v="495"/>
    <m/>
    <x v="9"/>
    <x v="7"/>
    <x v="4"/>
    <m/>
    <m/>
  </r>
  <r>
    <m/>
    <s v="NA"/>
    <m/>
    <m/>
    <x v="2"/>
    <m/>
    <x v="18"/>
    <x v="10"/>
    <m/>
    <x v="25"/>
    <x v="5"/>
    <x v="17"/>
    <x v="6"/>
    <x v="495"/>
    <m/>
    <x v="9"/>
    <x v="7"/>
    <x v="4"/>
    <m/>
    <m/>
  </r>
  <r>
    <m/>
    <s v="NA"/>
    <m/>
    <m/>
    <x v="2"/>
    <m/>
    <x v="18"/>
    <x v="10"/>
    <m/>
    <x v="25"/>
    <x v="5"/>
    <x v="17"/>
    <x v="6"/>
    <x v="495"/>
    <m/>
    <x v="9"/>
    <x v="7"/>
    <x v="4"/>
    <m/>
    <m/>
  </r>
  <r>
    <m/>
    <s v="NA"/>
    <m/>
    <m/>
    <x v="2"/>
    <m/>
    <x v="18"/>
    <x v="10"/>
    <m/>
    <x v="25"/>
    <x v="5"/>
    <x v="17"/>
    <x v="6"/>
    <x v="495"/>
    <m/>
    <x v="9"/>
    <x v="7"/>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B310A-B8EF-4483-A946-1E669E46C411}"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A2:J10" firstHeaderRow="1" firstDataRow="2" firstDataCol="1"/>
  <pivotFields count="20">
    <pivotField showAll="0"/>
    <pivotField showAll="0"/>
    <pivotField showAll="0"/>
    <pivotField showAll="0"/>
    <pivotField showAll="0">
      <items count="4">
        <item x="1"/>
        <item x="0"/>
        <item x="2"/>
        <item t="default"/>
      </items>
    </pivotField>
    <pivotField showAll="0"/>
    <pivotField showAll="0">
      <items count="20">
        <item x="14"/>
        <item x="12"/>
        <item x="11"/>
        <item x="17"/>
        <item x="3"/>
        <item x="4"/>
        <item x="2"/>
        <item x="8"/>
        <item x="0"/>
        <item x="10"/>
        <item x="15"/>
        <item x="7"/>
        <item x="6"/>
        <item x="9"/>
        <item x="13"/>
        <item x="16"/>
        <item x="5"/>
        <item x="1"/>
        <item x="18"/>
        <item t="default"/>
      </items>
    </pivotField>
    <pivotField showAll="0">
      <items count="12">
        <item x="3"/>
        <item x="1"/>
        <item x="9"/>
        <item x="0"/>
        <item x="4"/>
        <item x="5"/>
        <item x="2"/>
        <item x="7"/>
        <item x="8"/>
        <item x="6"/>
        <item x="10"/>
        <item t="default"/>
      </items>
    </pivotField>
    <pivotField showAll="0"/>
    <pivotField showAll="0">
      <items count="27">
        <item x="8"/>
        <item x="12"/>
        <item x="17"/>
        <item x="20"/>
        <item x="19"/>
        <item x="16"/>
        <item x="1"/>
        <item x="4"/>
        <item x="22"/>
        <item x="0"/>
        <item x="23"/>
        <item x="18"/>
        <item x="9"/>
        <item x="2"/>
        <item x="11"/>
        <item x="5"/>
        <item x="21"/>
        <item x="15"/>
        <item x="13"/>
        <item x="3"/>
        <item x="14"/>
        <item x="10"/>
        <item x="6"/>
        <item x="24"/>
        <item x="7"/>
        <item x="25"/>
        <item t="default"/>
      </items>
    </pivotField>
    <pivotField axis="axisRow" showAll="0">
      <items count="7">
        <item x="0"/>
        <item x="2"/>
        <item x="4"/>
        <item x="3"/>
        <item x="1"/>
        <item x="5"/>
        <item t="default"/>
      </items>
    </pivotField>
    <pivotField showAll="0"/>
    <pivotField showAll="0"/>
    <pivotField showAll="0"/>
    <pivotField showAll="0"/>
    <pivotField showAll="0"/>
    <pivotField axis="axisCol" dataField="1" showAll="0">
      <items count="9">
        <item x="0"/>
        <item x="1"/>
        <item x="4"/>
        <item x="5"/>
        <item x="2"/>
        <item x="3"/>
        <item x="6"/>
        <item x="7"/>
        <item t="default"/>
      </items>
    </pivotField>
    <pivotField showAll="0">
      <items count="6">
        <item x="3"/>
        <item x="1"/>
        <item x="0"/>
        <item x="2"/>
        <item x="4"/>
        <item t="default"/>
      </items>
    </pivotField>
    <pivotField showAll="0"/>
    <pivotField showAll="0"/>
  </pivotFields>
  <rowFields count="1">
    <field x="10"/>
  </rowFields>
  <rowItems count="7">
    <i>
      <x/>
    </i>
    <i>
      <x v="1"/>
    </i>
    <i>
      <x v="2"/>
    </i>
    <i>
      <x v="3"/>
    </i>
    <i>
      <x v="4"/>
    </i>
    <i>
      <x v="5"/>
    </i>
    <i t="grand">
      <x/>
    </i>
  </rowItems>
  <colFields count="1">
    <field x="16"/>
  </colFields>
  <colItems count="9">
    <i>
      <x/>
    </i>
    <i>
      <x v="1"/>
    </i>
    <i>
      <x v="2"/>
    </i>
    <i>
      <x v="3"/>
    </i>
    <i>
      <x v="4"/>
    </i>
    <i>
      <x v="5"/>
    </i>
    <i>
      <x v="6"/>
    </i>
    <i>
      <x v="7"/>
    </i>
    <i t="grand">
      <x/>
    </i>
  </colItems>
  <dataFields count="1">
    <dataField name="Count of Payment_Mode" fld="16" subtotal="count" baseField="0" baseItem="0"/>
  </dataFields>
  <chartFormats count="81">
    <chartFormat chart="2" format="16" series="1">
      <pivotArea type="data" outline="0" fieldPosition="0">
        <references count="2">
          <reference field="4294967294" count="1" selected="0">
            <x v="0"/>
          </reference>
          <reference field="16" count="1" selected="0">
            <x v="0"/>
          </reference>
        </references>
      </pivotArea>
    </chartFormat>
    <chartFormat chart="2" format="17" series="1">
      <pivotArea type="data" outline="0" fieldPosition="0">
        <references count="2">
          <reference field="4294967294" count="1" selected="0">
            <x v="0"/>
          </reference>
          <reference field="16" count="1" selected="0">
            <x v="1"/>
          </reference>
        </references>
      </pivotArea>
    </chartFormat>
    <chartFormat chart="2" format="18" series="1">
      <pivotArea type="data" outline="0" fieldPosition="0">
        <references count="2">
          <reference field="4294967294" count="1" selected="0">
            <x v="0"/>
          </reference>
          <reference field="16" count="1" selected="0">
            <x v="2"/>
          </reference>
        </references>
      </pivotArea>
    </chartFormat>
    <chartFormat chart="2" format="19" series="1">
      <pivotArea type="data" outline="0" fieldPosition="0">
        <references count="2">
          <reference field="4294967294" count="1" selected="0">
            <x v="0"/>
          </reference>
          <reference field="16" count="1" selected="0">
            <x v="3"/>
          </reference>
        </references>
      </pivotArea>
    </chartFormat>
    <chartFormat chart="2" format="20" series="1">
      <pivotArea type="data" outline="0" fieldPosition="0">
        <references count="2">
          <reference field="4294967294" count="1" selected="0">
            <x v="0"/>
          </reference>
          <reference field="16" count="1" selected="0">
            <x v="4"/>
          </reference>
        </references>
      </pivotArea>
    </chartFormat>
    <chartFormat chart="2" format="21" series="1">
      <pivotArea type="data" outline="0" fieldPosition="0">
        <references count="2">
          <reference field="4294967294" count="1" selected="0">
            <x v="0"/>
          </reference>
          <reference field="16" count="1" selected="0">
            <x v="5"/>
          </reference>
        </references>
      </pivotArea>
    </chartFormat>
    <chartFormat chart="2" format="22" series="1">
      <pivotArea type="data" outline="0" fieldPosition="0">
        <references count="2">
          <reference field="4294967294" count="1" selected="0">
            <x v="0"/>
          </reference>
          <reference field="16" count="1" selected="0">
            <x v="6"/>
          </reference>
        </references>
      </pivotArea>
    </chartFormat>
    <chartFormat chart="2" format="23" series="1">
      <pivotArea type="data" outline="0" fieldPosition="0">
        <references count="2">
          <reference field="4294967294" count="1" selected="0">
            <x v="0"/>
          </reference>
          <reference field="16" count="1" selected="0">
            <x v="7"/>
          </reference>
        </references>
      </pivotArea>
    </chartFormat>
    <chartFormat chart="2" format="24">
      <pivotArea type="data" outline="0" fieldPosition="0">
        <references count="3">
          <reference field="4294967294" count="1" selected="0">
            <x v="0"/>
          </reference>
          <reference field="10" count="1" selected="0">
            <x v="4"/>
          </reference>
          <reference field="16" count="1" selected="0">
            <x v="0"/>
          </reference>
        </references>
      </pivotArea>
    </chartFormat>
    <chartFormat chart="13" format="0" series="1">
      <pivotArea type="data" outline="0" fieldPosition="0">
        <references count="2">
          <reference field="4294967294" count="1" selected="0">
            <x v="0"/>
          </reference>
          <reference field="16" count="1" selected="0">
            <x v="0"/>
          </reference>
        </references>
      </pivotArea>
    </chartFormat>
    <chartFormat chart="13" format="1" series="1">
      <pivotArea type="data" outline="0" fieldPosition="0">
        <references count="2">
          <reference field="4294967294" count="1" selected="0">
            <x v="0"/>
          </reference>
          <reference field="16" count="1" selected="0">
            <x v="1"/>
          </reference>
        </references>
      </pivotArea>
    </chartFormat>
    <chartFormat chart="13" format="2" series="1">
      <pivotArea type="data" outline="0" fieldPosition="0">
        <references count="2">
          <reference field="4294967294" count="1" selected="0">
            <x v="0"/>
          </reference>
          <reference field="16" count="1" selected="0">
            <x v="2"/>
          </reference>
        </references>
      </pivotArea>
    </chartFormat>
    <chartFormat chart="13" format="3" series="1">
      <pivotArea type="data" outline="0" fieldPosition="0">
        <references count="2">
          <reference field="4294967294" count="1" selected="0">
            <x v="0"/>
          </reference>
          <reference field="16" count="1" selected="0">
            <x v="3"/>
          </reference>
        </references>
      </pivotArea>
    </chartFormat>
    <chartFormat chart="13" format="4" series="1">
      <pivotArea type="data" outline="0" fieldPosition="0">
        <references count="2">
          <reference field="4294967294" count="1" selected="0">
            <x v="0"/>
          </reference>
          <reference field="16" count="1" selected="0">
            <x v="4"/>
          </reference>
        </references>
      </pivotArea>
    </chartFormat>
    <chartFormat chart="13" format="5" series="1">
      <pivotArea type="data" outline="0" fieldPosition="0">
        <references count="2">
          <reference field="4294967294" count="1" selected="0">
            <x v="0"/>
          </reference>
          <reference field="16" count="1" selected="0">
            <x v="5"/>
          </reference>
        </references>
      </pivotArea>
    </chartFormat>
    <chartFormat chart="13" format="6" series="1">
      <pivotArea type="data" outline="0" fieldPosition="0">
        <references count="2">
          <reference field="4294967294" count="1" selected="0">
            <x v="0"/>
          </reference>
          <reference field="16" count="1" selected="0">
            <x v="6"/>
          </reference>
        </references>
      </pivotArea>
    </chartFormat>
    <chartFormat chart="13" format="7" series="1">
      <pivotArea type="data" outline="0" fieldPosition="0">
        <references count="2">
          <reference field="4294967294" count="1" selected="0">
            <x v="0"/>
          </reference>
          <reference field="16" count="1" selected="0">
            <x v="7"/>
          </reference>
        </references>
      </pivotArea>
    </chartFormat>
    <chartFormat chart="22" format="0" series="1">
      <pivotArea type="data" outline="0" fieldPosition="0">
        <references count="2">
          <reference field="4294967294" count="1" selected="0">
            <x v="0"/>
          </reference>
          <reference field="16" count="1" selected="0">
            <x v="0"/>
          </reference>
        </references>
      </pivotArea>
    </chartFormat>
    <chartFormat chart="22" format="1" series="1">
      <pivotArea type="data" outline="0" fieldPosition="0">
        <references count="2">
          <reference field="4294967294" count="1" selected="0">
            <x v="0"/>
          </reference>
          <reference field="16" count="1" selected="0">
            <x v="1"/>
          </reference>
        </references>
      </pivotArea>
    </chartFormat>
    <chartFormat chart="22" format="2" series="1">
      <pivotArea type="data" outline="0" fieldPosition="0">
        <references count="2">
          <reference field="4294967294" count="1" selected="0">
            <x v="0"/>
          </reference>
          <reference field="16" count="1" selected="0">
            <x v="2"/>
          </reference>
        </references>
      </pivotArea>
    </chartFormat>
    <chartFormat chart="22" format="3" series="1">
      <pivotArea type="data" outline="0" fieldPosition="0">
        <references count="2">
          <reference field="4294967294" count="1" selected="0">
            <x v="0"/>
          </reference>
          <reference field="16" count="1" selected="0">
            <x v="3"/>
          </reference>
        </references>
      </pivotArea>
    </chartFormat>
    <chartFormat chart="22" format="4" series="1">
      <pivotArea type="data" outline="0" fieldPosition="0">
        <references count="2">
          <reference field="4294967294" count="1" selected="0">
            <x v="0"/>
          </reference>
          <reference field="16" count="1" selected="0">
            <x v="4"/>
          </reference>
        </references>
      </pivotArea>
    </chartFormat>
    <chartFormat chart="22" format="5" series="1">
      <pivotArea type="data" outline="0" fieldPosition="0">
        <references count="2">
          <reference field="4294967294" count="1" selected="0">
            <x v="0"/>
          </reference>
          <reference field="16" count="1" selected="0">
            <x v="5"/>
          </reference>
        </references>
      </pivotArea>
    </chartFormat>
    <chartFormat chart="22" format="6" series="1">
      <pivotArea type="data" outline="0" fieldPosition="0">
        <references count="2">
          <reference field="4294967294" count="1" selected="0">
            <x v="0"/>
          </reference>
          <reference field="16" count="1" selected="0">
            <x v="6"/>
          </reference>
        </references>
      </pivotArea>
    </chartFormat>
    <chartFormat chart="22" format="7" series="1">
      <pivotArea type="data" outline="0" fieldPosition="0">
        <references count="2">
          <reference field="4294967294" count="1" selected="0">
            <x v="0"/>
          </reference>
          <reference field="16" count="1" selected="0">
            <x v="7"/>
          </reference>
        </references>
      </pivotArea>
    </chartFormat>
    <chartFormat chart="25" format="64" series="1">
      <pivotArea type="data" outline="0" fieldPosition="0">
        <references count="2">
          <reference field="4294967294" count="1" selected="0">
            <x v="0"/>
          </reference>
          <reference field="16" count="1" selected="0">
            <x v="0"/>
          </reference>
        </references>
      </pivotArea>
    </chartFormat>
    <chartFormat chart="25" format="65">
      <pivotArea type="data" outline="0" fieldPosition="0">
        <references count="3">
          <reference field="4294967294" count="1" selected="0">
            <x v="0"/>
          </reference>
          <reference field="10" count="1" selected="0">
            <x v="0"/>
          </reference>
          <reference field="16" count="1" selected="0">
            <x v="0"/>
          </reference>
        </references>
      </pivotArea>
    </chartFormat>
    <chartFormat chart="25" format="66">
      <pivotArea type="data" outline="0" fieldPosition="0">
        <references count="3">
          <reference field="4294967294" count="1" selected="0">
            <x v="0"/>
          </reference>
          <reference field="10" count="1" selected="0">
            <x v="1"/>
          </reference>
          <reference field="16" count="1" selected="0">
            <x v="0"/>
          </reference>
        </references>
      </pivotArea>
    </chartFormat>
    <chartFormat chart="25" format="67">
      <pivotArea type="data" outline="0" fieldPosition="0">
        <references count="3">
          <reference field="4294967294" count="1" selected="0">
            <x v="0"/>
          </reference>
          <reference field="10" count="1" selected="0">
            <x v="2"/>
          </reference>
          <reference field="16" count="1" selected="0">
            <x v="0"/>
          </reference>
        </references>
      </pivotArea>
    </chartFormat>
    <chartFormat chart="25" format="68">
      <pivotArea type="data" outline="0" fieldPosition="0">
        <references count="3">
          <reference field="4294967294" count="1" selected="0">
            <x v="0"/>
          </reference>
          <reference field="10" count="1" selected="0">
            <x v="3"/>
          </reference>
          <reference field="16" count="1" selected="0">
            <x v="0"/>
          </reference>
        </references>
      </pivotArea>
    </chartFormat>
    <chartFormat chart="25" format="69">
      <pivotArea type="data" outline="0" fieldPosition="0">
        <references count="3">
          <reference field="4294967294" count="1" selected="0">
            <x v="0"/>
          </reference>
          <reference field="10" count="1" selected="0">
            <x v="4"/>
          </reference>
          <reference field="16" count="1" selected="0">
            <x v="0"/>
          </reference>
        </references>
      </pivotArea>
    </chartFormat>
    <chartFormat chart="25" format="70">
      <pivotArea type="data" outline="0" fieldPosition="0">
        <references count="3">
          <reference field="4294967294" count="1" selected="0">
            <x v="0"/>
          </reference>
          <reference field="10" count="1" selected="0">
            <x v="5"/>
          </reference>
          <reference field="16" count="1" selected="0">
            <x v="0"/>
          </reference>
        </references>
      </pivotArea>
    </chartFormat>
    <chartFormat chart="25" format="71" series="1">
      <pivotArea type="data" outline="0" fieldPosition="0">
        <references count="2">
          <reference field="4294967294" count="1" selected="0">
            <x v="0"/>
          </reference>
          <reference field="16" count="1" selected="0">
            <x v="1"/>
          </reference>
        </references>
      </pivotArea>
    </chartFormat>
    <chartFormat chart="25" format="72">
      <pivotArea type="data" outline="0" fieldPosition="0">
        <references count="3">
          <reference field="4294967294" count="1" selected="0">
            <x v="0"/>
          </reference>
          <reference field="10" count="1" selected="0">
            <x v="0"/>
          </reference>
          <reference field="16" count="1" selected="0">
            <x v="1"/>
          </reference>
        </references>
      </pivotArea>
    </chartFormat>
    <chartFormat chart="25" format="73">
      <pivotArea type="data" outline="0" fieldPosition="0">
        <references count="3">
          <reference field="4294967294" count="1" selected="0">
            <x v="0"/>
          </reference>
          <reference field="10" count="1" selected="0">
            <x v="1"/>
          </reference>
          <reference field="16" count="1" selected="0">
            <x v="1"/>
          </reference>
        </references>
      </pivotArea>
    </chartFormat>
    <chartFormat chart="25" format="74">
      <pivotArea type="data" outline="0" fieldPosition="0">
        <references count="3">
          <reference field="4294967294" count="1" selected="0">
            <x v="0"/>
          </reference>
          <reference field="10" count="1" selected="0">
            <x v="2"/>
          </reference>
          <reference field="16" count="1" selected="0">
            <x v="1"/>
          </reference>
        </references>
      </pivotArea>
    </chartFormat>
    <chartFormat chart="25" format="75">
      <pivotArea type="data" outline="0" fieldPosition="0">
        <references count="3">
          <reference field="4294967294" count="1" selected="0">
            <x v="0"/>
          </reference>
          <reference field="10" count="1" selected="0">
            <x v="3"/>
          </reference>
          <reference field="16" count="1" selected="0">
            <x v="1"/>
          </reference>
        </references>
      </pivotArea>
    </chartFormat>
    <chartFormat chart="25" format="76">
      <pivotArea type="data" outline="0" fieldPosition="0">
        <references count="3">
          <reference field="4294967294" count="1" selected="0">
            <x v="0"/>
          </reference>
          <reference field="10" count="1" selected="0">
            <x v="4"/>
          </reference>
          <reference field="16" count="1" selected="0">
            <x v="1"/>
          </reference>
        </references>
      </pivotArea>
    </chartFormat>
    <chartFormat chart="25" format="77">
      <pivotArea type="data" outline="0" fieldPosition="0">
        <references count="3">
          <reference field="4294967294" count="1" selected="0">
            <x v="0"/>
          </reference>
          <reference field="10" count="1" selected="0">
            <x v="5"/>
          </reference>
          <reference field="16" count="1" selected="0">
            <x v="1"/>
          </reference>
        </references>
      </pivotArea>
    </chartFormat>
    <chartFormat chart="25" format="78" series="1">
      <pivotArea type="data" outline="0" fieldPosition="0">
        <references count="2">
          <reference field="4294967294" count="1" selected="0">
            <x v="0"/>
          </reference>
          <reference field="16" count="1" selected="0">
            <x v="2"/>
          </reference>
        </references>
      </pivotArea>
    </chartFormat>
    <chartFormat chart="25" format="79">
      <pivotArea type="data" outline="0" fieldPosition="0">
        <references count="3">
          <reference field="4294967294" count="1" selected="0">
            <x v="0"/>
          </reference>
          <reference field="10" count="1" selected="0">
            <x v="0"/>
          </reference>
          <reference field="16" count="1" selected="0">
            <x v="2"/>
          </reference>
        </references>
      </pivotArea>
    </chartFormat>
    <chartFormat chart="25" format="80">
      <pivotArea type="data" outline="0" fieldPosition="0">
        <references count="3">
          <reference field="4294967294" count="1" selected="0">
            <x v="0"/>
          </reference>
          <reference field="10" count="1" selected="0">
            <x v="1"/>
          </reference>
          <reference field="16" count="1" selected="0">
            <x v="2"/>
          </reference>
        </references>
      </pivotArea>
    </chartFormat>
    <chartFormat chart="25" format="81">
      <pivotArea type="data" outline="0" fieldPosition="0">
        <references count="3">
          <reference field="4294967294" count="1" selected="0">
            <x v="0"/>
          </reference>
          <reference field="10" count="1" selected="0">
            <x v="2"/>
          </reference>
          <reference field="16" count="1" selected="0">
            <x v="2"/>
          </reference>
        </references>
      </pivotArea>
    </chartFormat>
    <chartFormat chart="25" format="82">
      <pivotArea type="data" outline="0" fieldPosition="0">
        <references count="3">
          <reference field="4294967294" count="1" selected="0">
            <x v="0"/>
          </reference>
          <reference field="10" count="1" selected="0">
            <x v="3"/>
          </reference>
          <reference field="16" count="1" selected="0">
            <x v="2"/>
          </reference>
        </references>
      </pivotArea>
    </chartFormat>
    <chartFormat chart="25" format="83">
      <pivotArea type="data" outline="0" fieldPosition="0">
        <references count="3">
          <reference field="4294967294" count="1" selected="0">
            <x v="0"/>
          </reference>
          <reference field="10" count="1" selected="0">
            <x v="4"/>
          </reference>
          <reference field="16" count="1" selected="0">
            <x v="2"/>
          </reference>
        </references>
      </pivotArea>
    </chartFormat>
    <chartFormat chart="25" format="84">
      <pivotArea type="data" outline="0" fieldPosition="0">
        <references count="3">
          <reference field="4294967294" count="1" selected="0">
            <x v="0"/>
          </reference>
          <reference field="10" count="1" selected="0">
            <x v="5"/>
          </reference>
          <reference field="16" count="1" selected="0">
            <x v="2"/>
          </reference>
        </references>
      </pivotArea>
    </chartFormat>
    <chartFormat chart="25" format="85" series="1">
      <pivotArea type="data" outline="0" fieldPosition="0">
        <references count="2">
          <reference field="4294967294" count="1" selected="0">
            <x v="0"/>
          </reference>
          <reference field="16" count="1" selected="0">
            <x v="3"/>
          </reference>
        </references>
      </pivotArea>
    </chartFormat>
    <chartFormat chart="25" format="86">
      <pivotArea type="data" outline="0" fieldPosition="0">
        <references count="3">
          <reference field="4294967294" count="1" selected="0">
            <x v="0"/>
          </reference>
          <reference field="10" count="1" selected="0">
            <x v="0"/>
          </reference>
          <reference field="16" count="1" selected="0">
            <x v="3"/>
          </reference>
        </references>
      </pivotArea>
    </chartFormat>
    <chartFormat chart="25" format="87">
      <pivotArea type="data" outline="0" fieldPosition="0">
        <references count="3">
          <reference field="4294967294" count="1" selected="0">
            <x v="0"/>
          </reference>
          <reference field="10" count="1" selected="0">
            <x v="1"/>
          </reference>
          <reference field="16" count="1" selected="0">
            <x v="3"/>
          </reference>
        </references>
      </pivotArea>
    </chartFormat>
    <chartFormat chart="25" format="88">
      <pivotArea type="data" outline="0" fieldPosition="0">
        <references count="3">
          <reference field="4294967294" count="1" selected="0">
            <x v="0"/>
          </reference>
          <reference field="10" count="1" selected="0">
            <x v="2"/>
          </reference>
          <reference field="16" count="1" selected="0">
            <x v="3"/>
          </reference>
        </references>
      </pivotArea>
    </chartFormat>
    <chartFormat chart="25" format="89">
      <pivotArea type="data" outline="0" fieldPosition="0">
        <references count="3">
          <reference field="4294967294" count="1" selected="0">
            <x v="0"/>
          </reference>
          <reference field="10" count="1" selected="0">
            <x v="3"/>
          </reference>
          <reference field="16" count="1" selected="0">
            <x v="3"/>
          </reference>
        </references>
      </pivotArea>
    </chartFormat>
    <chartFormat chart="25" format="90">
      <pivotArea type="data" outline="0" fieldPosition="0">
        <references count="3">
          <reference field="4294967294" count="1" selected="0">
            <x v="0"/>
          </reference>
          <reference field="10" count="1" selected="0">
            <x v="4"/>
          </reference>
          <reference field="16" count="1" selected="0">
            <x v="3"/>
          </reference>
        </references>
      </pivotArea>
    </chartFormat>
    <chartFormat chart="25" format="91">
      <pivotArea type="data" outline="0" fieldPosition="0">
        <references count="3">
          <reference field="4294967294" count="1" selected="0">
            <x v="0"/>
          </reference>
          <reference field="10" count="1" selected="0">
            <x v="5"/>
          </reference>
          <reference field="16" count="1" selected="0">
            <x v="3"/>
          </reference>
        </references>
      </pivotArea>
    </chartFormat>
    <chartFormat chart="25" format="92" series="1">
      <pivotArea type="data" outline="0" fieldPosition="0">
        <references count="2">
          <reference field="4294967294" count="1" selected="0">
            <x v="0"/>
          </reference>
          <reference field="16" count="1" selected="0">
            <x v="4"/>
          </reference>
        </references>
      </pivotArea>
    </chartFormat>
    <chartFormat chart="25" format="93">
      <pivotArea type="data" outline="0" fieldPosition="0">
        <references count="3">
          <reference field="4294967294" count="1" selected="0">
            <x v="0"/>
          </reference>
          <reference field="10" count="1" selected="0">
            <x v="0"/>
          </reference>
          <reference field="16" count="1" selected="0">
            <x v="4"/>
          </reference>
        </references>
      </pivotArea>
    </chartFormat>
    <chartFormat chart="25" format="94">
      <pivotArea type="data" outline="0" fieldPosition="0">
        <references count="3">
          <reference field="4294967294" count="1" selected="0">
            <x v="0"/>
          </reference>
          <reference field="10" count="1" selected="0">
            <x v="1"/>
          </reference>
          <reference field="16" count="1" selected="0">
            <x v="4"/>
          </reference>
        </references>
      </pivotArea>
    </chartFormat>
    <chartFormat chart="25" format="95">
      <pivotArea type="data" outline="0" fieldPosition="0">
        <references count="3">
          <reference field="4294967294" count="1" selected="0">
            <x v="0"/>
          </reference>
          <reference field="10" count="1" selected="0">
            <x v="2"/>
          </reference>
          <reference field="16" count="1" selected="0">
            <x v="4"/>
          </reference>
        </references>
      </pivotArea>
    </chartFormat>
    <chartFormat chart="25" format="96">
      <pivotArea type="data" outline="0" fieldPosition="0">
        <references count="3">
          <reference field="4294967294" count="1" selected="0">
            <x v="0"/>
          </reference>
          <reference field="10" count="1" selected="0">
            <x v="3"/>
          </reference>
          <reference field="16" count="1" selected="0">
            <x v="4"/>
          </reference>
        </references>
      </pivotArea>
    </chartFormat>
    <chartFormat chart="25" format="97">
      <pivotArea type="data" outline="0" fieldPosition="0">
        <references count="3">
          <reference field="4294967294" count="1" selected="0">
            <x v="0"/>
          </reference>
          <reference field="10" count="1" selected="0">
            <x v="4"/>
          </reference>
          <reference field="16" count="1" selected="0">
            <x v="4"/>
          </reference>
        </references>
      </pivotArea>
    </chartFormat>
    <chartFormat chart="25" format="98">
      <pivotArea type="data" outline="0" fieldPosition="0">
        <references count="3">
          <reference field="4294967294" count="1" selected="0">
            <x v="0"/>
          </reference>
          <reference field="10" count="1" selected="0">
            <x v="5"/>
          </reference>
          <reference field="16" count="1" selected="0">
            <x v="4"/>
          </reference>
        </references>
      </pivotArea>
    </chartFormat>
    <chartFormat chart="25" format="99" series="1">
      <pivotArea type="data" outline="0" fieldPosition="0">
        <references count="2">
          <reference field="4294967294" count="1" selected="0">
            <x v="0"/>
          </reference>
          <reference field="16" count="1" selected="0">
            <x v="5"/>
          </reference>
        </references>
      </pivotArea>
    </chartFormat>
    <chartFormat chart="25" format="100">
      <pivotArea type="data" outline="0" fieldPosition="0">
        <references count="3">
          <reference field="4294967294" count="1" selected="0">
            <x v="0"/>
          </reference>
          <reference field="10" count="1" selected="0">
            <x v="0"/>
          </reference>
          <reference field="16" count="1" selected="0">
            <x v="5"/>
          </reference>
        </references>
      </pivotArea>
    </chartFormat>
    <chartFormat chart="25" format="101">
      <pivotArea type="data" outline="0" fieldPosition="0">
        <references count="3">
          <reference field="4294967294" count="1" selected="0">
            <x v="0"/>
          </reference>
          <reference field="10" count="1" selected="0">
            <x v="1"/>
          </reference>
          <reference field="16" count="1" selected="0">
            <x v="5"/>
          </reference>
        </references>
      </pivotArea>
    </chartFormat>
    <chartFormat chart="25" format="102">
      <pivotArea type="data" outline="0" fieldPosition="0">
        <references count="3">
          <reference field="4294967294" count="1" selected="0">
            <x v="0"/>
          </reference>
          <reference field="10" count="1" selected="0">
            <x v="2"/>
          </reference>
          <reference field="16" count="1" selected="0">
            <x v="5"/>
          </reference>
        </references>
      </pivotArea>
    </chartFormat>
    <chartFormat chart="25" format="103">
      <pivotArea type="data" outline="0" fieldPosition="0">
        <references count="3">
          <reference field="4294967294" count="1" selected="0">
            <x v="0"/>
          </reference>
          <reference field="10" count="1" selected="0">
            <x v="3"/>
          </reference>
          <reference field="16" count="1" selected="0">
            <x v="5"/>
          </reference>
        </references>
      </pivotArea>
    </chartFormat>
    <chartFormat chart="25" format="104">
      <pivotArea type="data" outline="0" fieldPosition="0">
        <references count="3">
          <reference field="4294967294" count="1" selected="0">
            <x v="0"/>
          </reference>
          <reference field="10" count="1" selected="0">
            <x v="4"/>
          </reference>
          <reference field="16" count="1" selected="0">
            <x v="5"/>
          </reference>
        </references>
      </pivotArea>
    </chartFormat>
    <chartFormat chart="25" format="105">
      <pivotArea type="data" outline="0" fieldPosition="0">
        <references count="3">
          <reference field="4294967294" count="1" selected="0">
            <x v="0"/>
          </reference>
          <reference field="10" count="1" selected="0">
            <x v="5"/>
          </reference>
          <reference field="16" count="1" selected="0">
            <x v="5"/>
          </reference>
        </references>
      </pivotArea>
    </chartFormat>
    <chartFormat chart="25" format="106" series="1">
      <pivotArea type="data" outline="0" fieldPosition="0">
        <references count="2">
          <reference field="4294967294" count="1" selected="0">
            <x v="0"/>
          </reference>
          <reference field="16" count="1" selected="0">
            <x v="6"/>
          </reference>
        </references>
      </pivotArea>
    </chartFormat>
    <chartFormat chart="25" format="107">
      <pivotArea type="data" outline="0" fieldPosition="0">
        <references count="3">
          <reference field="4294967294" count="1" selected="0">
            <x v="0"/>
          </reference>
          <reference field="10" count="1" selected="0">
            <x v="0"/>
          </reference>
          <reference field="16" count="1" selected="0">
            <x v="6"/>
          </reference>
        </references>
      </pivotArea>
    </chartFormat>
    <chartFormat chart="25" format="108">
      <pivotArea type="data" outline="0" fieldPosition="0">
        <references count="3">
          <reference field="4294967294" count="1" selected="0">
            <x v="0"/>
          </reference>
          <reference field="10" count="1" selected="0">
            <x v="1"/>
          </reference>
          <reference field="16" count="1" selected="0">
            <x v="6"/>
          </reference>
        </references>
      </pivotArea>
    </chartFormat>
    <chartFormat chart="25" format="109">
      <pivotArea type="data" outline="0" fieldPosition="0">
        <references count="3">
          <reference field="4294967294" count="1" selected="0">
            <x v="0"/>
          </reference>
          <reference field="10" count="1" selected="0">
            <x v="2"/>
          </reference>
          <reference field="16" count="1" selected="0">
            <x v="6"/>
          </reference>
        </references>
      </pivotArea>
    </chartFormat>
    <chartFormat chart="25" format="110">
      <pivotArea type="data" outline="0" fieldPosition="0">
        <references count="3">
          <reference field="4294967294" count="1" selected="0">
            <x v="0"/>
          </reference>
          <reference field="10" count="1" selected="0">
            <x v="3"/>
          </reference>
          <reference field="16" count="1" selected="0">
            <x v="6"/>
          </reference>
        </references>
      </pivotArea>
    </chartFormat>
    <chartFormat chart="25" format="111">
      <pivotArea type="data" outline="0" fieldPosition="0">
        <references count="3">
          <reference field="4294967294" count="1" selected="0">
            <x v="0"/>
          </reference>
          <reference field="10" count="1" selected="0">
            <x v="4"/>
          </reference>
          <reference field="16" count="1" selected="0">
            <x v="6"/>
          </reference>
        </references>
      </pivotArea>
    </chartFormat>
    <chartFormat chart="25" format="112">
      <pivotArea type="data" outline="0" fieldPosition="0">
        <references count="3">
          <reference field="4294967294" count="1" selected="0">
            <x v="0"/>
          </reference>
          <reference field="10" count="1" selected="0">
            <x v="5"/>
          </reference>
          <reference field="16" count="1" selected="0">
            <x v="6"/>
          </reference>
        </references>
      </pivotArea>
    </chartFormat>
    <chartFormat chart="25" format="113" series="1">
      <pivotArea type="data" outline="0" fieldPosition="0">
        <references count="2">
          <reference field="4294967294" count="1" selected="0">
            <x v="0"/>
          </reference>
          <reference field="16" count="1" selected="0">
            <x v="7"/>
          </reference>
        </references>
      </pivotArea>
    </chartFormat>
    <chartFormat chart="25" format="114">
      <pivotArea type="data" outline="0" fieldPosition="0">
        <references count="3">
          <reference field="4294967294" count="1" selected="0">
            <x v="0"/>
          </reference>
          <reference field="10" count="1" selected="0">
            <x v="0"/>
          </reference>
          <reference field="16" count="1" selected="0">
            <x v="7"/>
          </reference>
        </references>
      </pivotArea>
    </chartFormat>
    <chartFormat chart="25" format="115">
      <pivotArea type="data" outline="0" fieldPosition="0">
        <references count="3">
          <reference field="4294967294" count="1" selected="0">
            <x v="0"/>
          </reference>
          <reference field="10" count="1" selected="0">
            <x v="1"/>
          </reference>
          <reference field="16" count="1" selected="0">
            <x v="7"/>
          </reference>
        </references>
      </pivotArea>
    </chartFormat>
    <chartFormat chart="25" format="116">
      <pivotArea type="data" outline="0" fieldPosition="0">
        <references count="3">
          <reference field="4294967294" count="1" selected="0">
            <x v="0"/>
          </reference>
          <reference field="10" count="1" selected="0">
            <x v="2"/>
          </reference>
          <reference field="16" count="1" selected="0">
            <x v="7"/>
          </reference>
        </references>
      </pivotArea>
    </chartFormat>
    <chartFormat chart="25" format="117">
      <pivotArea type="data" outline="0" fieldPosition="0">
        <references count="3">
          <reference field="4294967294" count="1" selected="0">
            <x v="0"/>
          </reference>
          <reference field="10" count="1" selected="0">
            <x v="3"/>
          </reference>
          <reference field="16" count="1" selected="0">
            <x v="7"/>
          </reference>
        </references>
      </pivotArea>
    </chartFormat>
    <chartFormat chart="25" format="118">
      <pivotArea type="data" outline="0" fieldPosition="0">
        <references count="3">
          <reference field="4294967294" count="1" selected="0">
            <x v="0"/>
          </reference>
          <reference field="10" count="1" selected="0">
            <x v="4"/>
          </reference>
          <reference field="16" count="1" selected="0">
            <x v="7"/>
          </reference>
        </references>
      </pivotArea>
    </chartFormat>
    <chartFormat chart="25" format="119">
      <pivotArea type="data" outline="0" fieldPosition="0">
        <references count="3">
          <reference field="4294967294" count="1" selected="0">
            <x v="0"/>
          </reference>
          <reference field="10" count="1" selected="0">
            <x v="5"/>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AAC93A-E65A-4139-94AC-2D4FF1586648}"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A30:F34" firstHeaderRow="1" firstDataRow="2" firstDataCol="1" rowPageCount="1" colPageCount="1"/>
  <pivotFields count="20">
    <pivotField showAll="0"/>
    <pivotField showAll="0"/>
    <pivotField showAll="0"/>
    <pivotField showAll="0"/>
    <pivotField axis="axisRow" showAll="0">
      <items count="4">
        <item x="1"/>
        <item x="0"/>
        <item x="2"/>
        <item t="default"/>
      </items>
    </pivotField>
    <pivotField showAll="0"/>
    <pivotField showAll="0">
      <items count="20">
        <item x="14"/>
        <item x="12"/>
        <item x="11"/>
        <item x="17"/>
        <item x="3"/>
        <item x="4"/>
        <item x="2"/>
        <item x="8"/>
        <item x="0"/>
        <item x="10"/>
        <item x="15"/>
        <item x="7"/>
        <item x="6"/>
        <item x="9"/>
        <item x="13"/>
        <item x="16"/>
        <item x="5"/>
        <item x="1"/>
        <item x="18"/>
        <item t="default"/>
      </items>
    </pivotField>
    <pivotField showAll="0">
      <items count="12">
        <item x="3"/>
        <item x="1"/>
        <item x="9"/>
        <item x="0"/>
        <item x="4"/>
        <item x="5"/>
        <item x="2"/>
        <item x="7"/>
        <item x="8"/>
        <item x="6"/>
        <item x="10"/>
        <item t="default"/>
      </items>
    </pivotField>
    <pivotField showAll="0"/>
    <pivotField showAll="0"/>
    <pivotField showAll="0">
      <items count="7">
        <item x="0"/>
        <item x="2"/>
        <item x="4"/>
        <item x="3"/>
        <item x="1"/>
        <item x="5"/>
        <item t="default"/>
      </items>
    </pivotField>
    <pivotField axis="axisPage" dataField="1" showAll="0">
      <items count="19">
        <item x="14"/>
        <item x="6"/>
        <item x="5"/>
        <item x="0"/>
        <item x="11"/>
        <item x="10"/>
        <item x="13"/>
        <item x="15"/>
        <item x="7"/>
        <item x="4"/>
        <item x="8"/>
        <item x="1"/>
        <item x="2"/>
        <item x="3"/>
        <item x="12"/>
        <item x="16"/>
        <item x="9"/>
        <item x="17"/>
        <item t="default"/>
      </items>
    </pivotField>
    <pivotField showAll="0"/>
    <pivotField showAll="0"/>
    <pivotField showAll="0"/>
    <pivotField showAll="0"/>
    <pivotField showAll="0">
      <items count="9">
        <item x="0"/>
        <item x="1"/>
        <item x="4"/>
        <item x="5"/>
        <item x="2"/>
        <item x="3"/>
        <item x="6"/>
        <item x="7"/>
        <item t="default"/>
      </items>
    </pivotField>
    <pivotField axis="axisCol" showAll="0">
      <items count="6">
        <item x="3"/>
        <item x="1"/>
        <item x="0"/>
        <item x="2"/>
        <item x="4"/>
        <item t="default"/>
      </items>
    </pivotField>
    <pivotField showAll="0"/>
    <pivotField showAll="0"/>
  </pivotFields>
  <rowFields count="1">
    <field x="4"/>
  </rowFields>
  <rowItems count="3">
    <i>
      <x/>
    </i>
    <i>
      <x v="1"/>
    </i>
    <i t="grand">
      <x/>
    </i>
  </rowItems>
  <colFields count="1">
    <field x="17"/>
  </colFields>
  <colItems count="5">
    <i>
      <x/>
    </i>
    <i>
      <x v="1"/>
    </i>
    <i>
      <x v="2"/>
    </i>
    <i>
      <x v="3"/>
    </i>
    <i t="grand">
      <x/>
    </i>
  </colItems>
  <pageFields count="1">
    <pageField fld="11" item="0" hier="-1"/>
  </pageFields>
  <dataFields count="1">
    <dataField name="Count of Sub_Category" fld="11" subtotal="count" baseField="0" baseItem="0"/>
  </dataFields>
  <chartFormats count="21">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0" format="4" series="1">
      <pivotArea type="data" outline="0" fieldPosition="0">
        <references count="2">
          <reference field="4294967294" count="1" selected="0">
            <x v="0"/>
          </reference>
          <reference field="17" count="1" selected="0">
            <x v="4"/>
          </reference>
        </references>
      </pivotArea>
    </chartFormat>
    <chartFormat chart="15" format="0" series="1">
      <pivotArea type="data" outline="0" fieldPosition="0">
        <references count="2">
          <reference field="4294967294" count="1" selected="0">
            <x v="0"/>
          </reference>
          <reference field="17" count="1" selected="0">
            <x v="0"/>
          </reference>
        </references>
      </pivotArea>
    </chartFormat>
    <chartFormat chart="15" format="1" series="1">
      <pivotArea type="data" outline="0" fieldPosition="0">
        <references count="2">
          <reference field="4294967294" count="1" selected="0">
            <x v="0"/>
          </reference>
          <reference field="17" count="1" selected="0">
            <x v="1"/>
          </reference>
        </references>
      </pivotArea>
    </chartFormat>
    <chartFormat chart="15" format="2" series="1">
      <pivotArea type="data" outline="0" fieldPosition="0">
        <references count="2">
          <reference field="4294967294" count="1" selected="0">
            <x v="0"/>
          </reference>
          <reference field="17" count="1" selected="0">
            <x v="2"/>
          </reference>
        </references>
      </pivotArea>
    </chartFormat>
    <chartFormat chart="15" format="3" series="1">
      <pivotArea type="data" outline="0" fieldPosition="0">
        <references count="2">
          <reference field="4294967294" count="1" selected="0">
            <x v="0"/>
          </reference>
          <reference field="17" count="1" selected="0">
            <x v="3"/>
          </reference>
        </references>
      </pivotArea>
    </chartFormat>
    <chartFormat chart="15" format="4" series="1">
      <pivotArea type="data" outline="0" fieldPosition="0">
        <references count="2">
          <reference field="4294967294" count="1" selected="0">
            <x v="0"/>
          </reference>
          <reference field="17" count="1" selected="0">
            <x v="4"/>
          </reference>
        </references>
      </pivotArea>
    </chartFormat>
    <chartFormat chart="19" format="0" series="1">
      <pivotArea type="data" outline="0" fieldPosition="0">
        <references count="2">
          <reference field="4294967294" count="1" selected="0">
            <x v="0"/>
          </reference>
          <reference field="17" count="1" selected="0">
            <x v="0"/>
          </reference>
        </references>
      </pivotArea>
    </chartFormat>
    <chartFormat chart="19" format="1" series="1">
      <pivotArea type="data" outline="0" fieldPosition="0">
        <references count="2">
          <reference field="4294967294" count="1" selected="0">
            <x v="0"/>
          </reference>
          <reference field="17" count="1" selected="0">
            <x v="1"/>
          </reference>
        </references>
      </pivotArea>
    </chartFormat>
    <chartFormat chart="19" format="2" series="1">
      <pivotArea type="data" outline="0" fieldPosition="0">
        <references count="2">
          <reference field="4294967294" count="1" selected="0">
            <x v="0"/>
          </reference>
          <reference field="17" count="1" selected="0">
            <x v="2"/>
          </reference>
        </references>
      </pivotArea>
    </chartFormat>
    <chartFormat chart="19" format="3" series="1">
      <pivotArea type="data" outline="0" fieldPosition="0">
        <references count="2">
          <reference field="4294967294" count="1" selected="0">
            <x v="0"/>
          </reference>
          <reference field="17" count="1" selected="0">
            <x v="3"/>
          </reference>
        </references>
      </pivotArea>
    </chartFormat>
    <chartFormat chart="19" format="4" series="1">
      <pivotArea type="data" outline="0" fieldPosition="0">
        <references count="2">
          <reference field="4294967294" count="1" selected="0">
            <x v="0"/>
          </reference>
          <reference field="17" count="1" selected="0">
            <x v="4"/>
          </reference>
        </references>
      </pivotArea>
    </chartFormat>
    <chartFormat chart="21" format="10" series="1">
      <pivotArea type="data" outline="0" fieldPosition="0">
        <references count="2">
          <reference field="4294967294" count="1" selected="0">
            <x v="0"/>
          </reference>
          <reference field="17" count="1" selected="0">
            <x v="0"/>
          </reference>
        </references>
      </pivotArea>
    </chartFormat>
    <chartFormat chart="21" format="11" series="1">
      <pivotArea type="data" outline="0" fieldPosition="0">
        <references count="2">
          <reference field="4294967294" count="1" selected="0">
            <x v="0"/>
          </reference>
          <reference field="17" count="1" selected="0">
            <x v="1"/>
          </reference>
        </references>
      </pivotArea>
    </chartFormat>
    <chartFormat chart="21" format="12" series="1">
      <pivotArea type="data" outline="0" fieldPosition="0">
        <references count="2">
          <reference field="4294967294" count="1" selected="0">
            <x v="0"/>
          </reference>
          <reference field="17" count="1" selected="0">
            <x v="2"/>
          </reference>
        </references>
      </pivotArea>
    </chartFormat>
    <chartFormat chart="21" format="13" series="1">
      <pivotArea type="data" outline="0" fieldPosition="0">
        <references count="2">
          <reference field="4294967294" count="1" selected="0">
            <x v="0"/>
          </reference>
          <reference field="17" count="1" selected="0">
            <x v="3"/>
          </reference>
        </references>
      </pivotArea>
    </chartFormat>
    <chartFormat chart="21" format="14" series="1">
      <pivotArea type="data" outline="0" fieldPosition="0">
        <references count="2">
          <reference field="4294967294" count="1" selected="0">
            <x v="0"/>
          </reference>
          <reference field="17" count="1" selected="0">
            <x v="4"/>
          </reference>
        </references>
      </pivotArea>
    </chartFormat>
    <chartFormat chart="21"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824818-A026-4E5A-A12A-40BA51B64E9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4:Q23" firstHeaderRow="1" firstDataRow="2" firstDataCol="1" rowPageCount="1" colPageCount="1"/>
  <pivotFields count="20">
    <pivotField showAll="0"/>
    <pivotField showAll="0"/>
    <pivotField showAll="0"/>
    <pivotField showAll="0"/>
    <pivotField showAll="0">
      <items count="4">
        <item x="1"/>
        <item x="0"/>
        <item x="2"/>
        <item t="default"/>
      </items>
    </pivotField>
    <pivotField showAll="0"/>
    <pivotField axis="axisRow" showAll="0">
      <items count="20">
        <item x="14"/>
        <item x="12"/>
        <item x="11"/>
        <item x="17"/>
        <item x="3"/>
        <item x="4"/>
        <item x="2"/>
        <item x="8"/>
        <item x="0"/>
        <item x="10"/>
        <item x="15"/>
        <item x="7"/>
        <item x="6"/>
        <item x="9"/>
        <item x="13"/>
        <item x="16"/>
        <item x="5"/>
        <item x="1"/>
        <item x="18"/>
        <item t="default"/>
      </items>
    </pivotField>
    <pivotField showAll="0">
      <items count="12">
        <item x="3"/>
        <item x="1"/>
        <item x="9"/>
        <item x="0"/>
        <item x="4"/>
        <item x="5"/>
        <item x="2"/>
        <item x="7"/>
        <item x="8"/>
        <item x="6"/>
        <item x="10"/>
        <item t="default"/>
      </items>
    </pivotField>
    <pivotField showAll="0"/>
    <pivotField axis="axisPage" dataField="1" showAll="0">
      <items count="27">
        <item x="8"/>
        <item x="12"/>
        <item x="17"/>
        <item x="20"/>
        <item x="19"/>
        <item x="16"/>
        <item x="1"/>
        <item x="4"/>
        <item x="22"/>
        <item x="0"/>
        <item x="23"/>
        <item x="18"/>
        <item x="9"/>
        <item x="2"/>
        <item x="11"/>
        <item x="5"/>
        <item x="21"/>
        <item x="15"/>
        <item x="13"/>
        <item x="3"/>
        <item x="14"/>
        <item x="10"/>
        <item x="6"/>
        <item x="24"/>
        <item x="7"/>
        <item x="25"/>
        <item t="default"/>
      </items>
    </pivotField>
    <pivotField showAll="0"/>
    <pivotField showAll="0">
      <items count="19">
        <item x="14"/>
        <item x="6"/>
        <item x="5"/>
        <item x="0"/>
        <item x="11"/>
        <item x="10"/>
        <item x="13"/>
        <item x="15"/>
        <item x="7"/>
        <item x="4"/>
        <item x="8"/>
        <item x="1"/>
        <item x="2"/>
        <item x="3"/>
        <item x="12"/>
        <item x="16"/>
        <item x="9"/>
        <item x="17"/>
        <item t="default"/>
      </items>
    </pivotField>
    <pivotField showAll="0">
      <items count="8">
        <item x="5"/>
        <item x="4"/>
        <item x="2"/>
        <item x="3"/>
        <item x="1"/>
        <item x="0"/>
        <item x="6"/>
        <item t="default"/>
      </items>
    </pivotField>
    <pivotField showAll="0">
      <items count="497">
        <item x="493"/>
        <item x="87"/>
        <item x="16"/>
        <item x="269"/>
        <item x="199"/>
        <item x="229"/>
        <item x="270"/>
        <item x="424"/>
        <item x="152"/>
        <item x="117"/>
        <item x="53"/>
        <item x="455"/>
        <item x="9"/>
        <item x="259"/>
        <item x="363"/>
        <item x="56"/>
        <item x="343"/>
        <item x="96"/>
        <item x="94"/>
        <item x="401"/>
        <item x="244"/>
        <item x="421"/>
        <item x="465"/>
        <item x="462"/>
        <item x="436"/>
        <item x="345"/>
        <item x="348"/>
        <item x="189"/>
        <item x="288"/>
        <item x="400"/>
        <item x="481"/>
        <item x="143"/>
        <item x="195"/>
        <item x="240"/>
        <item x="297"/>
        <item x="10"/>
        <item x="29"/>
        <item x="201"/>
        <item x="233"/>
        <item x="153"/>
        <item x="439"/>
        <item x="432"/>
        <item x="67"/>
        <item x="161"/>
        <item x="183"/>
        <item x="135"/>
        <item x="101"/>
        <item x="256"/>
        <item x="468"/>
        <item x="429"/>
        <item x="430"/>
        <item x="137"/>
        <item x="466"/>
        <item x="370"/>
        <item x="391"/>
        <item x="373"/>
        <item x="177"/>
        <item x="219"/>
        <item x="475"/>
        <item x="453"/>
        <item x="447"/>
        <item x="387"/>
        <item x="116"/>
        <item x="293"/>
        <item x="215"/>
        <item x="205"/>
        <item x="328"/>
        <item x="220"/>
        <item x="123"/>
        <item x="367"/>
        <item x="105"/>
        <item x="379"/>
        <item x="100"/>
        <item x="260"/>
        <item x="258"/>
        <item x="40"/>
        <item x="72"/>
        <item x="213"/>
        <item x="347"/>
        <item x="58"/>
        <item x="239"/>
        <item x="289"/>
        <item x="115"/>
        <item x="364"/>
        <item x="127"/>
        <item x="311"/>
        <item x="389"/>
        <item x="427"/>
        <item x="478"/>
        <item x="51"/>
        <item x="485"/>
        <item x="103"/>
        <item x="92"/>
        <item x="218"/>
        <item x="228"/>
        <item x="232"/>
        <item x="37"/>
        <item x="398"/>
        <item x="186"/>
        <item x="301"/>
        <item x="473"/>
        <item x="435"/>
        <item x="4"/>
        <item x="182"/>
        <item x="191"/>
        <item x="111"/>
        <item x="148"/>
        <item x="375"/>
        <item x="431"/>
        <item x="3"/>
        <item x="403"/>
        <item x="155"/>
        <item x="102"/>
        <item x="90"/>
        <item x="323"/>
        <item x="184"/>
        <item x="275"/>
        <item x="237"/>
        <item x="97"/>
        <item x="474"/>
        <item x="449"/>
        <item x="132"/>
        <item x="62"/>
        <item x="168"/>
        <item x="160"/>
        <item x="165"/>
        <item x="335"/>
        <item x="305"/>
        <item x="461"/>
        <item x="470"/>
        <item x="446"/>
        <item x="95"/>
        <item x="248"/>
        <item x="2"/>
        <item x="283"/>
        <item x="492"/>
        <item x="23"/>
        <item x="255"/>
        <item x="393"/>
        <item x="469"/>
        <item x="346"/>
        <item x="89"/>
        <item x="207"/>
        <item x="267"/>
        <item x="254"/>
        <item x="402"/>
        <item x="114"/>
        <item x="292"/>
        <item x="477"/>
        <item x="384"/>
        <item x="172"/>
        <item x="144"/>
        <item x="126"/>
        <item x="476"/>
        <item x="231"/>
        <item x="383"/>
        <item x="326"/>
        <item x="142"/>
        <item x="483"/>
        <item x="178"/>
        <item x="406"/>
        <item x="154"/>
        <item x="362"/>
        <item x="494"/>
        <item x="458"/>
        <item x="47"/>
        <item x="48"/>
        <item x="43"/>
        <item x="378"/>
        <item x="13"/>
        <item x="388"/>
        <item x="171"/>
        <item x="486"/>
        <item x="6"/>
        <item x="19"/>
        <item x="119"/>
        <item x="187"/>
        <item x="170"/>
        <item x="88"/>
        <item x="459"/>
        <item x="300"/>
        <item x="280"/>
        <item x="257"/>
        <item x="304"/>
        <item x="203"/>
        <item x="308"/>
        <item x="52"/>
        <item x="124"/>
        <item x="480"/>
        <item x="408"/>
        <item x="312"/>
        <item x="397"/>
        <item x="66"/>
        <item x="1"/>
        <item x="140"/>
        <item x="166"/>
        <item x="31"/>
        <item x="12"/>
        <item x="422"/>
        <item x="109"/>
        <item x="349"/>
        <item x="392"/>
        <item x="230"/>
        <item x="344"/>
        <item x="413"/>
        <item x="24"/>
        <item x="261"/>
        <item x="350"/>
        <item x="463"/>
        <item x="197"/>
        <item x="222"/>
        <item x="471"/>
        <item x="211"/>
        <item x="5"/>
        <item x="39"/>
        <item x="79"/>
        <item x="291"/>
        <item x="176"/>
        <item x="82"/>
        <item x="206"/>
        <item x="30"/>
        <item x="50"/>
        <item x="482"/>
        <item x="263"/>
        <item x="319"/>
        <item x="49"/>
        <item x="282"/>
        <item x="247"/>
        <item x="251"/>
        <item x="8"/>
        <item x="385"/>
        <item x="242"/>
        <item x="25"/>
        <item x="243"/>
        <item x="75"/>
        <item x="78"/>
        <item x="35"/>
        <item x="407"/>
        <item x="113"/>
        <item x="216"/>
        <item x="236"/>
        <item x="169"/>
        <item x="42"/>
        <item x="353"/>
        <item x="409"/>
        <item x="327"/>
        <item x="386"/>
        <item x="286"/>
        <item x="444"/>
        <item x="173"/>
        <item x="333"/>
        <item x="70"/>
        <item x="110"/>
        <item x="314"/>
        <item x="315"/>
        <item x="245"/>
        <item x="60"/>
        <item x="73"/>
        <item x="324"/>
        <item x="175"/>
        <item x="54"/>
        <item x="320"/>
        <item x="313"/>
        <item x="412"/>
        <item x="20"/>
        <item x="451"/>
        <item x="253"/>
        <item x="33"/>
        <item x="158"/>
        <item x="448"/>
        <item x="302"/>
        <item x="34"/>
        <item x="380"/>
        <item x="381"/>
        <item x="322"/>
        <item x="249"/>
        <item x="414"/>
        <item x="368"/>
        <item x="159"/>
        <item x="273"/>
        <item x="428"/>
        <item x="125"/>
        <item x="404"/>
        <item x="479"/>
        <item x="276"/>
        <item x="147"/>
        <item x="214"/>
        <item x="26"/>
        <item x="36"/>
        <item x="352"/>
        <item x="426"/>
        <item x="151"/>
        <item x="337"/>
        <item x="167"/>
        <item x="264"/>
        <item x="104"/>
        <item x="77"/>
        <item x="457"/>
        <item x="285"/>
        <item x="329"/>
        <item x="395"/>
        <item x="454"/>
        <item x="185"/>
        <item x="341"/>
        <item x="334"/>
        <item x="417"/>
        <item x="174"/>
        <item x="198"/>
        <item x="234"/>
        <item x="80"/>
        <item x="433"/>
        <item x="437"/>
        <item x="434"/>
        <item x="11"/>
        <item x="268"/>
        <item x="331"/>
        <item x="208"/>
        <item x="65"/>
        <item x="17"/>
        <item x="98"/>
        <item x="28"/>
        <item x="410"/>
        <item x="122"/>
        <item x="139"/>
        <item x="425"/>
        <item x="181"/>
        <item x="369"/>
        <item x="488"/>
        <item x="69"/>
        <item x="340"/>
        <item x="71"/>
        <item x="252"/>
        <item x="190"/>
        <item x="365"/>
        <item x="14"/>
        <item x="277"/>
        <item x="306"/>
        <item x="21"/>
        <item x="108"/>
        <item x="162"/>
        <item x="355"/>
        <item x="99"/>
        <item x="441"/>
        <item x="382"/>
        <item x="76"/>
        <item x="250"/>
        <item x="204"/>
        <item x="141"/>
        <item x="294"/>
        <item x="266"/>
        <item x="307"/>
        <item x="217"/>
        <item x="262"/>
        <item x="134"/>
        <item x="456"/>
        <item x="241"/>
        <item x="74"/>
        <item x="295"/>
        <item x="145"/>
        <item x="91"/>
        <item x="452"/>
        <item x="196"/>
        <item x="85"/>
        <item x="484"/>
        <item x="467"/>
        <item x="0"/>
        <item x="354"/>
        <item x="399"/>
        <item x="224"/>
        <item x="299"/>
        <item x="163"/>
        <item x="7"/>
        <item x="192"/>
        <item x="146"/>
        <item x="84"/>
        <item x="290"/>
        <item x="339"/>
        <item x="164"/>
        <item x="438"/>
        <item x="93"/>
        <item x="121"/>
        <item x="390"/>
        <item x="210"/>
        <item x="357"/>
        <item x="118"/>
        <item x="272"/>
        <item x="464"/>
        <item x="416"/>
        <item x="372"/>
        <item x="136"/>
        <item x="489"/>
        <item x="487"/>
        <item x="156"/>
        <item x="303"/>
        <item x="130"/>
        <item x="309"/>
        <item x="225"/>
        <item x="157"/>
        <item x="442"/>
        <item x="287"/>
        <item x="374"/>
        <item x="316"/>
        <item x="221"/>
        <item x="336"/>
        <item x="271"/>
        <item x="274"/>
        <item x="338"/>
        <item x="227"/>
        <item x="179"/>
        <item x="149"/>
        <item x="200"/>
        <item x="131"/>
        <item x="490"/>
        <item x="202"/>
        <item x="371"/>
        <item x="61"/>
        <item x="188"/>
        <item x="64"/>
        <item x="235"/>
        <item x="472"/>
        <item x="377"/>
        <item x="212"/>
        <item x="226"/>
        <item x="44"/>
        <item x="360"/>
        <item x="194"/>
        <item x="86"/>
        <item x="317"/>
        <item x="46"/>
        <item x="460"/>
        <item x="281"/>
        <item x="129"/>
        <item x="128"/>
        <item x="330"/>
        <item x="359"/>
        <item x="443"/>
        <item x="351"/>
        <item x="112"/>
        <item x="376"/>
        <item x="150"/>
        <item x="238"/>
        <item x="63"/>
        <item x="279"/>
        <item x="356"/>
        <item x="22"/>
        <item x="321"/>
        <item x="57"/>
        <item x="107"/>
        <item x="396"/>
        <item x="138"/>
        <item x="415"/>
        <item x="440"/>
        <item x="419"/>
        <item x="361"/>
        <item x="83"/>
        <item x="193"/>
        <item x="59"/>
        <item x="394"/>
        <item x="310"/>
        <item x="209"/>
        <item x="45"/>
        <item x="325"/>
        <item x="296"/>
        <item x="133"/>
        <item x="106"/>
        <item x="411"/>
        <item x="27"/>
        <item x="284"/>
        <item x="223"/>
        <item x="55"/>
        <item x="120"/>
        <item x="180"/>
        <item x="278"/>
        <item x="450"/>
        <item x="366"/>
        <item x="358"/>
        <item x="332"/>
        <item x="342"/>
        <item x="15"/>
        <item x="81"/>
        <item x="423"/>
        <item x="246"/>
        <item x="405"/>
        <item x="445"/>
        <item x="41"/>
        <item x="318"/>
        <item x="491"/>
        <item x="298"/>
        <item x="32"/>
        <item x="418"/>
        <item x="420"/>
        <item x="18"/>
        <item x="265"/>
        <item x="38"/>
        <item x="68"/>
        <item x="495"/>
        <item t="default"/>
      </items>
    </pivotField>
    <pivotField showAll="0"/>
    <pivotField showAll="0">
      <items count="11">
        <item x="4"/>
        <item x="2"/>
        <item x="6"/>
        <item x="5"/>
        <item x="0"/>
        <item x="7"/>
        <item x="3"/>
        <item x="1"/>
        <item x="8"/>
        <item x="9"/>
        <item t="default"/>
      </items>
    </pivotField>
    <pivotField showAll="0"/>
    <pivotField axis="axisCol" showAll="0">
      <items count="6">
        <item x="3"/>
        <item x="1"/>
        <item x="0"/>
        <item x="2"/>
        <item x="4"/>
        <item t="default"/>
      </items>
    </pivotField>
    <pivotField showAll="0"/>
    <pivotField showAll="0"/>
  </pivotFields>
  <rowFields count="1">
    <field x="6"/>
  </rowFields>
  <rowItems count="18">
    <i>
      <x/>
    </i>
    <i>
      <x v="1"/>
    </i>
    <i>
      <x v="2"/>
    </i>
    <i>
      <x v="4"/>
    </i>
    <i>
      <x v="5"/>
    </i>
    <i>
      <x v="6"/>
    </i>
    <i>
      <x v="7"/>
    </i>
    <i>
      <x v="8"/>
    </i>
    <i>
      <x v="9"/>
    </i>
    <i>
      <x v="10"/>
    </i>
    <i>
      <x v="11"/>
    </i>
    <i>
      <x v="12"/>
    </i>
    <i>
      <x v="13"/>
    </i>
    <i>
      <x v="14"/>
    </i>
    <i>
      <x v="15"/>
    </i>
    <i>
      <x v="16"/>
    </i>
    <i>
      <x v="17"/>
    </i>
    <i t="grand">
      <x/>
    </i>
  </rowItems>
  <colFields count="1">
    <field x="17"/>
  </colFields>
  <colItems count="5">
    <i>
      <x/>
    </i>
    <i>
      <x v="1"/>
    </i>
    <i>
      <x v="2"/>
    </i>
    <i>
      <x v="3"/>
    </i>
    <i t="grand">
      <x/>
    </i>
  </colItems>
  <pageFields count="1">
    <pageField fld="9" item="0" hier="-1"/>
  </pageFields>
  <dataFields count="1">
    <dataField name="Count of Product_Name" fld="9" subtotal="count" baseField="0" baseItem="0"/>
  </dataFields>
  <chartFormats count="5">
    <chartFormat chart="2" format="32" series="1">
      <pivotArea type="data" outline="0" fieldPosition="0">
        <references count="2">
          <reference field="4294967294" count="1" selected="0">
            <x v="0"/>
          </reference>
          <reference field="17" count="1" selected="0">
            <x v="0"/>
          </reference>
        </references>
      </pivotArea>
    </chartFormat>
    <chartFormat chart="2" format="33" series="1">
      <pivotArea type="data" outline="0" fieldPosition="0">
        <references count="2">
          <reference field="4294967294" count="1" selected="0">
            <x v="0"/>
          </reference>
          <reference field="17" count="1" selected="0">
            <x v="1"/>
          </reference>
        </references>
      </pivotArea>
    </chartFormat>
    <chartFormat chart="2" format="34" series="1">
      <pivotArea type="data" outline="0" fieldPosition="0">
        <references count="2">
          <reference field="4294967294" count="1" selected="0">
            <x v="0"/>
          </reference>
          <reference field="17" count="1" selected="0">
            <x v="2"/>
          </reference>
        </references>
      </pivotArea>
    </chartFormat>
    <chartFormat chart="2" format="35" series="1">
      <pivotArea type="data" outline="0" fieldPosition="0">
        <references count="2">
          <reference field="4294967294" count="1" selected="0">
            <x v="0"/>
          </reference>
          <reference field="17" count="1" selected="0">
            <x v="3"/>
          </reference>
        </references>
      </pivotArea>
    </chartFormat>
    <chartFormat chart="2"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6BA9E4-D8AC-4BA8-88E6-0E995DE8368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G27" firstHeaderRow="1" firstDataRow="2" firstDataCol="1" rowPageCount="1" colPageCount="1"/>
  <pivotFields count="20">
    <pivotField showAll="0"/>
    <pivotField showAll="0"/>
    <pivotField showAll="0"/>
    <pivotField showAll="0"/>
    <pivotField showAll="0">
      <items count="4">
        <item x="1"/>
        <item x="0"/>
        <item x="2"/>
        <item t="default"/>
      </items>
    </pivotField>
    <pivotField showAll="0"/>
    <pivotField showAll="0">
      <items count="20">
        <item x="14"/>
        <item x="12"/>
        <item x="11"/>
        <item x="17"/>
        <item x="3"/>
        <item x="4"/>
        <item x="2"/>
        <item x="8"/>
        <item x="0"/>
        <item x="10"/>
        <item x="15"/>
        <item x="7"/>
        <item x="6"/>
        <item x="9"/>
        <item x="13"/>
        <item x="16"/>
        <item x="5"/>
        <item x="1"/>
        <item x="18"/>
        <item t="default"/>
      </items>
    </pivotField>
    <pivotField axis="axisRow" showAll="0">
      <items count="12">
        <item x="3"/>
        <item x="1"/>
        <item x="9"/>
        <item x="0"/>
        <item x="4"/>
        <item x="5"/>
        <item x="2"/>
        <item x="7"/>
        <item x="8"/>
        <item x="6"/>
        <item x="10"/>
        <item t="default"/>
      </items>
    </pivotField>
    <pivotField showAll="0"/>
    <pivotField showAll="0"/>
    <pivotField axis="axisPage" dataField="1" showAll="0">
      <items count="7">
        <item x="0"/>
        <item x="2"/>
        <item x="4"/>
        <item x="3"/>
        <item x="1"/>
        <item x="5"/>
        <item t="default"/>
      </items>
    </pivotField>
    <pivotField showAll="0">
      <items count="19">
        <item x="14"/>
        <item x="6"/>
        <item x="5"/>
        <item x="0"/>
        <item x="11"/>
        <item x="10"/>
        <item x="13"/>
        <item x="15"/>
        <item x="7"/>
        <item x="4"/>
        <item x="8"/>
        <item x="1"/>
        <item x="2"/>
        <item x="3"/>
        <item x="12"/>
        <item x="16"/>
        <item x="9"/>
        <item x="17"/>
        <item t="default"/>
      </items>
    </pivotField>
    <pivotField showAll="0">
      <items count="8">
        <item x="5"/>
        <item x="4"/>
        <item x="2"/>
        <item x="3"/>
        <item x="1"/>
        <item x="0"/>
        <item x="6"/>
        <item t="default"/>
      </items>
    </pivotField>
    <pivotField showAll="0">
      <items count="497">
        <item x="493"/>
        <item x="87"/>
        <item x="16"/>
        <item x="269"/>
        <item x="199"/>
        <item x="229"/>
        <item x="270"/>
        <item x="424"/>
        <item x="152"/>
        <item x="117"/>
        <item x="53"/>
        <item x="455"/>
        <item x="9"/>
        <item x="259"/>
        <item x="363"/>
        <item x="56"/>
        <item x="343"/>
        <item x="96"/>
        <item x="94"/>
        <item x="401"/>
        <item x="244"/>
        <item x="421"/>
        <item x="465"/>
        <item x="462"/>
        <item x="436"/>
        <item x="345"/>
        <item x="348"/>
        <item x="189"/>
        <item x="288"/>
        <item x="400"/>
        <item x="481"/>
        <item x="143"/>
        <item x="195"/>
        <item x="240"/>
        <item x="297"/>
        <item x="10"/>
        <item x="29"/>
        <item x="201"/>
        <item x="233"/>
        <item x="153"/>
        <item x="439"/>
        <item x="432"/>
        <item x="67"/>
        <item x="161"/>
        <item x="183"/>
        <item x="135"/>
        <item x="101"/>
        <item x="256"/>
        <item x="468"/>
        <item x="429"/>
        <item x="430"/>
        <item x="137"/>
        <item x="466"/>
        <item x="370"/>
        <item x="391"/>
        <item x="373"/>
        <item x="177"/>
        <item x="219"/>
        <item x="475"/>
        <item x="453"/>
        <item x="447"/>
        <item x="387"/>
        <item x="116"/>
        <item x="293"/>
        <item x="215"/>
        <item x="205"/>
        <item x="328"/>
        <item x="220"/>
        <item x="123"/>
        <item x="367"/>
        <item x="105"/>
        <item x="379"/>
        <item x="100"/>
        <item x="260"/>
        <item x="258"/>
        <item x="40"/>
        <item x="72"/>
        <item x="213"/>
        <item x="347"/>
        <item x="58"/>
        <item x="239"/>
        <item x="289"/>
        <item x="115"/>
        <item x="364"/>
        <item x="127"/>
        <item x="311"/>
        <item x="389"/>
        <item x="427"/>
        <item x="478"/>
        <item x="51"/>
        <item x="485"/>
        <item x="103"/>
        <item x="92"/>
        <item x="218"/>
        <item x="228"/>
        <item x="232"/>
        <item x="37"/>
        <item x="398"/>
        <item x="186"/>
        <item x="301"/>
        <item x="473"/>
        <item x="435"/>
        <item x="4"/>
        <item x="182"/>
        <item x="191"/>
        <item x="111"/>
        <item x="148"/>
        <item x="375"/>
        <item x="431"/>
        <item x="3"/>
        <item x="403"/>
        <item x="155"/>
        <item x="102"/>
        <item x="90"/>
        <item x="323"/>
        <item x="184"/>
        <item x="275"/>
        <item x="237"/>
        <item x="97"/>
        <item x="474"/>
        <item x="449"/>
        <item x="132"/>
        <item x="62"/>
        <item x="168"/>
        <item x="160"/>
        <item x="165"/>
        <item x="335"/>
        <item x="305"/>
        <item x="461"/>
        <item x="470"/>
        <item x="446"/>
        <item x="95"/>
        <item x="248"/>
        <item x="2"/>
        <item x="283"/>
        <item x="492"/>
        <item x="23"/>
        <item x="255"/>
        <item x="393"/>
        <item x="469"/>
        <item x="346"/>
        <item x="89"/>
        <item x="207"/>
        <item x="267"/>
        <item x="254"/>
        <item x="402"/>
        <item x="114"/>
        <item x="292"/>
        <item x="477"/>
        <item x="384"/>
        <item x="172"/>
        <item x="144"/>
        <item x="126"/>
        <item x="476"/>
        <item x="231"/>
        <item x="383"/>
        <item x="326"/>
        <item x="142"/>
        <item x="483"/>
        <item x="178"/>
        <item x="406"/>
        <item x="154"/>
        <item x="362"/>
        <item x="494"/>
        <item x="458"/>
        <item x="47"/>
        <item x="48"/>
        <item x="43"/>
        <item x="378"/>
        <item x="13"/>
        <item x="388"/>
        <item x="171"/>
        <item x="486"/>
        <item x="6"/>
        <item x="19"/>
        <item x="119"/>
        <item x="187"/>
        <item x="170"/>
        <item x="88"/>
        <item x="459"/>
        <item x="300"/>
        <item x="280"/>
        <item x="257"/>
        <item x="304"/>
        <item x="203"/>
        <item x="308"/>
        <item x="52"/>
        <item x="124"/>
        <item x="480"/>
        <item x="408"/>
        <item x="312"/>
        <item x="397"/>
        <item x="66"/>
        <item x="1"/>
        <item x="140"/>
        <item x="166"/>
        <item x="31"/>
        <item x="12"/>
        <item x="422"/>
        <item x="109"/>
        <item x="349"/>
        <item x="392"/>
        <item x="230"/>
        <item x="344"/>
        <item x="413"/>
        <item x="24"/>
        <item x="261"/>
        <item x="350"/>
        <item x="463"/>
        <item x="197"/>
        <item x="222"/>
        <item x="471"/>
        <item x="211"/>
        <item x="5"/>
        <item x="39"/>
        <item x="79"/>
        <item x="291"/>
        <item x="176"/>
        <item x="82"/>
        <item x="206"/>
        <item x="30"/>
        <item x="50"/>
        <item x="482"/>
        <item x="263"/>
        <item x="319"/>
        <item x="49"/>
        <item x="282"/>
        <item x="247"/>
        <item x="251"/>
        <item x="8"/>
        <item x="385"/>
        <item x="242"/>
        <item x="25"/>
        <item x="243"/>
        <item x="75"/>
        <item x="78"/>
        <item x="35"/>
        <item x="407"/>
        <item x="113"/>
        <item x="216"/>
        <item x="236"/>
        <item x="169"/>
        <item x="42"/>
        <item x="353"/>
        <item x="409"/>
        <item x="327"/>
        <item x="386"/>
        <item x="286"/>
        <item x="444"/>
        <item x="173"/>
        <item x="333"/>
        <item x="70"/>
        <item x="110"/>
        <item x="314"/>
        <item x="315"/>
        <item x="245"/>
        <item x="60"/>
        <item x="73"/>
        <item x="324"/>
        <item x="175"/>
        <item x="54"/>
        <item x="320"/>
        <item x="313"/>
        <item x="412"/>
        <item x="20"/>
        <item x="451"/>
        <item x="253"/>
        <item x="33"/>
        <item x="158"/>
        <item x="448"/>
        <item x="302"/>
        <item x="34"/>
        <item x="380"/>
        <item x="381"/>
        <item x="322"/>
        <item x="249"/>
        <item x="414"/>
        <item x="368"/>
        <item x="159"/>
        <item x="273"/>
        <item x="428"/>
        <item x="125"/>
        <item x="404"/>
        <item x="479"/>
        <item x="276"/>
        <item x="147"/>
        <item x="214"/>
        <item x="26"/>
        <item x="36"/>
        <item x="352"/>
        <item x="426"/>
        <item x="151"/>
        <item x="337"/>
        <item x="167"/>
        <item x="264"/>
        <item x="104"/>
        <item x="77"/>
        <item x="457"/>
        <item x="285"/>
        <item x="329"/>
        <item x="395"/>
        <item x="454"/>
        <item x="185"/>
        <item x="341"/>
        <item x="334"/>
        <item x="417"/>
        <item x="174"/>
        <item x="198"/>
        <item x="234"/>
        <item x="80"/>
        <item x="433"/>
        <item x="437"/>
        <item x="434"/>
        <item x="11"/>
        <item x="268"/>
        <item x="331"/>
        <item x="208"/>
        <item x="65"/>
        <item x="17"/>
        <item x="98"/>
        <item x="28"/>
        <item x="410"/>
        <item x="122"/>
        <item x="139"/>
        <item x="425"/>
        <item x="181"/>
        <item x="369"/>
        <item x="488"/>
        <item x="69"/>
        <item x="340"/>
        <item x="71"/>
        <item x="252"/>
        <item x="190"/>
        <item x="365"/>
        <item x="14"/>
        <item x="277"/>
        <item x="306"/>
        <item x="21"/>
        <item x="108"/>
        <item x="162"/>
        <item x="355"/>
        <item x="99"/>
        <item x="441"/>
        <item x="382"/>
        <item x="76"/>
        <item x="250"/>
        <item x="204"/>
        <item x="141"/>
        <item x="294"/>
        <item x="266"/>
        <item x="307"/>
        <item x="217"/>
        <item x="262"/>
        <item x="134"/>
        <item x="456"/>
        <item x="241"/>
        <item x="74"/>
        <item x="295"/>
        <item x="145"/>
        <item x="91"/>
        <item x="452"/>
        <item x="196"/>
        <item x="85"/>
        <item x="484"/>
        <item x="467"/>
        <item x="0"/>
        <item x="354"/>
        <item x="399"/>
        <item x="224"/>
        <item x="299"/>
        <item x="163"/>
        <item x="7"/>
        <item x="192"/>
        <item x="146"/>
        <item x="84"/>
        <item x="290"/>
        <item x="339"/>
        <item x="164"/>
        <item x="438"/>
        <item x="93"/>
        <item x="121"/>
        <item x="390"/>
        <item x="210"/>
        <item x="357"/>
        <item x="118"/>
        <item x="272"/>
        <item x="464"/>
        <item x="416"/>
        <item x="372"/>
        <item x="136"/>
        <item x="489"/>
        <item x="487"/>
        <item x="156"/>
        <item x="303"/>
        <item x="130"/>
        <item x="309"/>
        <item x="225"/>
        <item x="157"/>
        <item x="442"/>
        <item x="287"/>
        <item x="374"/>
        <item x="316"/>
        <item x="221"/>
        <item x="336"/>
        <item x="271"/>
        <item x="274"/>
        <item x="338"/>
        <item x="227"/>
        <item x="179"/>
        <item x="149"/>
        <item x="200"/>
        <item x="131"/>
        <item x="490"/>
        <item x="202"/>
        <item x="371"/>
        <item x="61"/>
        <item x="188"/>
        <item x="64"/>
        <item x="235"/>
        <item x="472"/>
        <item x="377"/>
        <item x="212"/>
        <item x="226"/>
        <item x="44"/>
        <item x="360"/>
        <item x="194"/>
        <item x="86"/>
        <item x="317"/>
        <item x="46"/>
        <item x="460"/>
        <item x="281"/>
        <item x="129"/>
        <item x="128"/>
        <item x="330"/>
        <item x="359"/>
        <item x="443"/>
        <item x="351"/>
        <item x="112"/>
        <item x="376"/>
        <item x="150"/>
        <item x="238"/>
        <item x="63"/>
        <item x="279"/>
        <item x="356"/>
        <item x="22"/>
        <item x="321"/>
        <item x="57"/>
        <item x="107"/>
        <item x="396"/>
        <item x="138"/>
        <item x="415"/>
        <item x="440"/>
        <item x="419"/>
        <item x="361"/>
        <item x="83"/>
        <item x="193"/>
        <item x="59"/>
        <item x="394"/>
        <item x="310"/>
        <item x="209"/>
        <item x="45"/>
        <item x="325"/>
        <item x="296"/>
        <item x="133"/>
        <item x="106"/>
        <item x="411"/>
        <item x="27"/>
        <item x="284"/>
        <item x="223"/>
        <item x="55"/>
        <item x="120"/>
        <item x="180"/>
        <item x="278"/>
        <item x="450"/>
        <item x="366"/>
        <item x="358"/>
        <item x="332"/>
        <item x="342"/>
        <item x="15"/>
        <item x="81"/>
        <item x="423"/>
        <item x="246"/>
        <item x="405"/>
        <item x="445"/>
        <item x="41"/>
        <item x="318"/>
        <item x="491"/>
        <item x="298"/>
        <item x="32"/>
        <item x="418"/>
        <item x="420"/>
        <item x="18"/>
        <item x="265"/>
        <item x="38"/>
        <item x="68"/>
        <item x="495"/>
        <item t="default"/>
      </items>
    </pivotField>
    <pivotField showAll="0"/>
    <pivotField showAll="0">
      <items count="11">
        <item x="4"/>
        <item x="2"/>
        <item x="6"/>
        <item x="5"/>
        <item x="0"/>
        <item x="7"/>
        <item x="3"/>
        <item x="1"/>
        <item x="8"/>
        <item x="9"/>
        <item t="default"/>
      </items>
    </pivotField>
    <pivotField showAll="0"/>
    <pivotField axis="axisCol" showAll="0">
      <items count="6">
        <item x="3"/>
        <item x="1"/>
        <item x="0"/>
        <item x="2"/>
        <item x="4"/>
        <item t="default"/>
      </items>
    </pivotField>
    <pivotField showAll="0"/>
    <pivotField showAll="0"/>
  </pivotFields>
  <rowFields count="1">
    <field x="7"/>
  </rowFields>
  <rowItems count="12">
    <i>
      <x/>
    </i>
    <i>
      <x v="1"/>
    </i>
    <i>
      <x v="2"/>
    </i>
    <i>
      <x v="3"/>
    </i>
    <i>
      <x v="4"/>
    </i>
    <i>
      <x v="5"/>
    </i>
    <i>
      <x v="6"/>
    </i>
    <i>
      <x v="7"/>
    </i>
    <i>
      <x v="8"/>
    </i>
    <i>
      <x v="9"/>
    </i>
    <i>
      <x v="10"/>
    </i>
    <i t="grand">
      <x/>
    </i>
  </rowItems>
  <colFields count="1">
    <field x="17"/>
  </colFields>
  <colItems count="6">
    <i>
      <x/>
    </i>
    <i>
      <x v="1"/>
    </i>
    <i>
      <x v="2"/>
    </i>
    <i>
      <x v="3"/>
    </i>
    <i>
      <x v="4"/>
    </i>
    <i t="grand">
      <x/>
    </i>
  </colItems>
  <pageFields count="1">
    <pageField fld="10" hier="-1"/>
  </pageFields>
  <dataFields count="1">
    <dataField name="Count of Category"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484D34E-4097-46C3-AB75-DE726758C4AA}" autoFormatId="16" applyNumberFormats="0" applyBorderFormats="0" applyFontFormats="0" applyPatternFormats="0" applyAlignmentFormats="0" applyWidthHeightFormats="0">
  <queryTableRefresh nextId="21">
    <queryTableFields count="20">
      <queryTableField id="1" name="Order_ID" tableColumnId="1"/>
      <queryTableField id="2" name="Order_Date" tableColumnId="2"/>
      <queryTableField id="3" name="Customer_ID" tableColumnId="3"/>
      <queryTableField id="4" name="Customer_Name" tableColumnId="4"/>
      <queryTableField id="5" name="Gender" tableColumnId="5"/>
      <queryTableField id="6" name="Age" tableColumnId="6"/>
      <queryTableField id="7" name="City" tableColumnId="7"/>
      <queryTableField id="8" name="State" tableColumnId="8"/>
      <queryTableField id="9" name="Product_ID" tableColumnId="9"/>
      <queryTableField id="10" name="Product_Name" tableColumnId="10"/>
      <queryTableField id="11" name="Category" tableColumnId="11"/>
      <queryTableField id="12" name="Sub_Category" tableColumnId="12"/>
      <queryTableField id="13" name="Quantity" tableColumnId="13"/>
      <queryTableField id="14" name="Sales_Amount" tableColumnId="14"/>
      <queryTableField id="15" name="Cost_Price" tableColumnId="15"/>
      <queryTableField id="16" name="Discount_Percent" tableColumnId="16"/>
      <queryTableField id="17" name="Payment_Mode" tableColumnId="17"/>
      <queryTableField id="18" name="Order_Status" tableColumnId="18"/>
      <queryTableField id="19" name="Delivery_Date" tableColumnId="19"/>
      <queryTableField id="20" name="Rating"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933BFF9-7DC6-4A09-A3D0-85DE2DF709D6}" sourceName="City">
  <pivotTables>
    <pivotTable tabId="5" name="PivotTable2"/>
    <pivotTable tabId="5" name="PivotTable1"/>
    <pivotTable tabId="5" name="PivotTable3"/>
    <pivotTable tabId="5" name="PivotTable5"/>
  </pivotTables>
  <data>
    <tabular pivotCacheId="1616010346">
      <items count="19">
        <i x="14" s="1"/>
        <i x="12" s="1"/>
        <i x="11" s="1"/>
        <i x="17" s="1"/>
        <i x="3" s="1"/>
        <i x="4" s="1"/>
        <i x="2" s="1"/>
        <i x="8" s="1"/>
        <i x="0" s="1"/>
        <i x="10" s="1"/>
        <i x="15" s="1"/>
        <i x="7" s="1"/>
        <i x="6" s="1"/>
        <i x="9" s="1"/>
        <i x="13" s="1"/>
        <i x="16" s="1"/>
        <i x="5" s="1"/>
        <i x="1" s="1"/>
        <i x="1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32C280E-DDB4-4208-9F70-C6760AD495D2}" sourceName="State">
  <pivotTables>
    <pivotTable tabId="5" name="PivotTable1"/>
    <pivotTable tabId="5" name="PivotTable2"/>
    <pivotTable tabId="5" name="PivotTable3"/>
    <pivotTable tabId="5" name="PivotTable5"/>
  </pivotTables>
  <data>
    <tabular pivotCacheId="1616010346">
      <items count="11">
        <i x="3" s="1"/>
        <i x="1" s="1"/>
        <i x="9" s="1"/>
        <i x="0" s="1"/>
        <i x="4" s="1"/>
        <i x="5" s="1"/>
        <i x="2" s="1"/>
        <i x="7" s="1"/>
        <i x="8" s="1"/>
        <i x="6"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FD47674-43C7-4665-A08E-70676EEA2CCE}" sourceName="Order_Status">
  <pivotTables>
    <pivotTable tabId="5" name="PivotTable1"/>
    <pivotTable tabId="5" name="PivotTable2"/>
    <pivotTable tabId="5" name="PivotTable3"/>
    <pivotTable tabId="5" name="PivotTable5"/>
  </pivotTables>
  <data>
    <tabular pivotCacheId="1616010346">
      <items count="5">
        <i x="3" s="1"/>
        <i x="1" s="1"/>
        <i x="0"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D0AFFFA-2A1D-443E-940B-3C83D3B3BBB8}" cache="Slicer_City" caption="City" columnCount="3" rowHeight="144000"/>
  <slicer name="State" xr10:uid="{15FDFD25-DE09-4B82-A889-ED89CFEA89E9}" cache="Slicer_State" caption="State" columnCount="3" rowHeight="180000"/>
  <slicer name="Order_Status" xr10:uid="{5C863EFA-90E2-413B-948F-F4E6475203E0}" cache="Slicer_Order_Status" caption="Order_Status"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6F29CA-67A0-4690-A24A-D6FEBB1164FF}" name="Ecommerce_Raw_Data__2" displayName="Ecommerce_Raw_Data__2" ref="A1:T1001" tableType="queryTable" totalsRowShown="0">
  <tableColumns count="20">
    <tableColumn id="1" xr3:uid="{B9A64944-C08D-46F4-B7B7-78E094DB23EA}" uniqueName="1" name="Order_ID" queryTableFieldId="1" dataDxfId="41"/>
    <tableColumn id="2" xr3:uid="{3CE5655E-461F-4AFB-8877-19BAED821142}" uniqueName="2" name="Order_Date" queryTableFieldId="2"/>
    <tableColumn id="3" xr3:uid="{8E3D2241-E9C7-449C-AC95-C6D5A9658BD7}" uniqueName="3" name="Customer_ID" queryTableFieldId="3" dataDxfId="40"/>
    <tableColumn id="4" xr3:uid="{6B09B0E7-EE6B-4D9F-B824-E130801D2233}" uniqueName="4" name="Customer_Name" queryTableFieldId="4" dataDxfId="39"/>
    <tableColumn id="5" xr3:uid="{A707BED2-E340-4CE4-BEB5-D7544DBDDF1D}" uniqueName="5" name="Gender" queryTableFieldId="5" dataDxfId="38"/>
    <tableColumn id="6" xr3:uid="{FC255207-7445-48E8-B799-30C400B0E761}" uniqueName="6" name="Age" queryTableFieldId="6"/>
    <tableColumn id="7" xr3:uid="{CD839F29-436B-4372-8A14-0E75EB0B9C85}" uniqueName="7" name="City" queryTableFieldId="7" dataDxfId="37"/>
    <tableColumn id="8" xr3:uid="{19E14AEB-7897-4CE2-9C3E-223EDB5F74CD}" uniqueName="8" name="State" queryTableFieldId="8" dataDxfId="36"/>
    <tableColumn id="9" xr3:uid="{4AE45DA3-5BFE-4A62-80F8-8A614DCBDCF6}" uniqueName="9" name="Product_ID" queryTableFieldId="9" dataDxfId="35"/>
    <tableColumn id="10" xr3:uid="{7A135B5D-9482-4832-9CC7-C590F8237F19}" uniqueName="10" name="Product_Name" queryTableFieldId="10" dataDxfId="34"/>
    <tableColumn id="11" xr3:uid="{3A9026BB-2A0E-4DF2-B4A1-AB4E71A11FB7}" uniqueName="11" name="Category" queryTableFieldId="11" dataDxfId="33"/>
    <tableColumn id="12" xr3:uid="{F736E94D-3078-422A-844E-9249EA8B87CA}" uniqueName="12" name="Sub_Category" queryTableFieldId="12" dataDxfId="32"/>
    <tableColumn id="13" xr3:uid="{AA63BCA5-1C11-43DF-A46D-C953E2B9EA08}" uniqueName="13" name="Quantity" queryTableFieldId="13" dataDxfId="31"/>
    <tableColumn id="14" xr3:uid="{F6E6BE18-FE9C-4722-9E03-07E285A336A4}" uniqueName="14" name="Sales_Amount" queryTableFieldId="14" dataDxfId="30"/>
    <tableColumn id="15" xr3:uid="{FB1719AD-C238-45F7-B2C3-3963940DC11B}" uniqueName="15" name="Cost_Price" queryTableFieldId="15" dataDxfId="29"/>
    <tableColumn id="16" xr3:uid="{282B440C-AA02-4B41-A255-94ECE46FA7C6}" uniqueName="16" name="Discount_Percent" queryTableFieldId="16" dataDxfId="28"/>
    <tableColumn id="17" xr3:uid="{DA7072E9-15BB-4690-BA9F-AFAB10E4B5FF}" uniqueName="17" name="Payment_Mode" queryTableFieldId="17" dataDxfId="27"/>
    <tableColumn id="18" xr3:uid="{C352EFF8-3905-40EF-A630-103E84072771}" uniqueName="18" name="Order_Status" queryTableFieldId="18" dataDxfId="26"/>
    <tableColumn id="19" xr3:uid="{DAE80F24-554A-4336-BDA1-D78705499E08}" uniqueName="19" name="Delivery_Date" queryTableFieldId="19" dataDxfId="25"/>
    <tableColumn id="20" xr3:uid="{88D845A6-522D-4D6A-AE71-05E24CDE721C}" uniqueName="20" name="Rating" queryTableFieldId="20"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0DC0B6-AA81-4AF2-B5EE-54C3BD1BDCB3}" name="Table1" displayName="Table1" ref="A1:T1001" totalsRowShown="0" headerRowDxfId="23" headerRowBorderDxfId="22" tableBorderDxfId="21">
  <autoFilter ref="A1:T1001" xr:uid="{AE0DC0B6-AA81-4AF2-B5EE-54C3BD1BDCB3}"/>
  <tableColumns count="20">
    <tableColumn id="1" xr3:uid="{A0AF5B37-3B70-480E-9D3F-6A33BBEC7C4D}" name="Order_ID" dataDxfId="20"/>
    <tableColumn id="2" xr3:uid="{891A5216-0ED0-4A87-8FF0-B6A198F98B0C}" name="Order_Date" dataDxfId="19"/>
    <tableColumn id="3" xr3:uid="{BED4B4AD-FE79-4177-96FB-CE140E8E31D1}" name="Customer_ID" dataDxfId="18"/>
    <tableColumn id="4" xr3:uid="{D8553B1C-E369-4813-B8F0-59A143A7E755}" name="Customer_Name" dataDxfId="17"/>
    <tableColumn id="5" xr3:uid="{F18070F5-CC9E-452E-9A4E-C1D4CF49C924}" name="Gender" dataDxfId="16"/>
    <tableColumn id="6" xr3:uid="{D5DF0115-F501-4033-B27D-94888CC5CF3E}" name="Age" dataDxfId="15"/>
    <tableColumn id="7" xr3:uid="{E5ECC78D-CBA5-4005-9A1E-A41DADFBD36C}" name="City" dataDxfId="14"/>
    <tableColumn id="8" xr3:uid="{18D8A9C6-ADC5-4E3B-8596-F33411BA5FAB}" name="State" dataDxfId="13"/>
    <tableColumn id="9" xr3:uid="{18640286-4663-4CF2-8EFA-CD660ACED6E0}" name="Product_ID" dataDxfId="12"/>
    <tableColumn id="10" xr3:uid="{0744A4D6-C4B4-4EE4-A674-E499556B8D73}" name="Product_Name" dataDxfId="11"/>
    <tableColumn id="11" xr3:uid="{9CED53F9-149A-46E9-B959-7833928E4B86}" name="Category" dataDxfId="10"/>
    <tableColumn id="12" xr3:uid="{AD6A7D05-9231-4570-946E-FB4F2D079402}" name="Sub_Category" dataDxfId="9"/>
    <tableColumn id="13" xr3:uid="{29831CA9-1364-4E16-AD7F-D222815C782C}" name="Quantity" dataDxfId="8"/>
    <tableColumn id="14" xr3:uid="{6A6C774E-13B6-49D1-9E92-E1142249A8D9}" name="Sales_Amount" dataDxfId="7"/>
    <tableColumn id="15" xr3:uid="{C5DC6AC0-B0C3-4C21-8AA8-BEB984C2C88E}" name="Cost_Price" dataDxfId="6"/>
    <tableColumn id="16" xr3:uid="{68AD54FC-44FE-4151-8F62-7931D8C76385}" name="Discount_Percent" dataDxfId="5"/>
    <tableColumn id="17" xr3:uid="{FDC5B021-AB5E-48C3-BFA7-0943598C79F5}" name="Payment_Mode" dataDxfId="4"/>
    <tableColumn id="18" xr3:uid="{CFE29B31-A9F7-4D5C-84E5-852C45E8AC51}" name="Order_Status" dataDxfId="3"/>
    <tableColumn id="19" xr3:uid="{D5A2A0FB-6FEB-4326-900D-D1499931E3E9}" name="Delivery_Date" dataDxfId="2"/>
    <tableColumn id="20" xr3:uid="{070DC186-7D29-4134-9027-3514A7AE9C27}" name="Rating"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360B-08BD-4FEB-B9AE-3400B47E14E8}">
  <sheetPr codeName="Sheet2"/>
  <dimension ref="A1:T1001"/>
  <sheetViews>
    <sheetView topLeftCell="H1" zoomScaleNormal="100" workbookViewId="0">
      <selection activeCell="V16" sqref="V16"/>
    </sheetView>
  </sheetViews>
  <sheetFormatPr defaultRowHeight="14.4" x14ac:dyDescent="0.3"/>
  <cols>
    <col min="1" max="1" width="10.5546875" bestFit="1" customWidth="1"/>
    <col min="2" max="2" width="12.6640625" bestFit="1" customWidth="1"/>
    <col min="3" max="3" width="13.88671875" bestFit="1" customWidth="1"/>
    <col min="4" max="4" width="17.21875" bestFit="1" customWidth="1"/>
    <col min="5" max="5" width="9.33203125" bestFit="1" customWidth="1"/>
    <col min="6" max="6" width="6.21875" bestFit="1" customWidth="1"/>
    <col min="7" max="7" width="10.6640625" bestFit="1" customWidth="1"/>
    <col min="8" max="8" width="14.33203125" style="14" bestFit="1" customWidth="1"/>
    <col min="9" max="9" width="12.33203125" style="14" bestFit="1" customWidth="1"/>
    <col min="10" max="10" width="17.21875" style="14" bestFit="1" customWidth="1"/>
    <col min="11" max="11" width="13.88671875" style="14" bestFit="1" customWidth="1"/>
    <col min="12" max="12" width="19.44140625" style="14" bestFit="1" customWidth="1"/>
    <col min="13" max="13" width="10.33203125" style="14" bestFit="1" customWidth="1"/>
    <col min="14" max="14" width="15" style="14" bestFit="1" customWidth="1"/>
    <col min="15" max="15" width="12.109375" style="14" bestFit="1" customWidth="1"/>
    <col min="16" max="16" width="17.88671875" style="14" bestFit="1" customWidth="1"/>
    <col min="17" max="17" width="16" style="14" bestFit="1" customWidth="1"/>
    <col min="18" max="18" width="14.109375" style="14" bestFit="1" customWidth="1"/>
    <col min="19" max="19" width="14.6640625" style="14" bestFit="1" customWidth="1"/>
    <col min="20" max="20" width="8.44140625" style="14" bestFit="1" customWidth="1"/>
  </cols>
  <sheetData>
    <row r="1" spans="1:20" x14ac:dyDescent="0.3">
      <c r="A1" t="s">
        <v>0</v>
      </c>
      <c r="B1" t="s">
        <v>1</v>
      </c>
      <c r="C1" t="s">
        <v>2</v>
      </c>
      <c r="D1" t="s">
        <v>3</v>
      </c>
      <c r="E1" t="s">
        <v>4</v>
      </c>
      <c r="F1" t="s">
        <v>5</v>
      </c>
      <c r="G1" t="s">
        <v>6</v>
      </c>
      <c r="H1" s="14" t="s">
        <v>7</v>
      </c>
      <c r="I1" s="14" t="s">
        <v>8</v>
      </c>
      <c r="J1" s="14" t="s">
        <v>9</v>
      </c>
      <c r="K1" s="14" t="s">
        <v>10</v>
      </c>
      <c r="L1" s="14" t="s">
        <v>11</v>
      </c>
      <c r="M1" s="14" t="s">
        <v>12</v>
      </c>
      <c r="N1" s="14" t="s">
        <v>13</v>
      </c>
      <c r="O1" s="14" t="s">
        <v>14</v>
      </c>
      <c r="P1" s="14" t="s">
        <v>15</v>
      </c>
      <c r="Q1" s="14" t="s">
        <v>16</v>
      </c>
      <c r="R1" s="14" t="s">
        <v>17</v>
      </c>
      <c r="S1" s="14" t="s">
        <v>18</v>
      </c>
      <c r="T1" s="14" t="s">
        <v>19</v>
      </c>
    </row>
    <row r="2" spans="1:20" x14ac:dyDescent="0.3">
      <c r="A2" t="s">
        <v>20</v>
      </c>
      <c r="B2">
        <v>45421</v>
      </c>
      <c r="C2" t="s">
        <v>21</v>
      </c>
      <c r="D2" t="s">
        <v>22</v>
      </c>
      <c r="E2" t="s">
        <v>23</v>
      </c>
      <c r="F2">
        <v>39</v>
      </c>
      <c r="G2" t="s">
        <v>24</v>
      </c>
      <c r="H2" s="14" t="s">
        <v>25</v>
      </c>
      <c r="I2" s="14" t="s">
        <v>26</v>
      </c>
      <c r="J2" s="14" t="s">
        <v>27</v>
      </c>
      <c r="K2" s="14" t="s">
        <v>28</v>
      </c>
      <c r="L2" s="14" t="s">
        <v>29</v>
      </c>
      <c r="M2" s="14">
        <v>5</v>
      </c>
      <c r="N2" s="14">
        <v>5196</v>
      </c>
      <c r="O2" s="14">
        <v>3950</v>
      </c>
      <c r="P2" s="14">
        <v>20</v>
      </c>
      <c r="Q2" s="14" t="s">
        <v>30</v>
      </c>
      <c r="R2" s="14" t="s">
        <v>31</v>
      </c>
      <c r="S2" s="14">
        <v>45430</v>
      </c>
      <c r="T2" s="14">
        <v>3</v>
      </c>
    </row>
    <row r="3" spans="1:20" x14ac:dyDescent="0.3">
      <c r="A3" t="s">
        <v>32</v>
      </c>
      <c r="B3">
        <v>45304</v>
      </c>
      <c r="C3" t="s">
        <v>33</v>
      </c>
      <c r="D3" t="s">
        <v>34</v>
      </c>
      <c r="E3" t="s">
        <v>23</v>
      </c>
      <c r="F3">
        <v>30</v>
      </c>
      <c r="G3" t="s">
        <v>35</v>
      </c>
      <c r="H3" s="14" t="s">
        <v>36</v>
      </c>
      <c r="I3" s="14" t="s">
        <v>37</v>
      </c>
      <c r="J3" s="14" t="s">
        <v>38</v>
      </c>
      <c r="K3" s="14" t="s">
        <v>39</v>
      </c>
      <c r="L3" s="14" t="s">
        <v>40</v>
      </c>
      <c r="M3" s="14">
        <v>4</v>
      </c>
      <c r="N3" s="14">
        <v>2157.6</v>
      </c>
      <c r="O3" s="14">
        <v>2080</v>
      </c>
      <c r="P3" s="14">
        <v>40</v>
      </c>
      <c r="Q3" s="14" t="s">
        <v>41</v>
      </c>
      <c r="R3" s="14" t="s">
        <v>42</v>
      </c>
      <c r="S3" s="14">
        <v>45306</v>
      </c>
      <c r="T3" s="14">
        <v>4</v>
      </c>
    </row>
    <row r="4" spans="1:20" x14ac:dyDescent="0.3">
      <c r="A4" t="s">
        <v>43</v>
      </c>
      <c r="B4">
        <v>45781</v>
      </c>
      <c r="C4" t="s">
        <v>44</v>
      </c>
      <c r="D4" t="s">
        <v>45</v>
      </c>
      <c r="E4" t="s">
        <v>23</v>
      </c>
      <c r="F4">
        <v>41</v>
      </c>
      <c r="G4" t="s">
        <v>46</v>
      </c>
      <c r="H4" s="14" t="s">
        <v>25</v>
      </c>
      <c r="I4" s="14" t="s">
        <v>47</v>
      </c>
      <c r="J4" s="14" t="s">
        <v>48</v>
      </c>
      <c r="K4" s="14" t="s">
        <v>39</v>
      </c>
      <c r="L4" s="14" t="s">
        <v>49</v>
      </c>
      <c r="M4" s="14">
        <v>4</v>
      </c>
      <c r="N4" s="14">
        <v>1516.2</v>
      </c>
      <c r="O4" s="14">
        <v>840</v>
      </c>
      <c r="P4" s="14">
        <v>5</v>
      </c>
      <c r="Q4" s="14" t="s">
        <v>50</v>
      </c>
      <c r="R4" s="14" t="s">
        <v>31</v>
      </c>
      <c r="S4" s="14">
        <v>45793</v>
      </c>
      <c r="T4" s="14">
        <v>2</v>
      </c>
    </row>
    <row r="5" spans="1:20" x14ac:dyDescent="0.3">
      <c r="A5" t="s">
        <v>51</v>
      </c>
      <c r="B5">
        <v>45447</v>
      </c>
      <c r="C5" t="s">
        <v>52</v>
      </c>
      <c r="D5" t="s">
        <v>53</v>
      </c>
      <c r="E5" t="s">
        <v>23</v>
      </c>
      <c r="F5">
        <v>18</v>
      </c>
      <c r="G5" t="s">
        <v>35</v>
      </c>
      <c r="H5" s="14" t="s">
        <v>36</v>
      </c>
      <c r="I5" s="14" t="s">
        <v>54</v>
      </c>
      <c r="J5" s="14" t="s">
        <v>55</v>
      </c>
      <c r="K5" s="14" t="s">
        <v>28</v>
      </c>
      <c r="L5" s="14" t="s">
        <v>56</v>
      </c>
      <c r="M5" s="14">
        <v>2</v>
      </c>
      <c r="N5" s="14">
        <v>1328.1</v>
      </c>
      <c r="O5" s="14">
        <v>820</v>
      </c>
      <c r="P5" s="14">
        <v>5</v>
      </c>
      <c r="Q5" s="14" t="s">
        <v>50</v>
      </c>
      <c r="R5" s="14" t="s">
        <v>57</v>
      </c>
      <c r="S5" s="14">
        <v>45455</v>
      </c>
      <c r="T5" s="14">
        <v>4</v>
      </c>
    </row>
    <row r="6" spans="1:20" x14ac:dyDescent="0.3">
      <c r="A6" t="s">
        <v>58</v>
      </c>
      <c r="B6">
        <v>45827</v>
      </c>
      <c r="C6" t="s">
        <v>59</v>
      </c>
      <c r="D6" t="s">
        <v>60</v>
      </c>
      <c r="E6" t="s">
        <v>23</v>
      </c>
      <c r="F6">
        <v>37</v>
      </c>
      <c r="G6" t="s">
        <v>61</v>
      </c>
      <c r="H6" s="14" t="s">
        <v>62</v>
      </c>
      <c r="I6" s="14" t="s">
        <v>63</v>
      </c>
      <c r="J6" s="14" t="s">
        <v>64</v>
      </c>
      <c r="K6" s="14" t="s">
        <v>39</v>
      </c>
      <c r="L6" s="14" t="s">
        <v>40</v>
      </c>
      <c r="M6" s="14">
        <v>3</v>
      </c>
      <c r="N6" s="14">
        <v>1257.9000000000001</v>
      </c>
      <c r="O6" s="14">
        <v>990</v>
      </c>
      <c r="P6" s="14">
        <v>30</v>
      </c>
      <c r="Q6" s="14" t="s">
        <v>41</v>
      </c>
      <c r="R6" s="14" t="s">
        <v>65</v>
      </c>
    </row>
    <row r="7" spans="1:20" x14ac:dyDescent="0.3">
      <c r="A7" t="s">
        <v>66</v>
      </c>
      <c r="B7">
        <v>45927</v>
      </c>
      <c r="C7" t="s">
        <v>67</v>
      </c>
      <c r="D7" t="s">
        <v>68</v>
      </c>
      <c r="E7" t="s">
        <v>23</v>
      </c>
      <c r="F7">
        <v>42</v>
      </c>
      <c r="G7" t="s">
        <v>69</v>
      </c>
      <c r="H7" s="14" t="s">
        <v>69</v>
      </c>
      <c r="I7" s="14" t="s">
        <v>70</v>
      </c>
      <c r="J7" s="14" t="s">
        <v>71</v>
      </c>
      <c r="K7" s="14" t="s">
        <v>28</v>
      </c>
      <c r="L7" s="14" t="s">
        <v>72</v>
      </c>
      <c r="M7" s="14">
        <v>2</v>
      </c>
      <c r="N7" s="14">
        <v>2398.4</v>
      </c>
      <c r="O7" s="14">
        <v>1840</v>
      </c>
      <c r="P7" s="14">
        <v>20</v>
      </c>
      <c r="Q7" s="14" t="s">
        <v>73</v>
      </c>
      <c r="R7" s="14" t="s">
        <v>42</v>
      </c>
      <c r="S7" s="14">
        <v>45932</v>
      </c>
      <c r="T7" s="14">
        <v>3</v>
      </c>
    </row>
    <row r="8" spans="1:20" x14ac:dyDescent="0.3">
      <c r="A8" t="s">
        <v>74</v>
      </c>
      <c r="B8">
        <v>45857</v>
      </c>
      <c r="C8" t="s">
        <v>75</v>
      </c>
      <c r="D8" t="s">
        <v>76</v>
      </c>
      <c r="E8" t="s">
        <v>77</v>
      </c>
      <c r="F8">
        <v>27</v>
      </c>
      <c r="G8" t="s">
        <v>78</v>
      </c>
      <c r="H8" s="14" t="s">
        <v>79</v>
      </c>
      <c r="I8" s="14" t="s">
        <v>80</v>
      </c>
      <c r="J8" s="14" t="s">
        <v>81</v>
      </c>
      <c r="K8" s="14" t="s">
        <v>28</v>
      </c>
      <c r="L8" s="14" t="s">
        <v>29</v>
      </c>
      <c r="M8" s="14">
        <v>4</v>
      </c>
      <c r="N8" s="14">
        <v>1917.6</v>
      </c>
      <c r="O8" s="14">
        <v>1880</v>
      </c>
      <c r="P8" s="14">
        <v>40</v>
      </c>
      <c r="Q8" s="14" t="s">
        <v>50</v>
      </c>
      <c r="R8" s="14" t="s">
        <v>42</v>
      </c>
      <c r="S8" s="14">
        <v>45863</v>
      </c>
      <c r="T8" s="14">
        <v>2</v>
      </c>
    </row>
    <row r="9" spans="1:20" x14ac:dyDescent="0.3">
      <c r="A9" t="s">
        <v>82</v>
      </c>
      <c r="B9">
        <v>45529</v>
      </c>
      <c r="C9" t="s">
        <v>83</v>
      </c>
      <c r="D9" t="s">
        <v>84</v>
      </c>
      <c r="E9" t="s">
        <v>23</v>
      </c>
      <c r="F9">
        <v>27</v>
      </c>
      <c r="G9" t="s">
        <v>35</v>
      </c>
      <c r="H9" s="14" t="s">
        <v>36</v>
      </c>
      <c r="I9" s="14" t="s">
        <v>85</v>
      </c>
      <c r="J9" s="14" t="s">
        <v>86</v>
      </c>
      <c r="K9" s="14" t="s">
        <v>87</v>
      </c>
      <c r="L9" s="14" t="s">
        <v>88</v>
      </c>
      <c r="M9" s="14">
        <v>4</v>
      </c>
      <c r="N9" s="14">
        <v>5316.2</v>
      </c>
      <c r="O9" s="14">
        <v>3160</v>
      </c>
      <c r="P9" s="14">
        <v>5</v>
      </c>
      <c r="Q9" s="14" t="s">
        <v>30</v>
      </c>
      <c r="R9" s="14" t="s">
        <v>42</v>
      </c>
      <c r="S9" s="14">
        <v>45541</v>
      </c>
      <c r="T9" s="14">
        <v>4</v>
      </c>
    </row>
    <row r="10" spans="1:20" x14ac:dyDescent="0.3">
      <c r="A10" t="s">
        <v>89</v>
      </c>
      <c r="B10">
        <v>45727</v>
      </c>
      <c r="C10" t="s">
        <v>44</v>
      </c>
      <c r="D10" t="s">
        <v>45</v>
      </c>
      <c r="E10" t="s">
        <v>23</v>
      </c>
      <c r="F10">
        <v>41</v>
      </c>
      <c r="G10" t="s">
        <v>90</v>
      </c>
      <c r="H10" s="14" t="s">
        <v>91</v>
      </c>
      <c r="I10" s="14" t="s">
        <v>92</v>
      </c>
      <c r="J10" s="14" t="s">
        <v>93</v>
      </c>
      <c r="K10" s="14" t="s">
        <v>87</v>
      </c>
      <c r="L10" s="14" t="s">
        <v>94</v>
      </c>
      <c r="M10" s="14">
        <v>2</v>
      </c>
      <c r="N10" s="14">
        <v>2558.4</v>
      </c>
      <c r="O10" s="14">
        <v>1860</v>
      </c>
      <c r="P10" s="14">
        <v>20</v>
      </c>
      <c r="Q10" s="14" t="s">
        <v>30</v>
      </c>
      <c r="R10" s="14" t="s">
        <v>42</v>
      </c>
      <c r="S10" s="14">
        <v>45729</v>
      </c>
      <c r="T10" s="14">
        <v>3</v>
      </c>
    </row>
    <row r="11" spans="1:20" x14ac:dyDescent="0.3">
      <c r="A11" t="s">
        <v>95</v>
      </c>
      <c r="B11">
        <v>45606</v>
      </c>
      <c r="C11" t="s">
        <v>96</v>
      </c>
      <c r="D11" t="s">
        <v>97</v>
      </c>
      <c r="E11" t="s">
        <v>23</v>
      </c>
      <c r="F11">
        <v>30</v>
      </c>
      <c r="G11" t="s">
        <v>35</v>
      </c>
      <c r="H11" s="14" t="s">
        <v>36</v>
      </c>
      <c r="I11" s="14" t="s">
        <v>63</v>
      </c>
      <c r="J11" s="14" t="s">
        <v>64</v>
      </c>
      <c r="K11" s="14" t="s">
        <v>39</v>
      </c>
      <c r="L11" s="14" t="s">
        <v>40</v>
      </c>
      <c r="M11" s="14">
        <v>1</v>
      </c>
      <c r="N11" s="14">
        <v>359.4</v>
      </c>
      <c r="O11" s="14">
        <v>330</v>
      </c>
      <c r="P11" s="14">
        <v>40</v>
      </c>
      <c r="Q11" s="14" t="s">
        <v>41</v>
      </c>
      <c r="R11" s="14" t="s">
        <v>31</v>
      </c>
      <c r="S11" s="14">
        <v>45614</v>
      </c>
      <c r="T11" s="14">
        <v>4</v>
      </c>
    </row>
    <row r="12" spans="1:20" x14ac:dyDescent="0.3">
      <c r="A12" t="s">
        <v>98</v>
      </c>
      <c r="B12">
        <v>45804</v>
      </c>
      <c r="C12" t="s">
        <v>99</v>
      </c>
      <c r="D12" t="s">
        <v>100</v>
      </c>
      <c r="E12" t="s">
        <v>23</v>
      </c>
      <c r="F12">
        <v>34</v>
      </c>
      <c r="G12" t="s">
        <v>101</v>
      </c>
      <c r="H12" s="14" t="s">
        <v>102</v>
      </c>
      <c r="I12" s="14" t="s">
        <v>63</v>
      </c>
      <c r="J12" s="14" t="s">
        <v>64</v>
      </c>
      <c r="K12" s="14" t="s">
        <v>39</v>
      </c>
      <c r="L12" s="14" t="s">
        <v>40</v>
      </c>
      <c r="M12" s="14">
        <v>1</v>
      </c>
      <c r="N12" s="14">
        <v>599</v>
      </c>
      <c r="O12" s="14">
        <v>330</v>
      </c>
      <c r="P12" s="14">
        <v>0</v>
      </c>
      <c r="Q12" s="14" t="s">
        <v>103</v>
      </c>
      <c r="R12" s="14" t="s">
        <v>31</v>
      </c>
      <c r="S12" s="14">
        <v>45811</v>
      </c>
      <c r="T12" s="14">
        <v>4</v>
      </c>
    </row>
    <row r="13" spans="1:20" x14ac:dyDescent="0.3">
      <c r="A13" t="s">
        <v>104</v>
      </c>
      <c r="B13">
        <v>45318</v>
      </c>
      <c r="C13" t="s">
        <v>105</v>
      </c>
      <c r="D13" t="s">
        <v>106</v>
      </c>
      <c r="E13" t="s">
        <v>77</v>
      </c>
      <c r="F13">
        <v>45</v>
      </c>
      <c r="G13" t="s">
        <v>90</v>
      </c>
      <c r="H13" s="14" t="s">
        <v>91</v>
      </c>
      <c r="I13" s="14" t="s">
        <v>107</v>
      </c>
      <c r="J13" s="14" t="s">
        <v>108</v>
      </c>
      <c r="K13" s="14" t="s">
        <v>87</v>
      </c>
      <c r="L13" s="14" t="s">
        <v>88</v>
      </c>
      <c r="M13" s="14">
        <v>5</v>
      </c>
      <c r="N13" s="14">
        <v>3995</v>
      </c>
      <c r="O13" s="14">
        <v>2100</v>
      </c>
      <c r="P13" s="14">
        <v>0</v>
      </c>
      <c r="Q13" s="14" t="s">
        <v>41</v>
      </c>
      <c r="R13" s="14" t="s">
        <v>65</v>
      </c>
    </row>
    <row r="14" spans="1:20" x14ac:dyDescent="0.3">
      <c r="A14" t="s">
        <v>109</v>
      </c>
      <c r="B14">
        <v>45333</v>
      </c>
      <c r="C14" t="s">
        <v>110</v>
      </c>
      <c r="D14" t="s">
        <v>111</v>
      </c>
      <c r="E14" t="s">
        <v>23</v>
      </c>
      <c r="F14">
        <v>39</v>
      </c>
      <c r="G14" t="s">
        <v>101</v>
      </c>
      <c r="H14" s="14" t="s">
        <v>102</v>
      </c>
      <c r="I14" s="14" t="s">
        <v>112</v>
      </c>
      <c r="J14" s="14" t="s">
        <v>113</v>
      </c>
      <c r="K14" s="14" t="s">
        <v>114</v>
      </c>
      <c r="L14" s="14" t="s">
        <v>115</v>
      </c>
      <c r="M14" s="14">
        <v>4</v>
      </c>
      <c r="N14" s="14">
        <v>2236.8000000000002</v>
      </c>
      <c r="O14" s="14">
        <v>1480</v>
      </c>
      <c r="P14" s="14">
        <v>20</v>
      </c>
      <c r="Q14" s="14" t="s">
        <v>30</v>
      </c>
      <c r="R14" s="14" t="s">
        <v>65</v>
      </c>
    </row>
    <row r="15" spans="1:20" x14ac:dyDescent="0.3">
      <c r="A15" t="s">
        <v>116</v>
      </c>
      <c r="B15">
        <v>45738</v>
      </c>
      <c r="C15" t="s">
        <v>117</v>
      </c>
      <c r="D15" t="s">
        <v>118</v>
      </c>
      <c r="E15" t="s">
        <v>23</v>
      </c>
      <c r="F15">
        <v>56</v>
      </c>
      <c r="G15" t="s">
        <v>46</v>
      </c>
      <c r="H15" s="14" t="s">
        <v>25</v>
      </c>
      <c r="I15" s="14" t="s">
        <v>37</v>
      </c>
      <c r="J15" s="14" t="s">
        <v>38</v>
      </c>
      <c r="K15" s="14" t="s">
        <v>39</v>
      </c>
      <c r="L15" s="14" t="s">
        <v>40</v>
      </c>
      <c r="M15" s="14">
        <v>3</v>
      </c>
      <c r="N15" s="14">
        <v>1887.9</v>
      </c>
      <c r="O15" s="14">
        <v>1560</v>
      </c>
      <c r="P15" s="14">
        <v>30</v>
      </c>
      <c r="Q15" s="14" t="s">
        <v>41</v>
      </c>
      <c r="R15" s="14" t="s">
        <v>42</v>
      </c>
      <c r="S15" s="14">
        <v>45750</v>
      </c>
      <c r="T15" s="14">
        <v>3</v>
      </c>
    </row>
    <row r="16" spans="1:20" x14ac:dyDescent="0.3">
      <c r="A16" t="s">
        <v>119</v>
      </c>
      <c r="B16">
        <v>45456</v>
      </c>
      <c r="C16" t="s">
        <v>120</v>
      </c>
      <c r="D16" t="s">
        <v>121</v>
      </c>
      <c r="E16" t="s">
        <v>23</v>
      </c>
      <c r="F16">
        <v>56</v>
      </c>
      <c r="G16" t="s">
        <v>122</v>
      </c>
      <c r="H16" s="14" t="s">
        <v>123</v>
      </c>
      <c r="I16" s="14" t="s">
        <v>85</v>
      </c>
      <c r="J16" s="14" t="s">
        <v>86</v>
      </c>
      <c r="K16" s="14" t="s">
        <v>87</v>
      </c>
      <c r="L16" s="14" t="s">
        <v>88</v>
      </c>
      <c r="M16" s="14">
        <v>4</v>
      </c>
      <c r="N16" s="14">
        <v>4476.8</v>
      </c>
      <c r="O16" s="14">
        <v>3160</v>
      </c>
      <c r="P16" s="14">
        <v>20</v>
      </c>
      <c r="Q16" s="14" t="s">
        <v>103</v>
      </c>
      <c r="R16" s="14" t="s">
        <v>57</v>
      </c>
      <c r="S16" s="14">
        <v>45466</v>
      </c>
      <c r="T16" s="14">
        <v>2</v>
      </c>
    </row>
    <row r="17" spans="1:20" x14ac:dyDescent="0.3">
      <c r="A17" t="s">
        <v>124</v>
      </c>
      <c r="B17">
        <v>45757</v>
      </c>
      <c r="C17" t="s">
        <v>125</v>
      </c>
      <c r="D17" t="s">
        <v>121</v>
      </c>
      <c r="E17" t="s">
        <v>23</v>
      </c>
      <c r="F17">
        <v>27</v>
      </c>
      <c r="G17" t="s">
        <v>126</v>
      </c>
      <c r="H17" s="14" t="s">
        <v>127</v>
      </c>
      <c r="I17" s="14" t="s">
        <v>128</v>
      </c>
      <c r="J17" s="14" t="s">
        <v>129</v>
      </c>
      <c r="K17" s="14" t="s">
        <v>130</v>
      </c>
      <c r="L17" s="14" t="s">
        <v>131</v>
      </c>
      <c r="M17" s="14">
        <v>3</v>
      </c>
      <c r="N17" s="14">
        <v>18522.150000000001</v>
      </c>
      <c r="O17" s="14">
        <v>15300</v>
      </c>
      <c r="P17" s="14">
        <v>5</v>
      </c>
      <c r="Q17" s="14" t="s">
        <v>103</v>
      </c>
      <c r="R17" s="14" t="s">
        <v>57</v>
      </c>
      <c r="S17" s="14">
        <v>45767</v>
      </c>
      <c r="T17" s="14">
        <v>2</v>
      </c>
    </row>
    <row r="18" spans="1:20" x14ac:dyDescent="0.3">
      <c r="A18" t="s">
        <v>132</v>
      </c>
      <c r="B18">
        <v>45965</v>
      </c>
      <c r="C18" t="s">
        <v>133</v>
      </c>
      <c r="E18" t="s">
        <v>77</v>
      </c>
      <c r="F18">
        <v>56</v>
      </c>
      <c r="G18" t="s">
        <v>61</v>
      </c>
      <c r="H18" s="14" t="s">
        <v>62</v>
      </c>
      <c r="I18" s="14" t="s">
        <v>134</v>
      </c>
      <c r="J18" s="14" t="s">
        <v>135</v>
      </c>
      <c r="K18" s="14" t="s">
        <v>39</v>
      </c>
      <c r="L18" s="14" t="s">
        <v>136</v>
      </c>
      <c r="M18" s="14">
        <v>1</v>
      </c>
      <c r="N18" s="14">
        <v>169.15</v>
      </c>
      <c r="O18" s="14">
        <v>90</v>
      </c>
      <c r="P18" s="14">
        <v>15</v>
      </c>
      <c r="Q18" s="14" t="s">
        <v>50</v>
      </c>
      <c r="R18" s="14" t="s">
        <v>42</v>
      </c>
      <c r="S18" s="14">
        <v>45976</v>
      </c>
      <c r="T18" s="14">
        <v>5</v>
      </c>
    </row>
    <row r="19" spans="1:20" x14ac:dyDescent="0.3">
      <c r="A19" t="s">
        <v>137</v>
      </c>
      <c r="B19">
        <v>45932</v>
      </c>
      <c r="C19" t="s">
        <v>138</v>
      </c>
      <c r="D19" t="s">
        <v>139</v>
      </c>
      <c r="E19" t="s">
        <v>77</v>
      </c>
      <c r="F19">
        <v>42</v>
      </c>
      <c r="G19" t="s">
        <v>24</v>
      </c>
      <c r="H19" s="14" t="s">
        <v>25</v>
      </c>
      <c r="I19" s="14" t="s">
        <v>70</v>
      </c>
      <c r="J19" s="14" t="s">
        <v>71</v>
      </c>
      <c r="K19" s="14" t="s">
        <v>28</v>
      </c>
      <c r="L19" s="14" t="s">
        <v>72</v>
      </c>
      <c r="M19" s="14">
        <v>3</v>
      </c>
      <c r="N19" s="14">
        <v>4047.3</v>
      </c>
      <c r="O19" s="14">
        <v>2760</v>
      </c>
      <c r="P19" s="14">
        <v>10</v>
      </c>
      <c r="Q19" s="14" t="s">
        <v>41</v>
      </c>
      <c r="R19" s="14" t="s">
        <v>42</v>
      </c>
      <c r="S19" s="14">
        <v>45941</v>
      </c>
      <c r="T19" s="14">
        <v>3</v>
      </c>
    </row>
    <row r="20" spans="1:20" x14ac:dyDescent="0.3">
      <c r="A20" t="s">
        <v>140</v>
      </c>
      <c r="B20">
        <v>45321</v>
      </c>
      <c r="C20" t="s">
        <v>141</v>
      </c>
      <c r="D20" t="s">
        <v>142</v>
      </c>
      <c r="E20" t="s">
        <v>23</v>
      </c>
      <c r="F20">
        <v>57</v>
      </c>
      <c r="G20" t="s">
        <v>78</v>
      </c>
      <c r="H20" s="14" t="s">
        <v>79</v>
      </c>
      <c r="I20" s="14" t="s">
        <v>143</v>
      </c>
      <c r="J20" s="14" t="s">
        <v>144</v>
      </c>
      <c r="K20" s="14" t="s">
        <v>130</v>
      </c>
      <c r="L20" s="14" t="s">
        <v>131</v>
      </c>
      <c r="M20" s="14">
        <v>5</v>
      </c>
      <c r="N20" s="14">
        <v>27495</v>
      </c>
      <c r="O20" s="14">
        <v>21500</v>
      </c>
      <c r="P20" s="14">
        <v>0</v>
      </c>
      <c r="Q20" s="14" t="s">
        <v>50</v>
      </c>
      <c r="R20" s="14" t="s">
        <v>42</v>
      </c>
      <c r="S20" s="14">
        <v>45324</v>
      </c>
      <c r="T20" s="14">
        <v>4</v>
      </c>
    </row>
    <row r="21" spans="1:20" x14ac:dyDescent="0.3">
      <c r="A21" t="s">
        <v>145</v>
      </c>
      <c r="B21">
        <v>45408</v>
      </c>
      <c r="C21" t="s">
        <v>146</v>
      </c>
      <c r="D21" t="s">
        <v>147</v>
      </c>
      <c r="E21" t="s">
        <v>23</v>
      </c>
      <c r="F21">
        <v>45</v>
      </c>
      <c r="G21" t="s">
        <v>69</v>
      </c>
      <c r="H21" s="14" t="s">
        <v>69</v>
      </c>
      <c r="I21" s="14" t="s">
        <v>92</v>
      </c>
      <c r="J21" s="14" t="s">
        <v>93</v>
      </c>
      <c r="K21" s="14" t="s">
        <v>87</v>
      </c>
      <c r="L21" s="14" t="s">
        <v>94</v>
      </c>
      <c r="M21" s="14">
        <v>2</v>
      </c>
      <c r="N21" s="14">
        <v>1918.8</v>
      </c>
      <c r="O21" s="14">
        <v>1860</v>
      </c>
      <c r="P21" s="14">
        <v>40</v>
      </c>
      <c r="Q21" s="14" t="s">
        <v>41</v>
      </c>
      <c r="R21" s="14" t="s">
        <v>65</v>
      </c>
    </row>
    <row r="22" spans="1:20" x14ac:dyDescent="0.3">
      <c r="A22" t="s">
        <v>148</v>
      </c>
      <c r="B22">
        <v>46014</v>
      </c>
      <c r="C22" t="s">
        <v>149</v>
      </c>
      <c r="D22" t="s">
        <v>150</v>
      </c>
      <c r="E22" t="s">
        <v>77</v>
      </c>
      <c r="F22">
        <v>35</v>
      </c>
      <c r="G22" t="s">
        <v>122</v>
      </c>
      <c r="H22" s="14" t="s">
        <v>123</v>
      </c>
      <c r="I22" s="14" t="s">
        <v>37</v>
      </c>
      <c r="J22" s="14" t="s">
        <v>38</v>
      </c>
      <c r="K22" s="14" t="s">
        <v>39</v>
      </c>
      <c r="L22" s="14" t="s">
        <v>40</v>
      </c>
      <c r="M22" s="14">
        <v>4</v>
      </c>
      <c r="N22" s="14">
        <v>3056.6</v>
      </c>
      <c r="O22" s="14">
        <v>2080</v>
      </c>
      <c r="P22" s="14">
        <v>15</v>
      </c>
      <c r="Q22" s="14" t="s">
        <v>103</v>
      </c>
      <c r="R22" s="14" t="s">
        <v>65</v>
      </c>
    </row>
    <row r="23" spans="1:20" x14ac:dyDescent="0.3">
      <c r="A23" t="s">
        <v>151</v>
      </c>
      <c r="B23">
        <v>45440</v>
      </c>
      <c r="C23" t="s">
        <v>152</v>
      </c>
      <c r="D23" t="s">
        <v>153</v>
      </c>
      <c r="E23" t="s">
        <v>23</v>
      </c>
      <c r="F23">
        <v>33</v>
      </c>
      <c r="G23" t="s">
        <v>154</v>
      </c>
      <c r="H23" s="14" t="s">
        <v>91</v>
      </c>
      <c r="I23" s="14" t="s">
        <v>155</v>
      </c>
      <c r="J23" s="14" t="s">
        <v>156</v>
      </c>
      <c r="K23" s="14" t="s">
        <v>114</v>
      </c>
      <c r="L23" s="14" t="s">
        <v>157</v>
      </c>
      <c r="M23" s="14">
        <v>5</v>
      </c>
      <c r="N23" s="14">
        <v>4495.5</v>
      </c>
      <c r="O23" s="14">
        <v>3050</v>
      </c>
      <c r="P23" s="14">
        <v>10</v>
      </c>
      <c r="Q23" s="14" t="s">
        <v>73</v>
      </c>
      <c r="R23" s="14" t="s">
        <v>42</v>
      </c>
      <c r="S23" s="14">
        <v>45448</v>
      </c>
      <c r="T23" s="14">
        <v>4</v>
      </c>
    </row>
    <row r="24" spans="1:20" x14ac:dyDescent="0.3">
      <c r="A24" t="s">
        <v>158</v>
      </c>
      <c r="B24">
        <v>45811</v>
      </c>
      <c r="C24" t="s">
        <v>159</v>
      </c>
      <c r="D24" t="s">
        <v>160</v>
      </c>
      <c r="E24" t="s">
        <v>23</v>
      </c>
      <c r="F24">
        <v>58</v>
      </c>
      <c r="G24" t="s">
        <v>161</v>
      </c>
      <c r="H24" s="14" t="s">
        <v>25</v>
      </c>
      <c r="I24" s="14" t="s">
        <v>143</v>
      </c>
      <c r="J24" s="14" t="s">
        <v>144</v>
      </c>
      <c r="K24" s="14" t="s">
        <v>130</v>
      </c>
      <c r="L24" s="14" t="s">
        <v>131</v>
      </c>
      <c r="M24" s="14">
        <v>3</v>
      </c>
      <c r="N24" s="14">
        <v>9898.2000000000007</v>
      </c>
      <c r="O24" s="14">
        <v>12900</v>
      </c>
      <c r="P24" s="14">
        <v>40</v>
      </c>
      <c r="Q24" s="14" t="s">
        <v>30</v>
      </c>
      <c r="R24" s="14" t="s">
        <v>42</v>
      </c>
      <c r="S24" s="14">
        <v>45821</v>
      </c>
      <c r="T24" s="14">
        <v>5</v>
      </c>
    </row>
    <row r="25" spans="1:20" x14ac:dyDescent="0.3">
      <c r="A25" t="s">
        <v>162</v>
      </c>
      <c r="B25">
        <v>45645</v>
      </c>
      <c r="C25" t="s">
        <v>163</v>
      </c>
      <c r="D25" t="s">
        <v>164</v>
      </c>
      <c r="E25" t="s">
        <v>77</v>
      </c>
      <c r="F25">
        <v>50</v>
      </c>
      <c r="G25" t="s">
        <v>165</v>
      </c>
      <c r="H25" s="14" t="s">
        <v>166</v>
      </c>
      <c r="I25" s="14" t="s">
        <v>63</v>
      </c>
      <c r="J25" s="14" t="s">
        <v>64</v>
      </c>
      <c r="K25" s="14" t="s">
        <v>39</v>
      </c>
      <c r="L25" s="14" t="s">
        <v>40</v>
      </c>
      <c r="M25" s="14">
        <v>3</v>
      </c>
      <c r="N25" s="14">
        <v>1527.45</v>
      </c>
      <c r="O25" s="14">
        <v>990</v>
      </c>
      <c r="P25" s="14">
        <v>15</v>
      </c>
      <c r="Q25" s="14" t="s">
        <v>30</v>
      </c>
      <c r="R25" s="14" t="s">
        <v>65</v>
      </c>
    </row>
    <row r="26" spans="1:20" x14ac:dyDescent="0.3">
      <c r="A26" t="s">
        <v>167</v>
      </c>
      <c r="B26">
        <v>45684</v>
      </c>
      <c r="C26" t="s">
        <v>168</v>
      </c>
      <c r="D26" t="s">
        <v>169</v>
      </c>
      <c r="E26" t="s">
        <v>23</v>
      </c>
      <c r="F26">
        <v>43</v>
      </c>
      <c r="G26" t="s">
        <v>122</v>
      </c>
      <c r="H26" s="14" t="s">
        <v>123</v>
      </c>
      <c r="I26" s="14" t="s">
        <v>26</v>
      </c>
      <c r="J26" s="14" t="s">
        <v>27</v>
      </c>
      <c r="K26" s="14" t="s">
        <v>28</v>
      </c>
      <c r="L26" s="14" t="s">
        <v>29</v>
      </c>
      <c r="M26" s="14">
        <v>3</v>
      </c>
      <c r="N26" s="14">
        <v>2338.1999999999998</v>
      </c>
      <c r="O26" s="14">
        <v>2370</v>
      </c>
      <c r="P26" s="14">
        <v>40</v>
      </c>
      <c r="Q26" s="14" t="s">
        <v>103</v>
      </c>
      <c r="R26" s="14" t="s">
        <v>42</v>
      </c>
      <c r="S26" s="14">
        <v>45696</v>
      </c>
      <c r="T26" s="14">
        <v>3</v>
      </c>
    </row>
    <row r="27" spans="1:20" x14ac:dyDescent="0.3">
      <c r="A27" t="s">
        <v>170</v>
      </c>
      <c r="B27">
        <v>45799</v>
      </c>
      <c r="C27" t="s">
        <v>171</v>
      </c>
      <c r="D27" t="s">
        <v>172</v>
      </c>
      <c r="E27" t="s">
        <v>23</v>
      </c>
      <c r="F27">
        <v>36</v>
      </c>
      <c r="G27" t="s">
        <v>173</v>
      </c>
      <c r="H27" s="14" t="s">
        <v>79</v>
      </c>
      <c r="I27" s="14" t="s">
        <v>112</v>
      </c>
      <c r="J27" s="14" t="s">
        <v>113</v>
      </c>
      <c r="K27" s="14" t="s">
        <v>114</v>
      </c>
      <c r="L27" s="14" t="s">
        <v>115</v>
      </c>
      <c r="M27" s="14">
        <v>5</v>
      </c>
      <c r="N27" s="14">
        <v>2621.25</v>
      </c>
      <c r="O27" s="14">
        <v>1850</v>
      </c>
      <c r="P27" s="14">
        <v>25</v>
      </c>
      <c r="Q27" s="14" t="s">
        <v>73</v>
      </c>
      <c r="R27" s="14" t="s">
        <v>57</v>
      </c>
      <c r="S27" s="14">
        <v>45808</v>
      </c>
      <c r="T27" s="14">
        <v>3</v>
      </c>
    </row>
    <row r="28" spans="1:20" x14ac:dyDescent="0.3">
      <c r="A28" t="s">
        <v>174</v>
      </c>
      <c r="B28">
        <v>45830</v>
      </c>
      <c r="C28" t="s">
        <v>175</v>
      </c>
      <c r="D28" t="s">
        <v>176</v>
      </c>
      <c r="E28" t="s">
        <v>23</v>
      </c>
      <c r="F28">
        <v>52</v>
      </c>
      <c r="G28" t="s">
        <v>161</v>
      </c>
      <c r="H28" s="14" t="s">
        <v>25</v>
      </c>
      <c r="I28" s="14" t="s">
        <v>177</v>
      </c>
      <c r="J28" s="14" t="s">
        <v>178</v>
      </c>
      <c r="K28" s="14" t="s">
        <v>87</v>
      </c>
      <c r="L28" s="14" t="s">
        <v>179</v>
      </c>
      <c r="M28" s="14">
        <v>2</v>
      </c>
      <c r="N28" s="14">
        <v>3498.6</v>
      </c>
      <c r="O28" s="14">
        <v>3240</v>
      </c>
      <c r="P28" s="14">
        <v>30</v>
      </c>
      <c r="Q28" s="14" t="s">
        <v>30</v>
      </c>
      <c r="R28" s="14" t="s">
        <v>42</v>
      </c>
      <c r="S28" s="14">
        <v>45839</v>
      </c>
      <c r="T28" s="14">
        <v>4</v>
      </c>
    </row>
    <row r="29" spans="1:20" x14ac:dyDescent="0.3">
      <c r="A29" t="s">
        <v>180</v>
      </c>
      <c r="B29">
        <v>45638</v>
      </c>
      <c r="C29" t="s">
        <v>181</v>
      </c>
      <c r="D29" t="s">
        <v>182</v>
      </c>
      <c r="E29" t="s">
        <v>23</v>
      </c>
      <c r="F29">
        <v>51</v>
      </c>
      <c r="G29" t="s">
        <v>46</v>
      </c>
      <c r="H29" s="14" t="s">
        <v>25</v>
      </c>
      <c r="I29" s="14" t="s">
        <v>183</v>
      </c>
      <c r="J29" s="14" t="s">
        <v>184</v>
      </c>
      <c r="K29" s="14" t="s">
        <v>130</v>
      </c>
      <c r="L29" s="14" t="s">
        <v>185</v>
      </c>
      <c r="M29" s="14">
        <v>5</v>
      </c>
      <c r="N29" s="14">
        <v>13996.5</v>
      </c>
      <c r="O29" s="14">
        <v>15250</v>
      </c>
      <c r="P29" s="14">
        <v>30</v>
      </c>
      <c r="Q29" s="14" t="s">
        <v>41</v>
      </c>
      <c r="R29" s="14" t="s">
        <v>31</v>
      </c>
      <c r="S29" s="14">
        <v>45647</v>
      </c>
      <c r="T29" s="14">
        <v>2</v>
      </c>
    </row>
    <row r="30" spans="1:20" x14ac:dyDescent="0.3">
      <c r="A30" t="s">
        <v>186</v>
      </c>
      <c r="B30">
        <v>45924</v>
      </c>
      <c r="C30" t="s">
        <v>187</v>
      </c>
      <c r="D30" t="s">
        <v>188</v>
      </c>
      <c r="E30" t="s">
        <v>23</v>
      </c>
      <c r="F30">
        <v>54</v>
      </c>
      <c r="G30" t="s">
        <v>90</v>
      </c>
      <c r="H30" s="14" t="s">
        <v>91</v>
      </c>
      <c r="I30" s="14" t="s">
        <v>92</v>
      </c>
      <c r="J30" s="14" t="s">
        <v>93</v>
      </c>
      <c r="K30" s="14" t="s">
        <v>87</v>
      </c>
      <c r="L30" s="14" t="s">
        <v>94</v>
      </c>
      <c r="M30" s="14">
        <v>3</v>
      </c>
      <c r="N30" s="14">
        <v>4077.45</v>
      </c>
      <c r="O30" s="14">
        <v>2790</v>
      </c>
      <c r="P30" s="14">
        <v>15</v>
      </c>
      <c r="Q30" s="14" t="s">
        <v>73</v>
      </c>
      <c r="R30" s="14" t="s">
        <v>42</v>
      </c>
      <c r="S30" s="14">
        <v>45927</v>
      </c>
      <c r="T30" s="14">
        <v>3</v>
      </c>
    </row>
    <row r="31" spans="1:20" x14ac:dyDescent="0.3">
      <c r="A31" t="s">
        <v>189</v>
      </c>
      <c r="B31">
        <v>45746</v>
      </c>
      <c r="C31" t="s">
        <v>190</v>
      </c>
      <c r="D31" t="s">
        <v>191</v>
      </c>
      <c r="E31" t="s">
        <v>23</v>
      </c>
      <c r="F31">
        <v>45</v>
      </c>
      <c r="G31" t="s">
        <v>35</v>
      </c>
      <c r="H31" s="14" t="s">
        <v>36</v>
      </c>
      <c r="I31" s="14" t="s">
        <v>80</v>
      </c>
      <c r="J31" s="14" t="s">
        <v>81</v>
      </c>
      <c r="K31" s="14" t="s">
        <v>28</v>
      </c>
      <c r="L31" s="14" t="s">
        <v>29</v>
      </c>
      <c r="M31" s="14">
        <v>1</v>
      </c>
      <c r="N31" s="14">
        <v>599.25</v>
      </c>
      <c r="O31" s="14">
        <v>470</v>
      </c>
      <c r="P31" s="14">
        <v>25</v>
      </c>
      <c r="Q31" s="14" t="s">
        <v>73</v>
      </c>
      <c r="R31" s="14" t="s">
        <v>42</v>
      </c>
      <c r="S31" s="14">
        <v>45753</v>
      </c>
      <c r="T31" s="14">
        <v>4</v>
      </c>
    </row>
    <row r="32" spans="1:20" x14ac:dyDescent="0.3">
      <c r="A32" t="s">
        <v>192</v>
      </c>
      <c r="B32">
        <v>45733</v>
      </c>
      <c r="C32" t="s">
        <v>193</v>
      </c>
      <c r="D32" t="s">
        <v>194</v>
      </c>
      <c r="E32" t="s">
        <v>23</v>
      </c>
      <c r="F32">
        <v>19</v>
      </c>
      <c r="G32" t="s">
        <v>90</v>
      </c>
      <c r="H32" s="14" t="s">
        <v>91</v>
      </c>
      <c r="I32" s="14" t="s">
        <v>112</v>
      </c>
      <c r="J32" s="14" t="s">
        <v>113</v>
      </c>
      <c r="K32" s="14" t="s">
        <v>114</v>
      </c>
      <c r="L32" s="14" t="s">
        <v>115</v>
      </c>
      <c r="M32" s="14">
        <v>4</v>
      </c>
      <c r="N32" s="14">
        <v>2516.4</v>
      </c>
      <c r="O32" s="14">
        <v>1480</v>
      </c>
      <c r="P32" s="14">
        <v>10</v>
      </c>
      <c r="Q32" s="14" t="s">
        <v>30</v>
      </c>
      <c r="R32" s="14" t="s">
        <v>42</v>
      </c>
      <c r="S32" s="14">
        <v>45736</v>
      </c>
      <c r="T32" s="14">
        <v>5</v>
      </c>
    </row>
    <row r="33" spans="1:20" x14ac:dyDescent="0.3">
      <c r="A33" t="s">
        <v>195</v>
      </c>
      <c r="B33">
        <v>45926</v>
      </c>
      <c r="C33" t="s">
        <v>196</v>
      </c>
      <c r="D33" t="s">
        <v>197</v>
      </c>
      <c r="E33" t="s">
        <v>23</v>
      </c>
      <c r="F33">
        <v>22</v>
      </c>
      <c r="G33" t="s">
        <v>101</v>
      </c>
      <c r="H33" s="14" t="s">
        <v>102</v>
      </c>
      <c r="I33" s="14" t="s">
        <v>198</v>
      </c>
      <c r="J33" s="14" t="s">
        <v>199</v>
      </c>
      <c r="K33" s="14" t="s">
        <v>114</v>
      </c>
      <c r="L33" s="14" t="s">
        <v>200</v>
      </c>
      <c r="M33" s="14">
        <v>2</v>
      </c>
      <c r="N33" s="14">
        <v>2208.3000000000002</v>
      </c>
      <c r="O33" s="14">
        <v>1520</v>
      </c>
      <c r="P33" s="14">
        <v>15</v>
      </c>
      <c r="Q33" s="14" t="s">
        <v>103</v>
      </c>
      <c r="R33" s="14" t="s">
        <v>31</v>
      </c>
      <c r="S33" s="14">
        <v>45932</v>
      </c>
      <c r="T33" s="14">
        <v>5</v>
      </c>
    </row>
    <row r="34" spans="1:20" x14ac:dyDescent="0.3">
      <c r="A34" t="s">
        <v>201</v>
      </c>
      <c r="B34">
        <v>45553</v>
      </c>
      <c r="C34" t="s">
        <v>202</v>
      </c>
      <c r="D34" t="s">
        <v>203</v>
      </c>
      <c r="E34" t="s">
        <v>23</v>
      </c>
      <c r="F34">
        <v>45</v>
      </c>
      <c r="G34" t="s">
        <v>61</v>
      </c>
      <c r="H34" s="14" t="s">
        <v>62</v>
      </c>
      <c r="I34" s="14" t="s">
        <v>143</v>
      </c>
      <c r="J34" s="14" t="s">
        <v>144</v>
      </c>
      <c r="K34" s="14" t="s">
        <v>130</v>
      </c>
      <c r="L34" s="14" t="s">
        <v>131</v>
      </c>
      <c r="M34" s="14">
        <v>5</v>
      </c>
      <c r="N34" s="14">
        <v>24745.5</v>
      </c>
      <c r="O34" s="14">
        <v>21500</v>
      </c>
      <c r="P34" s="14">
        <v>10</v>
      </c>
      <c r="Q34" s="14" t="s">
        <v>73</v>
      </c>
      <c r="R34" s="14" t="s">
        <v>42</v>
      </c>
      <c r="S34" s="14">
        <v>45560</v>
      </c>
      <c r="T34" s="14">
        <v>4</v>
      </c>
    </row>
    <row r="35" spans="1:20" x14ac:dyDescent="0.3">
      <c r="A35" t="s">
        <v>204</v>
      </c>
      <c r="B35">
        <v>45946</v>
      </c>
      <c r="C35" t="s">
        <v>205</v>
      </c>
      <c r="D35" t="s">
        <v>206</v>
      </c>
      <c r="E35" t="s">
        <v>77</v>
      </c>
      <c r="F35">
        <v>26</v>
      </c>
      <c r="G35" t="s">
        <v>207</v>
      </c>
      <c r="H35" s="14" t="s">
        <v>36</v>
      </c>
      <c r="I35" s="14" t="s">
        <v>63</v>
      </c>
      <c r="J35" s="14" t="s">
        <v>64</v>
      </c>
      <c r="K35" s="14" t="s">
        <v>39</v>
      </c>
      <c r="L35" s="14" t="s">
        <v>40</v>
      </c>
      <c r="M35" s="14">
        <v>3</v>
      </c>
      <c r="N35" s="14">
        <v>1527.45</v>
      </c>
      <c r="O35" s="14">
        <v>990</v>
      </c>
      <c r="P35" s="14">
        <v>15</v>
      </c>
      <c r="Q35" s="14" t="s">
        <v>103</v>
      </c>
      <c r="R35" s="14" t="s">
        <v>57</v>
      </c>
      <c r="S35" s="14">
        <v>45955</v>
      </c>
      <c r="T35" s="14">
        <v>3</v>
      </c>
    </row>
    <row r="36" spans="1:20" x14ac:dyDescent="0.3">
      <c r="A36" t="s">
        <v>208</v>
      </c>
      <c r="B36">
        <v>45534</v>
      </c>
      <c r="C36" t="s">
        <v>209</v>
      </c>
      <c r="D36" t="s">
        <v>210</v>
      </c>
      <c r="E36" t="s">
        <v>23</v>
      </c>
      <c r="F36">
        <v>27</v>
      </c>
      <c r="G36" t="s">
        <v>211</v>
      </c>
      <c r="H36" s="14" t="s">
        <v>127</v>
      </c>
      <c r="I36" s="14" t="s">
        <v>198</v>
      </c>
      <c r="J36" s="14" t="s">
        <v>199</v>
      </c>
      <c r="K36" s="14" t="s">
        <v>114</v>
      </c>
      <c r="L36" s="14" t="s">
        <v>200</v>
      </c>
      <c r="M36" s="14">
        <v>3</v>
      </c>
      <c r="N36" s="14">
        <v>3117.6</v>
      </c>
      <c r="O36" s="14">
        <v>2280</v>
      </c>
      <c r="P36" s="14">
        <v>20</v>
      </c>
      <c r="Q36" s="14" t="s">
        <v>73</v>
      </c>
      <c r="R36" s="14" t="s">
        <v>57</v>
      </c>
      <c r="S36" s="14">
        <v>45546</v>
      </c>
      <c r="T36" s="14">
        <v>5</v>
      </c>
    </row>
    <row r="37" spans="1:20" x14ac:dyDescent="0.3">
      <c r="A37" t="s">
        <v>212</v>
      </c>
      <c r="B37">
        <v>45573</v>
      </c>
      <c r="C37" t="s">
        <v>202</v>
      </c>
      <c r="D37" t="s">
        <v>203</v>
      </c>
      <c r="E37" t="s">
        <v>23</v>
      </c>
      <c r="F37">
        <v>45</v>
      </c>
      <c r="G37" t="s">
        <v>213</v>
      </c>
      <c r="H37" s="14" t="s">
        <v>25</v>
      </c>
      <c r="I37" s="14" t="s">
        <v>155</v>
      </c>
      <c r="J37" s="14" t="s">
        <v>156</v>
      </c>
      <c r="K37" s="14" t="s">
        <v>114</v>
      </c>
      <c r="L37" s="14" t="s">
        <v>157</v>
      </c>
      <c r="M37" s="14">
        <v>4</v>
      </c>
      <c r="N37" s="14">
        <v>3196.8</v>
      </c>
      <c r="O37" s="14">
        <v>2440</v>
      </c>
      <c r="P37" s="14">
        <v>20</v>
      </c>
      <c r="Q37" s="14" t="s">
        <v>30</v>
      </c>
      <c r="R37" s="14" t="s">
        <v>65</v>
      </c>
    </row>
    <row r="38" spans="1:20" x14ac:dyDescent="0.3">
      <c r="A38" t="s">
        <v>214</v>
      </c>
      <c r="B38">
        <v>45652</v>
      </c>
      <c r="C38" t="s">
        <v>215</v>
      </c>
      <c r="D38" t="s">
        <v>147</v>
      </c>
      <c r="E38" t="s">
        <v>23</v>
      </c>
      <c r="F38">
        <v>33</v>
      </c>
      <c r="G38" t="s">
        <v>154</v>
      </c>
      <c r="H38" s="14" t="s">
        <v>91</v>
      </c>
      <c r="I38" s="14" t="s">
        <v>155</v>
      </c>
      <c r="J38" s="14" t="s">
        <v>156</v>
      </c>
      <c r="K38" s="14" t="s">
        <v>114</v>
      </c>
      <c r="L38" s="14" t="s">
        <v>157</v>
      </c>
      <c r="M38" s="14">
        <v>3</v>
      </c>
      <c r="N38" s="14">
        <v>2697.3</v>
      </c>
      <c r="O38" s="14">
        <v>1830</v>
      </c>
      <c r="P38" s="14">
        <v>10</v>
      </c>
      <c r="Q38" s="14" t="s">
        <v>73</v>
      </c>
      <c r="R38" s="14" t="s">
        <v>31</v>
      </c>
      <c r="S38" s="14">
        <v>45664</v>
      </c>
      <c r="T38" s="14">
        <v>2</v>
      </c>
    </row>
    <row r="39" spans="1:20" x14ac:dyDescent="0.3">
      <c r="A39" t="s">
        <v>216</v>
      </c>
      <c r="B39">
        <v>45608</v>
      </c>
      <c r="C39" t="s">
        <v>217</v>
      </c>
      <c r="D39" t="s">
        <v>218</v>
      </c>
      <c r="E39" t="s">
        <v>77</v>
      </c>
      <c r="F39">
        <v>18</v>
      </c>
      <c r="G39" t="s">
        <v>24</v>
      </c>
      <c r="H39" s="14" t="s">
        <v>25</v>
      </c>
      <c r="I39" s="14" t="s">
        <v>198</v>
      </c>
      <c r="J39" s="14" t="s">
        <v>199</v>
      </c>
      <c r="K39" s="14" t="s">
        <v>114</v>
      </c>
      <c r="L39" s="14" t="s">
        <v>200</v>
      </c>
      <c r="M39" s="14">
        <v>3</v>
      </c>
      <c r="N39" s="14">
        <v>3507.3</v>
      </c>
      <c r="O39" s="14">
        <v>2280</v>
      </c>
      <c r="P39" s="14">
        <v>10</v>
      </c>
      <c r="Q39" s="14" t="s">
        <v>73</v>
      </c>
      <c r="R39" s="14" t="s">
        <v>42</v>
      </c>
      <c r="S39" s="14">
        <v>45615</v>
      </c>
      <c r="T39" s="14">
        <v>5</v>
      </c>
    </row>
    <row r="40" spans="1:20" x14ac:dyDescent="0.3">
      <c r="A40" t="s">
        <v>219</v>
      </c>
      <c r="B40">
        <v>45471</v>
      </c>
      <c r="C40" t="s">
        <v>220</v>
      </c>
      <c r="D40" t="s">
        <v>221</v>
      </c>
      <c r="E40" t="s">
        <v>23</v>
      </c>
      <c r="F40">
        <v>53</v>
      </c>
      <c r="G40" t="s">
        <v>173</v>
      </c>
      <c r="H40" s="14" t="s">
        <v>79</v>
      </c>
      <c r="I40" s="14" t="s">
        <v>222</v>
      </c>
      <c r="J40" s="14" t="s">
        <v>223</v>
      </c>
      <c r="K40" s="14" t="s">
        <v>114</v>
      </c>
      <c r="L40" s="14" t="s">
        <v>115</v>
      </c>
      <c r="M40" s="14">
        <v>3</v>
      </c>
      <c r="N40" s="14">
        <v>2157.6</v>
      </c>
      <c r="O40" s="14">
        <v>1530</v>
      </c>
      <c r="P40" s="14">
        <v>20</v>
      </c>
      <c r="Q40" s="14" t="s">
        <v>30</v>
      </c>
      <c r="R40" s="14" t="s">
        <v>42</v>
      </c>
      <c r="S40" s="14">
        <v>45480</v>
      </c>
      <c r="T40" s="14">
        <v>4</v>
      </c>
    </row>
    <row r="41" spans="1:20" x14ac:dyDescent="0.3">
      <c r="A41" t="s">
        <v>224</v>
      </c>
      <c r="B41">
        <v>45638</v>
      </c>
      <c r="C41" t="s">
        <v>44</v>
      </c>
      <c r="D41" t="s">
        <v>45</v>
      </c>
      <c r="E41" t="s">
        <v>23</v>
      </c>
      <c r="F41">
        <v>41</v>
      </c>
      <c r="G41" t="s">
        <v>61</v>
      </c>
      <c r="H41" s="14" t="s">
        <v>62</v>
      </c>
      <c r="I41" s="14" t="s">
        <v>54</v>
      </c>
      <c r="J41" s="14" t="s">
        <v>55</v>
      </c>
      <c r="K41" s="14" t="s">
        <v>28</v>
      </c>
      <c r="L41" s="14" t="s">
        <v>56</v>
      </c>
      <c r="M41" s="14">
        <v>2</v>
      </c>
      <c r="N41" s="14">
        <v>1188.3</v>
      </c>
      <c r="O41" s="14">
        <v>820</v>
      </c>
      <c r="P41" s="14">
        <v>15</v>
      </c>
      <c r="Q41" s="14" t="s">
        <v>103</v>
      </c>
      <c r="R41" s="14" t="s">
        <v>57</v>
      </c>
      <c r="S41" s="14">
        <v>45648</v>
      </c>
      <c r="T41" s="14">
        <v>4</v>
      </c>
    </row>
    <row r="42" spans="1:20" x14ac:dyDescent="0.3">
      <c r="A42" t="s">
        <v>225</v>
      </c>
      <c r="B42">
        <v>45384</v>
      </c>
      <c r="C42" t="s">
        <v>226</v>
      </c>
      <c r="D42" t="s">
        <v>227</v>
      </c>
      <c r="E42" t="s">
        <v>23</v>
      </c>
      <c r="F42">
        <v>32</v>
      </c>
      <c r="G42" t="s">
        <v>161</v>
      </c>
      <c r="H42" s="14" t="s">
        <v>25</v>
      </c>
      <c r="I42" s="14" t="s">
        <v>128</v>
      </c>
      <c r="J42" s="14" t="s">
        <v>129</v>
      </c>
      <c r="K42" s="14" t="s">
        <v>130</v>
      </c>
      <c r="L42" s="14" t="s">
        <v>131</v>
      </c>
      <c r="M42" s="14">
        <v>5</v>
      </c>
      <c r="N42" s="14">
        <v>30870.25</v>
      </c>
      <c r="O42" s="14">
        <v>25500</v>
      </c>
      <c r="P42" s="14">
        <v>5</v>
      </c>
      <c r="Q42" s="14" t="s">
        <v>103</v>
      </c>
      <c r="R42" s="14" t="s">
        <v>42</v>
      </c>
      <c r="S42" s="14">
        <v>45396</v>
      </c>
      <c r="T42" s="14">
        <v>4</v>
      </c>
    </row>
    <row r="43" spans="1:20" x14ac:dyDescent="0.3">
      <c r="A43" t="s">
        <v>228</v>
      </c>
      <c r="B43">
        <v>45890</v>
      </c>
      <c r="C43" t="s">
        <v>209</v>
      </c>
      <c r="D43" t="s">
        <v>210</v>
      </c>
      <c r="E43" t="s">
        <v>23</v>
      </c>
      <c r="F43">
        <v>27</v>
      </c>
      <c r="G43" t="s">
        <v>211</v>
      </c>
      <c r="H43" s="14" t="s">
        <v>127</v>
      </c>
      <c r="I43" s="14" t="s">
        <v>229</v>
      </c>
      <c r="J43" s="14" t="s">
        <v>230</v>
      </c>
      <c r="K43" s="14" t="s">
        <v>28</v>
      </c>
      <c r="L43" s="14" t="s">
        <v>231</v>
      </c>
      <c r="M43" s="14">
        <v>2</v>
      </c>
      <c r="N43" s="14">
        <v>2398.8000000000002</v>
      </c>
      <c r="O43" s="14">
        <v>2460</v>
      </c>
      <c r="P43" s="14">
        <v>40</v>
      </c>
      <c r="Q43" s="14" t="s">
        <v>73</v>
      </c>
      <c r="R43" s="14" t="s">
        <v>65</v>
      </c>
    </row>
    <row r="44" spans="1:20" x14ac:dyDescent="0.3">
      <c r="A44" t="s">
        <v>232</v>
      </c>
      <c r="B44">
        <v>45866</v>
      </c>
      <c r="C44" t="s">
        <v>233</v>
      </c>
      <c r="D44" t="s">
        <v>118</v>
      </c>
      <c r="E44" t="s">
        <v>23</v>
      </c>
      <c r="F44">
        <v>34</v>
      </c>
      <c r="G44" t="s">
        <v>90</v>
      </c>
      <c r="H44" s="14" t="s">
        <v>91</v>
      </c>
      <c r="I44" s="14" t="s">
        <v>92</v>
      </c>
      <c r="J44" s="14" t="s">
        <v>93</v>
      </c>
      <c r="K44" s="14" t="s">
        <v>87</v>
      </c>
      <c r="L44" s="14" t="s">
        <v>94</v>
      </c>
      <c r="M44" s="14">
        <v>1</v>
      </c>
      <c r="N44" s="14">
        <v>959.4</v>
      </c>
      <c r="O44" s="14">
        <v>930</v>
      </c>
      <c r="P44" s="14">
        <v>40</v>
      </c>
      <c r="Q44" s="14" t="s">
        <v>41</v>
      </c>
      <c r="R44" s="14" t="s">
        <v>31</v>
      </c>
      <c r="S44" s="14">
        <v>45874</v>
      </c>
      <c r="T44" s="14">
        <v>3</v>
      </c>
    </row>
    <row r="45" spans="1:20" x14ac:dyDescent="0.3">
      <c r="A45" t="s">
        <v>234</v>
      </c>
      <c r="B45">
        <v>45435</v>
      </c>
      <c r="C45" t="s">
        <v>235</v>
      </c>
      <c r="D45" t="s">
        <v>227</v>
      </c>
      <c r="E45" t="s">
        <v>23</v>
      </c>
      <c r="F45">
        <v>35</v>
      </c>
      <c r="G45" t="s">
        <v>24</v>
      </c>
      <c r="H45" s="14" t="s">
        <v>25</v>
      </c>
      <c r="I45" s="14" t="s">
        <v>143</v>
      </c>
      <c r="J45" s="14" t="s">
        <v>144</v>
      </c>
      <c r="K45" s="14" t="s">
        <v>130</v>
      </c>
      <c r="L45" s="14" t="s">
        <v>131</v>
      </c>
      <c r="M45" s="14">
        <v>4</v>
      </c>
      <c r="N45" s="14">
        <v>20896.2</v>
      </c>
      <c r="O45" s="14">
        <v>17200</v>
      </c>
      <c r="P45" s="14">
        <v>5</v>
      </c>
      <c r="Q45" s="14" t="s">
        <v>73</v>
      </c>
      <c r="R45" s="14" t="s">
        <v>42</v>
      </c>
      <c r="S45" s="14">
        <v>45445</v>
      </c>
      <c r="T45" s="14">
        <v>3</v>
      </c>
    </row>
    <row r="46" spans="1:20" x14ac:dyDescent="0.3">
      <c r="A46" t="s">
        <v>236</v>
      </c>
      <c r="B46">
        <v>45689</v>
      </c>
      <c r="C46" t="s">
        <v>237</v>
      </c>
      <c r="D46" t="s">
        <v>238</v>
      </c>
      <c r="E46" t="s">
        <v>23</v>
      </c>
      <c r="F46">
        <v>47</v>
      </c>
      <c r="G46" t="s">
        <v>211</v>
      </c>
      <c r="H46" s="14" t="s">
        <v>127</v>
      </c>
      <c r="I46" s="14" t="s">
        <v>107</v>
      </c>
      <c r="J46" s="14" t="s">
        <v>108</v>
      </c>
      <c r="K46" s="14" t="s">
        <v>87</v>
      </c>
      <c r="L46" s="14" t="s">
        <v>88</v>
      </c>
      <c r="M46" s="14">
        <v>5</v>
      </c>
      <c r="N46" s="14">
        <v>2796.5</v>
      </c>
      <c r="O46" s="14">
        <v>2100</v>
      </c>
      <c r="P46" s="14">
        <v>30</v>
      </c>
      <c r="Q46" s="14" t="s">
        <v>50</v>
      </c>
      <c r="R46" s="14" t="s">
        <v>31</v>
      </c>
      <c r="S46" s="14">
        <v>45693</v>
      </c>
      <c r="T46" s="14">
        <v>5</v>
      </c>
    </row>
    <row r="47" spans="1:20" x14ac:dyDescent="0.3">
      <c r="A47" t="s">
        <v>239</v>
      </c>
      <c r="B47">
        <v>45962</v>
      </c>
      <c r="C47" t="s">
        <v>240</v>
      </c>
      <c r="D47" t="s">
        <v>241</v>
      </c>
      <c r="E47" t="s">
        <v>23</v>
      </c>
      <c r="F47">
        <v>25</v>
      </c>
      <c r="G47" t="s">
        <v>101</v>
      </c>
      <c r="H47" s="14" t="s">
        <v>102</v>
      </c>
      <c r="I47" s="14" t="s">
        <v>155</v>
      </c>
      <c r="J47" s="14" t="s">
        <v>156</v>
      </c>
      <c r="K47" s="14" t="s">
        <v>114</v>
      </c>
      <c r="L47" s="14" t="s">
        <v>157</v>
      </c>
      <c r="M47" s="14">
        <v>4</v>
      </c>
      <c r="N47" s="14">
        <v>3196.8</v>
      </c>
      <c r="O47" s="14">
        <v>2440</v>
      </c>
      <c r="P47" s="14">
        <v>20</v>
      </c>
      <c r="Q47" s="14" t="s">
        <v>73</v>
      </c>
      <c r="R47" s="14" t="s">
        <v>31</v>
      </c>
      <c r="S47" s="14">
        <v>45969</v>
      </c>
      <c r="T47" s="14">
        <v>4</v>
      </c>
    </row>
    <row r="48" spans="1:20" x14ac:dyDescent="0.3">
      <c r="A48" t="s">
        <v>242</v>
      </c>
      <c r="B48">
        <v>45746</v>
      </c>
      <c r="C48" t="s">
        <v>243</v>
      </c>
      <c r="D48" t="s">
        <v>244</v>
      </c>
      <c r="E48" t="s">
        <v>77</v>
      </c>
      <c r="F48">
        <v>52</v>
      </c>
      <c r="G48" t="s">
        <v>90</v>
      </c>
      <c r="H48" s="14" t="s">
        <v>91</v>
      </c>
      <c r="I48" s="14" t="s">
        <v>245</v>
      </c>
      <c r="J48" s="14" t="s">
        <v>246</v>
      </c>
      <c r="K48" s="14" t="s">
        <v>130</v>
      </c>
      <c r="L48" s="14" t="s">
        <v>247</v>
      </c>
      <c r="M48" s="14">
        <v>1</v>
      </c>
      <c r="N48" s="14">
        <v>1874.25</v>
      </c>
      <c r="O48" s="14">
        <v>1870</v>
      </c>
      <c r="P48" s="14">
        <v>25</v>
      </c>
      <c r="Q48" s="14" t="s">
        <v>50</v>
      </c>
      <c r="R48" s="14" t="s">
        <v>31</v>
      </c>
      <c r="S48" s="14">
        <v>45753</v>
      </c>
      <c r="T48" s="14">
        <v>2</v>
      </c>
    </row>
    <row r="49" spans="1:20" x14ac:dyDescent="0.3">
      <c r="A49" t="s">
        <v>248</v>
      </c>
      <c r="B49">
        <v>45699</v>
      </c>
      <c r="C49" t="s">
        <v>249</v>
      </c>
      <c r="D49" t="s">
        <v>250</v>
      </c>
      <c r="E49" t="s">
        <v>23</v>
      </c>
      <c r="F49">
        <v>34</v>
      </c>
      <c r="G49" t="s">
        <v>154</v>
      </c>
      <c r="H49" s="14" t="s">
        <v>91</v>
      </c>
      <c r="I49" s="14" t="s">
        <v>229</v>
      </c>
      <c r="J49" s="14" t="s">
        <v>230</v>
      </c>
      <c r="K49" s="14" t="s">
        <v>28</v>
      </c>
      <c r="L49" s="14" t="s">
        <v>231</v>
      </c>
      <c r="M49" s="14">
        <v>4</v>
      </c>
      <c r="N49" s="14">
        <v>7596.2</v>
      </c>
      <c r="O49" s="14">
        <v>4920</v>
      </c>
      <c r="P49" s="14">
        <v>5</v>
      </c>
      <c r="Q49" s="14" t="s">
        <v>30</v>
      </c>
      <c r="R49" s="14" t="s">
        <v>31</v>
      </c>
      <c r="S49" s="14">
        <v>45711</v>
      </c>
      <c r="T49" s="14">
        <v>2</v>
      </c>
    </row>
    <row r="50" spans="1:20" x14ac:dyDescent="0.3">
      <c r="A50" t="s">
        <v>251</v>
      </c>
      <c r="B50">
        <v>45343</v>
      </c>
      <c r="C50" t="s">
        <v>163</v>
      </c>
      <c r="D50" t="s">
        <v>164</v>
      </c>
      <c r="E50" t="s">
        <v>77</v>
      </c>
      <c r="F50">
        <v>50</v>
      </c>
      <c r="G50" t="s">
        <v>90</v>
      </c>
      <c r="H50" s="14" t="s">
        <v>91</v>
      </c>
      <c r="I50" s="14" t="s">
        <v>252</v>
      </c>
      <c r="J50" s="14" t="s">
        <v>253</v>
      </c>
      <c r="K50" s="14" t="s">
        <v>28</v>
      </c>
      <c r="L50" s="14" t="s">
        <v>254</v>
      </c>
      <c r="M50" s="14">
        <v>5</v>
      </c>
      <c r="N50" s="14">
        <v>12745.75</v>
      </c>
      <c r="O50" s="14">
        <v>9500</v>
      </c>
      <c r="P50" s="14">
        <v>15</v>
      </c>
      <c r="Q50" s="14" t="s">
        <v>73</v>
      </c>
      <c r="R50" s="14" t="s">
        <v>57</v>
      </c>
      <c r="S50" s="14">
        <v>45353</v>
      </c>
      <c r="T50" s="14">
        <v>4</v>
      </c>
    </row>
    <row r="51" spans="1:20" x14ac:dyDescent="0.3">
      <c r="A51" t="s">
        <v>255</v>
      </c>
      <c r="B51">
        <v>45892</v>
      </c>
      <c r="C51" t="s">
        <v>256</v>
      </c>
      <c r="D51" t="s">
        <v>257</v>
      </c>
      <c r="E51" t="s">
        <v>23</v>
      </c>
      <c r="F51">
        <v>23</v>
      </c>
      <c r="G51" t="s">
        <v>90</v>
      </c>
      <c r="H51" s="14" t="s">
        <v>91</v>
      </c>
      <c r="I51" s="14" t="s">
        <v>183</v>
      </c>
      <c r="J51" s="14" t="s">
        <v>184</v>
      </c>
      <c r="K51" s="14" t="s">
        <v>130</v>
      </c>
      <c r="L51" s="14" t="s">
        <v>185</v>
      </c>
      <c r="M51" s="14">
        <v>2</v>
      </c>
      <c r="N51" s="14">
        <v>7998</v>
      </c>
      <c r="O51" s="14">
        <v>6100</v>
      </c>
      <c r="P51" s="14">
        <v>0</v>
      </c>
      <c r="Q51" s="14" t="s">
        <v>41</v>
      </c>
      <c r="R51" s="14" t="s">
        <v>57</v>
      </c>
      <c r="S51" s="14">
        <v>45896</v>
      </c>
      <c r="T51" s="14">
        <v>3</v>
      </c>
    </row>
    <row r="52" spans="1:20" x14ac:dyDescent="0.3">
      <c r="A52" t="s">
        <v>258</v>
      </c>
      <c r="B52">
        <v>45845</v>
      </c>
      <c r="C52" t="s">
        <v>259</v>
      </c>
      <c r="D52" t="s">
        <v>260</v>
      </c>
      <c r="E52" t="s">
        <v>77</v>
      </c>
      <c r="F52">
        <v>37</v>
      </c>
      <c r="G52" t="s">
        <v>78</v>
      </c>
      <c r="H52" s="14" t="s">
        <v>79</v>
      </c>
      <c r="I52" s="14" t="s">
        <v>229</v>
      </c>
      <c r="J52" s="14" t="s">
        <v>230</v>
      </c>
      <c r="K52" s="14" t="s">
        <v>28</v>
      </c>
      <c r="L52" s="14" t="s">
        <v>231</v>
      </c>
      <c r="M52" s="14">
        <v>1</v>
      </c>
      <c r="N52" s="14">
        <v>1799.1</v>
      </c>
      <c r="O52" s="14">
        <v>1230</v>
      </c>
      <c r="P52" s="14">
        <v>10</v>
      </c>
      <c r="Q52" s="14" t="s">
        <v>73</v>
      </c>
      <c r="R52" s="14" t="s">
        <v>42</v>
      </c>
      <c r="S52" s="14">
        <v>45850</v>
      </c>
      <c r="T52" s="14">
        <v>4</v>
      </c>
    </row>
    <row r="53" spans="1:20" x14ac:dyDescent="0.3">
      <c r="A53" t="s">
        <v>261</v>
      </c>
      <c r="B53">
        <v>45308</v>
      </c>
      <c r="C53" t="s">
        <v>110</v>
      </c>
      <c r="D53" t="s">
        <v>111</v>
      </c>
      <c r="E53" t="s">
        <v>23</v>
      </c>
      <c r="F53">
        <v>39</v>
      </c>
      <c r="G53" t="s">
        <v>207</v>
      </c>
      <c r="H53" s="14" t="s">
        <v>36</v>
      </c>
      <c r="I53" s="14" t="s">
        <v>26</v>
      </c>
      <c r="J53" s="14" t="s">
        <v>27</v>
      </c>
      <c r="K53" s="14" t="s">
        <v>28</v>
      </c>
      <c r="L53" s="14" t="s">
        <v>29</v>
      </c>
      <c r="M53" s="14">
        <v>2</v>
      </c>
      <c r="N53" s="14">
        <v>1818.6</v>
      </c>
      <c r="O53" s="14">
        <v>1580</v>
      </c>
      <c r="P53" s="14">
        <v>30</v>
      </c>
      <c r="Q53" s="14" t="s">
        <v>50</v>
      </c>
      <c r="R53" s="14" t="s">
        <v>42</v>
      </c>
      <c r="S53" s="14">
        <v>45311</v>
      </c>
      <c r="T53" s="14">
        <v>5</v>
      </c>
    </row>
    <row r="54" spans="1:20" x14ac:dyDescent="0.3">
      <c r="A54" t="s">
        <v>262</v>
      </c>
      <c r="B54">
        <v>45751</v>
      </c>
      <c r="C54" t="s">
        <v>263</v>
      </c>
      <c r="D54" t="s">
        <v>264</v>
      </c>
      <c r="E54" t="s">
        <v>77</v>
      </c>
      <c r="F54">
        <v>18</v>
      </c>
      <c r="G54" t="s">
        <v>69</v>
      </c>
      <c r="H54" s="14" t="s">
        <v>69</v>
      </c>
      <c r="I54" s="14" t="s">
        <v>63</v>
      </c>
      <c r="J54" s="14" t="s">
        <v>64</v>
      </c>
      <c r="K54" s="14" t="s">
        <v>39</v>
      </c>
      <c r="L54" s="14" t="s">
        <v>40</v>
      </c>
      <c r="M54" s="14">
        <v>5</v>
      </c>
      <c r="N54" s="14">
        <v>2545.75</v>
      </c>
      <c r="O54" s="14">
        <v>1650</v>
      </c>
      <c r="P54" s="14">
        <v>15</v>
      </c>
      <c r="Q54" s="14" t="s">
        <v>50</v>
      </c>
      <c r="R54" s="14" t="s">
        <v>42</v>
      </c>
      <c r="S54" s="14">
        <v>45763</v>
      </c>
      <c r="T54" s="14">
        <v>4</v>
      </c>
    </row>
    <row r="55" spans="1:20" x14ac:dyDescent="0.3">
      <c r="A55" t="s">
        <v>265</v>
      </c>
      <c r="B55">
        <v>45761</v>
      </c>
      <c r="C55" t="s">
        <v>266</v>
      </c>
      <c r="D55" t="s">
        <v>267</v>
      </c>
      <c r="E55" t="s">
        <v>77</v>
      </c>
      <c r="F55">
        <v>56</v>
      </c>
      <c r="G55" t="s">
        <v>24</v>
      </c>
      <c r="H55" s="14" t="s">
        <v>25</v>
      </c>
      <c r="I55" s="14" t="s">
        <v>37</v>
      </c>
      <c r="J55" s="14" t="s">
        <v>38</v>
      </c>
      <c r="K55" s="14" t="s">
        <v>39</v>
      </c>
      <c r="L55" s="14" t="s">
        <v>40</v>
      </c>
      <c r="M55" s="14">
        <v>4</v>
      </c>
      <c r="N55" s="14">
        <v>2517.1999999999998</v>
      </c>
      <c r="O55" s="14">
        <v>2080</v>
      </c>
      <c r="P55" s="14">
        <v>30</v>
      </c>
      <c r="Q55" s="14" t="s">
        <v>73</v>
      </c>
      <c r="R55" s="14" t="s">
        <v>42</v>
      </c>
      <c r="S55" s="14">
        <v>45770</v>
      </c>
      <c r="T55" s="14">
        <v>3</v>
      </c>
    </row>
    <row r="56" spans="1:20" x14ac:dyDescent="0.3">
      <c r="A56" t="s">
        <v>268</v>
      </c>
      <c r="B56">
        <v>45374</v>
      </c>
      <c r="C56" t="s">
        <v>269</v>
      </c>
      <c r="D56" t="s">
        <v>270</v>
      </c>
      <c r="E56" t="s">
        <v>77</v>
      </c>
      <c r="F56">
        <v>43</v>
      </c>
      <c r="G56" t="s">
        <v>173</v>
      </c>
      <c r="H56" s="14" t="s">
        <v>79</v>
      </c>
      <c r="I56" s="14" t="s">
        <v>54</v>
      </c>
      <c r="J56" s="14" t="s">
        <v>55</v>
      </c>
      <c r="K56" s="14" t="s">
        <v>28</v>
      </c>
      <c r="L56" s="14" t="s">
        <v>56</v>
      </c>
      <c r="M56" s="14">
        <v>2</v>
      </c>
      <c r="N56" s="14">
        <v>1118.4000000000001</v>
      </c>
      <c r="O56" s="14">
        <v>820</v>
      </c>
      <c r="P56" s="14">
        <v>20</v>
      </c>
      <c r="Q56" s="14" t="s">
        <v>50</v>
      </c>
      <c r="R56" s="14" t="s">
        <v>31</v>
      </c>
      <c r="S56" s="14">
        <v>45385</v>
      </c>
      <c r="T56" s="14">
        <v>4</v>
      </c>
    </row>
    <row r="57" spans="1:20" x14ac:dyDescent="0.3">
      <c r="A57" t="s">
        <v>271</v>
      </c>
      <c r="B57">
        <v>45682</v>
      </c>
      <c r="C57" t="s">
        <v>272</v>
      </c>
      <c r="D57" t="s">
        <v>273</v>
      </c>
      <c r="E57" t="s">
        <v>23</v>
      </c>
      <c r="F57">
        <v>46</v>
      </c>
      <c r="H57" s="14" t="s">
        <v>36</v>
      </c>
      <c r="I57" s="14" t="s">
        <v>63</v>
      </c>
      <c r="J57" s="14" t="s">
        <v>64</v>
      </c>
      <c r="K57" s="14" t="s">
        <v>39</v>
      </c>
      <c r="L57" s="14" t="s">
        <v>40</v>
      </c>
      <c r="M57" s="14">
        <v>5</v>
      </c>
      <c r="N57" s="14">
        <v>2096.5</v>
      </c>
      <c r="O57" s="14">
        <v>1650</v>
      </c>
      <c r="P57" s="14">
        <v>30</v>
      </c>
      <c r="Q57" s="14" t="s">
        <v>73</v>
      </c>
      <c r="R57" s="14" t="s">
        <v>57</v>
      </c>
      <c r="S57" s="14">
        <v>45685</v>
      </c>
      <c r="T57" s="14">
        <v>4</v>
      </c>
    </row>
    <row r="58" spans="1:20" x14ac:dyDescent="0.3">
      <c r="A58" t="s">
        <v>274</v>
      </c>
      <c r="B58">
        <v>45732</v>
      </c>
      <c r="C58" t="s">
        <v>275</v>
      </c>
      <c r="D58" t="s">
        <v>276</v>
      </c>
      <c r="E58" t="s">
        <v>77</v>
      </c>
      <c r="F58">
        <v>43</v>
      </c>
      <c r="G58" t="s">
        <v>90</v>
      </c>
      <c r="H58" s="14" t="s">
        <v>91</v>
      </c>
      <c r="I58" s="14" t="s">
        <v>134</v>
      </c>
      <c r="J58" s="14" t="s">
        <v>135</v>
      </c>
      <c r="K58" s="14" t="s">
        <v>39</v>
      </c>
      <c r="L58" s="14" t="s">
        <v>136</v>
      </c>
      <c r="M58" s="14">
        <v>3</v>
      </c>
      <c r="N58" s="14">
        <v>358.2</v>
      </c>
      <c r="O58" s="14">
        <v>270</v>
      </c>
      <c r="P58" s="14">
        <v>40</v>
      </c>
      <c r="Q58" s="14" t="s">
        <v>103</v>
      </c>
      <c r="R58" s="14" t="s">
        <v>42</v>
      </c>
      <c r="S58" s="14">
        <v>45735</v>
      </c>
      <c r="T58" s="14">
        <v>4</v>
      </c>
    </row>
    <row r="59" spans="1:20" x14ac:dyDescent="0.3">
      <c r="A59" t="s">
        <v>277</v>
      </c>
      <c r="B59">
        <v>45729</v>
      </c>
      <c r="C59" t="s">
        <v>278</v>
      </c>
      <c r="D59" t="s">
        <v>139</v>
      </c>
      <c r="E59" t="s">
        <v>77</v>
      </c>
      <c r="F59">
        <v>32</v>
      </c>
      <c r="G59" t="s">
        <v>207</v>
      </c>
      <c r="H59" s="14" t="s">
        <v>36</v>
      </c>
      <c r="I59" s="14" t="s">
        <v>245</v>
      </c>
      <c r="J59" s="14" t="s">
        <v>246</v>
      </c>
      <c r="K59" s="14" t="s">
        <v>130</v>
      </c>
      <c r="L59" s="14" t="s">
        <v>247</v>
      </c>
      <c r="M59" s="14">
        <v>2</v>
      </c>
      <c r="N59" s="14">
        <v>2998.8</v>
      </c>
      <c r="O59" s="14">
        <v>3740</v>
      </c>
      <c r="P59" s="14">
        <v>40</v>
      </c>
      <c r="Q59" s="14" t="s">
        <v>73</v>
      </c>
      <c r="R59" s="14" t="s">
        <v>42</v>
      </c>
      <c r="S59" s="14">
        <v>45732</v>
      </c>
      <c r="T59" s="14">
        <v>3</v>
      </c>
    </row>
    <row r="60" spans="1:20" x14ac:dyDescent="0.3">
      <c r="A60" t="s">
        <v>279</v>
      </c>
      <c r="B60">
        <v>45734</v>
      </c>
      <c r="C60" t="s">
        <v>280</v>
      </c>
      <c r="D60" t="s">
        <v>281</v>
      </c>
      <c r="E60" t="s">
        <v>77</v>
      </c>
      <c r="F60">
        <v>53</v>
      </c>
      <c r="G60" t="s">
        <v>211</v>
      </c>
      <c r="H60" s="14" t="s">
        <v>127</v>
      </c>
      <c r="I60" s="14" t="s">
        <v>252</v>
      </c>
      <c r="J60" s="14" t="s">
        <v>253</v>
      </c>
      <c r="K60" s="14" t="s">
        <v>28</v>
      </c>
      <c r="L60" s="14" t="s">
        <v>254</v>
      </c>
      <c r="M60" s="14">
        <v>5</v>
      </c>
      <c r="N60" s="14">
        <v>14995</v>
      </c>
      <c r="O60" s="14">
        <v>9500</v>
      </c>
      <c r="P60" s="14">
        <v>0</v>
      </c>
      <c r="Q60" s="14" t="s">
        <v>50</v>
      </c>
      <c r="R60" s="14" t="s">
        <v>65</v>
      </c>
    </row>
    <row r="61" spans="1:20" x14ac:dyDescent="0.3">
      <c r="A61" t="s">
        <v>282</v>
      </c>
      <c r="B61">
        <v>45867</v>
      </c>
      <c r="C61" t="s">
        <v>120</v>
      </c>
      <c r="D61" t="s">
        <v>121</v>
      </c>
      <c r="E61" t="s">
        <v>23</v>
      </c>
      <c r="F61">
        <v>56</v>
      </c>
      <c r="G61" t="s">
        <v>69</v>
      </c>
      <c r="H61" s="14" t="s">
        <v>69</v>
      </c>
      <c r="I61" s="14" t="s">
        <v>134</v>
      </c>
      <c r="J61" s="14" t="s">
        <v>135</v>
      </c>
      <c r="K61" s="14" t="s">
        <v>39</v>
      </c>
      <c r="L61" s="14" t="s">
        <v>136</v>
      </c>
      <c r="M61" s="14">
        <v>3</v>
      </c>
      <c r="N61" s="14">
        <v>417.9</v>
      </c>
      <c r="O61" s="14">
        <v>270</v>
      </c>
      <c r="P61" s="14">
        <v>30</v>
      </c>
      <c r="Q61" s="14" t="s">
        <v>73</v>
      </c>
      <c r="R61" s="14" t="s">
        <v>42</v>
      </c>
      <c r="S61" s="14">
        <v>45878</v>
      </c>
      <c r="T61" s="14">
        <v>4</v>
      </c>
    </row>
    <row r="62" spans="1:20" x14ac:dyDescent="0.3">
      <c r="A62" t="s">
        <v>283</v>
      </c>
      <c r="B62">
        <v>45652</v>
      </c>
      <c r="C62" t="s">
        <v>284</v>
      </c>
      <c r="D62" t="s">
        <v>285</v>
      </c>
      <c r="E62" t="s">
        <v>77</v>
      </c>
      <c r="F62">
        <v>28</v>
      </c>
      <c r="G62" t="s">
        <v>154</v>
      </c>
      <c r="H62" s="14" t="s">
        <v>91</v>
      </c>
      <c r="I62" s="14" t="s">
        <v>252</v>
      </c>
      <c r="J62" s="14" t="s">
        <v>253</v>
      </c>
      <c r="K62" s="14" t="s">
        <v>28</v>
      </c>
      <c r="L62" s="14" t="s">
        <v>254</v>
      </c>
      <c r="M62" s="14">
        <v>4</v>
      </c>
      <c r="N62" s="14">
        <v>10196.6</v>
      </c>
      <c r="O62" s="14">
        <v>7600</v>
      </c>
      <c r="P62" s="14">
        <v>15</v>
      </c>
      <c r="Q62" s="14" t="s">
        <v>73</v>
      </c>
      <c r="R62" s="14" t="s">
        <v>42</v>
      </c>
      <c r="S62" s="14">
        <v>45662</v>
      </c>
      <c r="T62" s="14">
        <v>4</v>
      </c>
    </row>
    <row r="63" spans="1:20" x14ac:dyDescent="0.3">
      <c r="A63" t="s">
        <v>286</v>
      </c>
      <c r="B63">
        <v>45409</v>
      </c>
      <c r="C63" t="s">
        <v>287</v>
      </c>
      <c r="D63" t="s">
        <v>182</v>
      </c>
      <c r="E63" t="s">
        <v>23</v>
      </c>
      <c r="F63">
        <v>46</v>
      </c>
      <c r="G63" t="s">
        <v>288</v>
      </c>
      <c r="H63" s="14" t="s">
        <v>91</v>
      </c>
      <c r="I63" s="14" t="s">
        <v>134</v>
      </c>
      <c r="J63" s="14" t="s">
        <v>135</v>
      </c>
      <c r="K63" s="14" t="s">
        <v>39</v>
      </c>
      <c r="L63" s="14" t="s">
        <v>136</v>
      </c>
      <c r="M63" s="14">
        <v>5</v>
      </c>
      <c r="N63" s="14">
        <v>995</v>
      </c>
      <c r="O63" s="14">
        <v>450</v>
      </c>
      <c r="P63" s="14">
        <v>0</v>
      </c>
      <c r="Q63" s="14" t="s">
        <v>50</v>
      </c>
      <c r="R63" s="14" t="s">
        <v>31</v>
      </c>
      <c r="S63" s="14">
        <v>45415</v>
      </c>
      <c r="T63" s="14">
        <v>2</v>
      </c>
    </row>
    <row r="64" spans="1:20" x14ac:dyDescent="0.3">
      <c r="A64" t="s">
        <v>289</v>
      </c>
      <c r="B64">
        <v>45476</v>
      </c>
      <c r="C64" t="s">
        <v>149</v>
      </c>
      <c r="D64" t="s">
        <v>150</v>
      </c>
      <c r="E64" t="s">
        <v>77</v>
      </c>
      <c r="F64">
        <v>35</v>
      </c>
      <c r="G64" t="s">
        <v>35</v>
      </c>
      <c r="H64" s="14" t="s">
        <v>36</v>
      </c>
      <c r="I64" s="14" t="s">
        <v>183</v>
      </c>
      <c r="J64" s="14" t="s">
        <v>184</v>
      </c>
      <c r="K64" s="14" t="s">
        <v>130</v>
      </c>
      <c r="L64" s="14" t="s">
        <v>185</v>
      </c>
      <c r="M64" s="14">
        <v>3</v>
      </c>
      <c r="N64" s="14">
        <v>11997</v>
      </c>
      <c r="O64" s="14">
        <v>9150</v>
      </c>
      <c r="P64" s="14">
        <v>0</v>
      </c>
      <c r="Q64" s="14" t="s">
        <v>30</v>
      </c>
      <c r="R64" s="14" t="s">
        <v>57</v>
      </c>
      <c r="S64" s="14">
        <v>45480</v>
      </c>
      <c r="T64" s="14">
        <v>5</v>
      </c>
    </row>
    <row r="65" spans="1:20" x14ac:dyDescent="0.3">
      <c r="A65" t="s">
        <v>290</v>
      </c>
      <c r="B65">
        <v>45363</v>
      </c>
      <c r="C65" t="s">
        <v>291</v>
      </c>
      <c r="D65" t="s">
        <v>292</v>
      </c>
      <c r="E65" t="s">
        <v>77</v>
      </c>
      <c r="F65">
        <v>46</v>
      </c>
      <c r="G65" t="s">
        <v>161</v>
      </c>
      <c r="H65" s="14" t="s">
        <v>25</v>
      </c>
      <c r="I65" s="14" t="s">
        <v>54</v>
      </c>
      <c r="J65" s="14" t="s">
        <v>55</v>
      </c>
      <c r="K65" s="14" t="s">
        <v>28</v>
      </c>
      <c r="L65" s="14" t="s">
        <v>56</v>
      </c>
      <c r="M65" s="14">
        <v>5</v>
      </c>
      <c r="N65" s="14">
        <v>2970.75</v>
      </c>
      <c r="O65" s="14">
        <v>2050</v>
      </c>
      <c r="P65" s="14">
        <v>15</v>
      </c>
      <c r="Q65" s="14" t="s">
        <v>103</v>
      </c>
      <c r="R65" s="14" t="s">
        <v>42</v>
      </c>
      <c r="S65" s="14">
        <v>45372</v>
      </c>
      <c r="T65" s="14">
        <v>4</v>
      </c>
    </row>
    <row r="66" spans="1:20" x14ac:dyDescent="0.3">
      <c r="A66" t="s">
        <v>293</v>
      </c>
      <c r="B66">
        <v>45453</v>
      </c>
      <c r="C66" t="s">
        <v>294</v>
      </c>
      <c r="D66" t="s">
        <v>295</v>
      </c>
      <c r="E66" t="s">
        <v>77</v>
      </c>
      <c r="F66">
        <v>31</v>
      </c>
      <c r="G66" t="s">
        <v>35</v>
      </c>
      <c r="H66" s="14" t="s">
        <v>36</v>
      </c>
      <c r="I66" s="14" t="s">
        <v>177</v>
      </c>
      <c r="J66" s="14" t="s">
        <v>178</v>
      </c>
      <c r="K66" s="14" t="s">
        <v>87</v>
      </c>
      <c r="L66" s="14" t="s">
        <v>179</v>
      </c>
      <c r="M66" s="14">
        <v>3</v>
      </c>
      <c r="N66" s="14">
        <v>7122.15</v>
      </c>
      <c r="O66" s="14">
        <v>4860</v>
      </c>
      <c r="P66" s="14">
        <v>5</v>
      </c>
      <c r="Q66" s="14" t="s">
        <v>73</v>
      </c>
      <c r="R66" s="14" t="s">
        <v>42</v>
      </c>
      <c r="S66" s="14">
        <v>45457</v>
      </c>
      <c r="T66" s="14">
        <v>2</v>
      </c>
    </row>
    <row r="67" spans="1:20" x14ac:dyDescent="0.3">
      <c r="A67" t="s">
        <v>296</v>
      </c>
      <c r="B67">
        <v>45982</v>
      </c>
      <c r="C67" t="s">
        <v>297</v>
      </c>
      <c r="D67" t="s">
        <v>298</v>
      </c>
      <c r="E67" t="s">
        <v>77</v>
      </c>
      <c r="F67">
        <v>55</v>
      </c>
      <c r="G67" t="s">
        <v>207</v>
      </c>
      <c r="H67" s="14" t="s">
        <v>36</v>
      </c>
      <c r="I67" s="14" t="s">
        <v>63</v>
      </c>
      <c r="J67" s="14" t="s">
        <v>64</v>
      </c>
      <c r="K67" s="14" t="s">
        <v>39</v>
      </c>
      <c r="L67" s="14" t="s">
        <v>40</v>
      </c>
      <c r="M67" s="14">
        <v>4</v>
      </c>
      <c r="N67" s="14">
        <v>1437.6</v>
      </c>
      <c r="O67" s="14">
        <v>1320</v>
      </c>
      <c r="P67" s="14">
        <v>40</v>
      </c>
      <c r="Q67" s="14" t="s">
        <v>50</v>
      </c>
      <c r="R67" s="14" t="s">
        <v>42</v>
      </c>
      <c r="S67" s="14">
        <v>45990</v>
      </c>
      <c r="T67" s="14">
        <v>4</v>
      </c>
    </row>
    <row r="68" spans="1:20" x14ac:dyDescent="0.3">
      <c r="A68" t="s">
        <v>299</v>
      </c>
      <c r="B68">
        <v>45512</v>
      </c>
      <c r="C68" t="s">
        <v>300</v>
      </c>
      <c r="D68" t="s">
        <v>172</v>
      </c>
      <c r="E68" t="s">
        <v>23</v>
      </c>
      <c r="F68">
        <v>39</v>
      </c>
      <c r="G68" t="s">
        <v>69</v>
      </c>
      <c r="H68" s="14" t="s">
        <v>69</v>
      </c>
      <c r="I68" s="14" t="s">
        <v>245</v>
      </c>
      <c r="J68" s="14" t="s">
        <v>246</v>
      </c>
      <c r="K68" s="14" t="s">
        <v>130</v>
      </c>
      <c r="L68" s="14" t="s">
        <v>247</v>
      </c>
      <c r="M68" s="14">
        <v>4</v>
      </c>
      <c r="N68" s="14">
        <v>9496.2000000000007</v>
      </c>
      <c r="O68" s="14">
        <v>7480</v>
      </c>
      <c r="P68" s="14">
        <v>5</v>
      </c>
      <c r="Q68" s="14" t="s">
        <v>41</v>
      </c>
      <c r="R68" s="14" t="s">
        <v>31</v>
      </c>
      <c r="S68" s="14">
        <v>45524</v>
      </c>
      <c r="T68" s="14">
        <v>5</v>
      </c>
    </row>
    <row r="69" spans="1:20" x14ac:dyDescent="0.3">
      <c r="A69" t="s">
        <v>301</v>
      </c>
      <c r="B69">
        <v>45831</v>
      </c>
      <c r="C69" t="s">
        <v>302</v>
      </c>
      <c r="D69" t="s">
        <v>303</v>
      </c>
      <c r="E69" t="s">
        <v>77</v>
      </c>
      <c r="F69">
        <v>24</v>
      </c>
      <c r="G69" t="s">
        <v>24</v>
      </c>
      <c r="H69" s="14" t="s">
        <v>25</v>
      </c>
      <c r="I69" s="14" t="s">
        <v>304</v>
      </c>
      <c r="J69" s="14" t="s">
        <v>305</v>
      </c>
      <c r="K69" s="14" t="s">
        <v>28</v>
      </c>
      <c r="L69" s="14" t="s">
        <v>231</v>
      </c>
      <c r="M69" s="14">
        <v>4</v>
      </c>
      <c r="N69" s="14">
        <v>7196</v>
      </c>
      <c r="O69" s="14">
        <v>4320</v>
      </c>
      <c r="P69" s="14">
        <v>0</v>
      </c>
      <c r="Q69" s="14" t="s">
        <v>73</v>
      </c>
      <c r="R69" s="14" t="s">
        <v>42</v>
      </c>
      <c r="S69" s="14">
        <v>45837</v>
      </c>
      <c r="T69" s="14">
        <v>4</v>
      </c>
    </row>
    <row r="70" spans="1:20" x14ac:dyDescent="0.3">
      <c r="A70" t="s">
        <v>306</v>
      </c>
      <c r="B70">
        <v>45432</v>
      </c>
      <c r="C70" t="s">
        <v>307</v>
      </c>
      <c r="D70" t="s">
        <v>241</v>
      </c>
      <c r="E70" t="s">
        <v>23</v>
      </c>
      <c r="F70">
        <v>53</v>
      </c>
      <c r="G70" t="s">
        <v>35</v>
      </c>
      <c r="H70" s="14" t="s">
        <v>36</v>
      </c>
      <c r="I70" s="14" t="s">
        <v>183</v>
      </c>
      <c r="J70" s="14" t="s">
        <v>184</v>
      </c>
      <c r="K70" s="14" t="s">
        <v>130</v>
      </c>
      <c r="L70" s="14" t="s">
        <v>185</v>
      </c>
      <c r="M70" s="14">
        <v>1</v>
      </c>
      <c r="N70" s="14">
        <v>3999</v>
      </c>
      <c r="O70" s="14">
        <v>3050</v>
      </c>
      <c r="P70" s="14">
        <v>0</v>
      </c>
      <c r="Q70" s="14" t="s">
        <v>103</v>
      </c>
      <c r="R70" s="14" t="s">
        <v>31</v>
      </c>
      <c r="S70" s="14">
        <v>45440</v>
      </c>
      <c r="T70" s="14">
        <v>3</v>
      </c>
    </row>
    <row r="71" spans="1:20" x14ac:dyDescent="0.3">
      <c r="A71" t="s">
        <v>308</v>
      </c>
      <c r="B71">
        <v>45424</v>
      </c>
      <c r="C71" t="s">
        <v>59</v>
      </c>
      <c r="D71" t="s">
        <v>60</v>
      </c>
      <c r="E71" t="s">
        <v>23</v>
      </c>
      <c r="F71">
        <v>37</v>
      </c>
      <c r="G71" t="s">
        <v>90</v>
      </c>
      <c r="H71" s="14" t="s">
        <v>91</v>
      </c>
      <c r="I71" s="14" t="s">
        <v>112</v>
      </c>
      <c r="J71" s="14" t="s">
        <v>113</v>
      </c>
      <c r="K71" s="14" t="s">
        <v>114</v>
      </c>
      <c r="L71" s="14" t="s">
        <v>115</v>
      </c>
      <c r="M71" s="14">
        <v>5</v>
      </c>
      <c r="N71" s="14">
        <v>2621.25</v>
      </c>
      <c r="O71" s="14">
        <v>1850</v>
      </c>
      <c r="P71" s="14">
        <v>25</v>
      </c>
      <c r="Q71" s="14" t="s">
        <v>73</v>
      </c>
      <c r="R71" s="14" t="s">
        <v>42</v>
      </c>
      <c r="S71" s="14">
        <v>45426</v>
      </c>
      <c r="T71" s="14">
        <v>5</v>
      </c>
    </row>
    <row r="72" spans="1:20" x14ac:dyDescent="0.3">
      <c r="A72" t="s">
        <v>309</v>
      </c>
      <c r="B72">
        <v>45311</v>
      </c>
      <c r="C72" t="s">
        <v>310</v>
      </c>
      <c r="D72" t="s">
        <v>311</v>
      </c>
      <c r="E72" t="s">
        <v>23</v>
      </c>
      <c r="F72">
        <v>19</v>
      </c>
      <c r="G72" t="s">
        <v>46</v>
      </c>
      <c r="H72" s="14" t="s">
        <v>25</v>
      </c>
      <c r="I72" s="14" t="s">
        <v>183</v>
      </c>
      <c r="J72" s="14" t="s">
        <v>184</v>
      </c>
      <c r="K72" s="14" t="s">
        <v>130</v>
      </c>
      <c r="L72" s="14" t="s">
        <v>185</v>
      </c>
      <c r="M72" s="14">
        <v>5</v>
      </c>
      <c r="N72" s="14">
        <v>13996.5</v>
      </c>
      <c r="O72" s="14">
        <v>15250</v>
      </c>
      <c r="P72" s="14">
        <v>30</v>
      </c>
      <c r="Q72" s="14" t="s">
        <v>50</v>
      </c>
      <c r="R72" s="14" t="s">
        <v>42</v>
      </c>
      <c r="S72" s="14">
        <v>45323</v>
      </c>
      <c r="T72" s="14">
        <v>5</v>
      </c>
    </row>
    <row r="73" spans="1:20" x14ac:dyDescent="0.3">
      <c r="A73" t="s">
        <v>312</v>
      </c>
      <c r="B73">
        <v>45588</v>
      </c>
      <c r="C73" t="s">
        <v>44</v>
      </c>
      <c r="D73" t="s">
        <v>45</v>
      </c>
      <c r="E73" t="s">
        <v>23</v>
      </c>
      <c r="F73">
        <v>41</v>
      </c>
      <c r="G73" t="s">
        <v>165</v>
      </c>
      <c r="H73" s="14" t="s">
        <v>166</v>
      </c>
      <c r="I73" s="14" t="s">
        <v>80</v>
      </c>
      <c r="J73" s="14" t="s">
        <v>81</v>
      </c>
      <c r="K73" s="14" t="s">
        <v>28</v>
      </c>
      <c r="L73" s="14" t="s">
        <v>29</v>
      </c>
      <c r="M73" s="14">
        <v>3</v>
      </c>
      <c r="N73" s="14">
        <v>2157.3000000000002</v>
      </c>
      <c r="O73" s="14">
        <v>1410</v>
      </c>
      <c r="P73" s="14">
        <v>10</v>
      </c>
      <c r="Q73" s="14" t="s">
        <v>50</v>
      </c>
      <c r="R73" s="14" t="s">
        <v>42</v>
      </c>
      <c r="S73" s="14">
        <v>45595</v>
      </c>
      <c r="T73" s="14">
        <v>3</v>
      </c>
    </row>
    <row r="74" spans="1:20" x14ac:dyDescent="0.3">
      <c r="A74" t="s">
        <v>313</v>
      </c>
      <c r="B74">
        <v>45739</v>
      </c>
      <c r="C74" t="s">
        <v>314</v>
      </c>
      <c r="D74" t="s">
        <v>315</v>
      </c>
      <c r="E74" t="s">
        <v>77</v>
      </c>
      <c r="F74">
        <v>34</v>
      </c>
      <c r="G74" t="s">
        <v>90</v>
      </c>
      <c r="H74" s="14" t="s">
        <v>91</v>
      </c>
      <c r="I74" s="14" t="s">
        <v>134</v>
      </c>
      <c r="J74" s="14" t="s">
        <v>135</v>
      </c>
      <c r="K74" s="14" t="s">
        <v>39</v>
      </c>
      <c r="L74" s="14" t="s">
        <v>136</v>
      </c>
      <c r="M74" s="14">
        <v>5</v>
      </c>
      <c r="N74" s="14">
        <v>696.5</v>
      </c>
      <c r="O74" s="14">
        <v>450</v>
      </c>
      <c r="P74" s="14">
        <v>30</v>
      </c>
      <c r="Q74" s="14" t="s">
        <v>50</v>
      </c>
      <c r="R74" s="14" t="s">
        <v>42</v>
      </c>
      <c r="S74" s="14">
        <v>45747</v>
      </c>
      <c r="T74" s="14">
        <v>4</v>
      </c>
    </row>
    <row r="75" spans="1:20" x14ac:dyDescent="0.3">
      <c r="A75" t="s">
        <v>316</v>
      </c>
      <c r="B75">
        <v>45639</v>
      </c>
      <c r="C75" t="s">
        <v>317</v>
      </c>
      <c r="D75" t="s">
        <v>318</v>
      </c>
      <c r="E75" t="s">
        <v>77</v>
      </c>
      <c r="F75">
        <v>54</v>
      </c>
      <c r="G75" t="s">
        <v>126</v>
      </c>
      <c r="H75" s="14" t="s">
        <v>127</v>
      </c>
      <c r="I75" s="14" t="s">
        <v>319</v>
      </c>
      <c r="J75" s="14" t="s">
        <v>320</v>
      </c>
      <c r="K75" s="14" t="s">
        <v>28</v>
      </c>
      <c r="L75" s="14" t="s">
        <v>29</v>
      </c>
      <c r="M75" s="14">
        <v>1</v>
      </c>
      <c r="O75" s="14">
        <v>710</v>
      </c>
      <c r="P75" s="14">
        <v>5</v>
      </c>
      <c r="Q75" s="14" t="s">
        <v>50</v>
      </c>
      <c r="R75" s="14" t="s">
        <v>65</v>
      </c>
    </row>
    <row r="76" spans="1:20" x14ac:dyDescent="0.3">
      <c r="A76" t="s">
        <v>321</v>
      </c>
      <c r="B76">
        <v>45490</v>
      </c>
      <c r="C76" t="s">
        <v>322</v>
      </c>
      <c r="D76" t="s">
        <v>323</v>
      </c>
      <c r="E76" t="s">
        <v>23</v>
      </c>
      <c r="F76">
        <v>50</v>
      </c>
      <c r="G76" t="s">
        <v>211</v>
      </c>
      <c r="H76" s="14" t="s">
        <v>127</v>
      </c>
      <c r="I76" s="14" t="s">
        <v>177</v>
      </c>
      <c r="J76" s="14" t="s">
        <v>178</v>
      </c>
      <c r="K76" s="14" t="s">
        <v>87</v>
      </c>
      <c r="L76" s="14" t="s">
        <v>179</v>
      </c>
      <c r="M76" s="14">
        <v>2</v>
      </c>
      <c r="N76" s="14">
        <v>4248.3</v>
      </c>
      <c r="O76" s="14">
        <v>3240</v>
      </c>
      <c r="P76" s="14">
        <v>15</v>
      </c>
      <c r="Q76" s="14" t="s">
        <v>73</v>
      </c>
      <c r="R76" s="14" t="s">
        <v>42</v>
      </c>
      <c r="S76" s="14">
        <v>45496</v>
      </c>
      <c r="T76" s="14">
        <v>4</v>
      </c>
    </row>
    <row r="77" spans="1:20" x14ac:dyDescent="0.3">
      <c r="A77" t="s">
        <v>324</v>
      </c>
      <c r="B77">
        <v>45469</v>
      </c>
      <c r="C77" t="s">
        <v>325</v>
      </c>
      <c r="D77" t="s">
        <v>326</v>
      </c>
      <c r="E77" t="s">
        <v>23</v>
      </c>
      <c r="F77">
        <v>22</v>
      </c>
      <c r="G77" t="s">
        <v>46</v>
      </c>
      <c r="H77" s="14" t="s">
        <v>25</v>
      </c>
      <c r="I77" s="14" t="s">
        <v>319</v>
      </c>
      <c r="J77" s="14" t="s">
        <v>320</v>
      </c>
      <c r="K77" s="14" t="s">
        <v>28</v>
      </c>
      <c r="L77" s="14" t="s">
        <v>29</v>
      </c>
      <c r="M77" s="14">
        <v>4</v>
      </c>
      <c r="N77" s="14">
        <v>2877.6</v>
      </c>
      <c r="O77" s="14">
        <v>2840</v>
      </c>
      <c r="P77" s="14">
        <v>40</v>
      </c>
      <c r="Q77" s="14" t="s">
        <v>50</v>
      </c>
      <c r="R77" s="14" t="s">
        <v>57</v>
      </c>
      <c r="S77" s="14">
        <v>45480</v>
      </c>
      <c r="T77" s="14">
        <v>5</v>
      </c>
    </row>
    <row r="78" spans="1:20" x14ac:dyDescent="0.3">
      <c r="A78" t="s">
        <v>327</v>
      </c>
      <c r="B78">
        <v>45989</v>
      </c>
      <c r="C78" t="s">
        <v>328</v>
      </c>
      <c r="D78" t="s">
        <v>329</v>
      </c>
      <c r="E78" t="s">
        <v>77</v>
      </c>
      <c r="F78">
        <v>47</v>
      </c>
      <c r="G78" t="s">
        <v>126</v>
      </c>
      <c r="H78" s="14" t="s">
        <v>127</v>
      </c>
      <c r="I78" s="14" t="s">
        <v>92</v>
      </c>
      <c r="J78" s="14" t="s">
        <v>93</v>
      </c>
      <c r="K78" s="14" t="s">
        <v>87</v>
      </c>
      <c r="L78" s="14" t="s">
        <v>94</v>
      </c>
      <c r="M78" s="14">
        <v>3</v>
      </c>
      <c r="N78" s="14">
        <v>4317.3</v>
      </c>
      <c r="O78" s="14">
        <v>2790</v>
      </c>
      <c r="P78" s="14">
        <v>10</v>
      </c>
      <c r="Q78" s="14" t="s">
        <v>103</v>
      </c>
      <c r="R78" s="14" t="s">
        <v>42</v>
      </c>
      <c r="S78" s="14">
        <v>45998</v>
      </c>
      <c r="T78" s="14">
        <v>5</v>
      </c>
    </row>
    <row r="79" spans="1:20" x14ac:dyDescent="0.3">
      <c r="A79" t="s">
        <v>330</v>
      </c>
      <c r="B79">
        <v>45938</v>
      </c>
      <c r="C79" t="s">
        <v>331</v>
      </c>
      <c r="D79" t="s">
        <v>332</v>
      </c>
      <c r="E79" t="s">
        <v>23</v>
      </c>
      <c r="F79">
        <v>39</v>
      </c>
      <c r="G79" t="s">
        <v>207</v>
      </c>
      <c r="H79" s="14" t="s">
        <v>36</v>
      </c>
      <c r="I79" s="14" t="s">
        <v>198</v>
      </c>
      <c r="J79" s="14" t="s">
        <v>199</v>
      </c>
      <c r="K79" s="14" t="s">
        <v>114</v>
      </c>
      <c r="L79" s="14" t="s">
        <v>200</v>
      </c>
      <c r="M79" s="14">
        <v>1</v>
      </c>
      <c r="N79" s="14">
        <v>974.25</v>
      </c>
      <c r="O79" s="14">
        <v>760</v>
      </c>
      <c r="P79" s="14">
        <v>25</v>
      </c>
      <c r="Q79" s="14" t="s">
        <v>50</v>
      </c>
      <c r="R79" s="14" t="s">
        <v>42</v>
      </c>
      <c r="S79" s="14">
        <v>45944</v>
      </c>
      <c r="T79" s="14">
        <v>5</v>
      </c>
    </row>
    <row r="80" spans="1:20" x14ac:dyDescent="0.3">
      <c r="A80" t="s">
        <v>333</v>
      </c>
      <c r="B80">
        <v>45754</v>
      </c>
      <c r="C80" t="s">
        <v>334</v>
      </c>
      <c r="D80" t="s">
        <v>335</v>
      </c>
      <c r="E80" t="s">
        <v>77</v>
      </c>
      <c r="F80">
        <v>41</v>
      </c>
      <c r="G80" t="s">
        <v>24</v>
      </c>
      <c r="H80" s="14" t="s">
        <v>25</v>
      </c>
      <c r="I80" s="14" t="s">
        <v>245</v>
      </c>
      <c r="J80" s="14" t="s">
        <v>246</v>
      </c>
      <c r="K80" s="14" t="s">
        <v>130</v>
      </c>
      <c r="L80" s="14" t="s">
        <v>247</v>
      </c>
      <c r="M80" s="14">
        <v>3</v>
      </c>
      <c r="N80" s="14">
        <v>7122.15</v>
      </c>
      <c r="O80" s="14">
        <v>5610</v>
      </c>
      <c r="P80" s="14">
        <v>5</v>
      </c>
      <c r="Q80" s="14" t="s">
        <v>73</v>
      </c>
      <c r="R80" s="14" t="s">
        <v>65</v>
      </c>
    </row>
    <row r="81" spans="1:20" x14ac:dyDescent="0.3">
      <c r="A81" t="s">
        <v>336</v>
      </c>
      <c r="B81">
        <v>45900</v>
      </c>
      <c r="C81" t="s">
        <v>337</v>
      </c>
      <c r="D81" t="s">
        <v>338</v>
      </c>
      <c r="E81" t="s">
        <v>77</v>
      </c>
      <c r="F81">
        <v>25</v>
      </c>
      <c r="G81" t="s">
        <v>165</v>
      </c>
      <c r="H81" s="14" t="s">
        <v>166</v>
      </c>
      <c r="I81" s="14" t="s">
        <v>63</v>
      </c>
      <c r="J81" s="14" t="s">
        <v>64</v>
      </c>
      <c r="K81" s="14" t="s">
        <v>39</v>
      </c>
      <c r="L81" s="14" t="s">
        <v>40</v>
      </c>
      <c r="M81" s="14">
        <v>5</v>
      </c>
      <c r="N81" s="14">
        <v>2995</v>
      </c>
      <c r="O81" s="14">
        <v>1650</v>
      </c>
      <c r="P81" s="14">
        <v>0</v>
      </c>
      <c r="Q81" s="14" t="s">
        <v>103</v>
      </c>
      <c r="R81" s="14" t="s">
        <v>57</v>
      </c>
      <c r="S81" s="14">
        <v>45911</v>
      </c>
      <c r="T81" s="14">
        <v>4</v>
      </c>
    </row>
    <row r="82" spans="1:20" x14ac:dyDescent="0.3">
      <c r="A82" t="s">
        <v>339</v>
      </c>
      <c r="B82">
        <v>45621</v>
      </c>
      <c r="C82" t="s">
        <v>340</v>
      </c>
      <c r="D82" t="s">
        <v>341</v>
      </c>
      <c r="E82" t="s">
        <v>23</v>
      </c>
      <c r="F82">
        <v>21</v>
      </c>
      <c r="G82" t="s">
        <v>173</v>
      </c>
      <c r="H82" s="14" t="s">
        <v>79</v>
      </c>
      <c r="I82" s="14" t="s">
        <v>26</v>
      </c>
      <c r="J82" s="14" t="s">
        <v>27</v>
      </c>
      <c r="K82" s="14" t="s">
        <v>28</v>
      </c>
      <c r="L82" s="14" t="s">
        <v>29</v>
      </c>
      <c r="M82" s="14">
        <v>4</v>
      </c>
      <c r="N82" s="14">
        <v>4936.2</v>
      </c>
      <c r="O82" s="14">
        <v>3160</v>
      </c>
      <c r="P82" s="14">
        <v>5</v>
      </c>
      <c r="Q82" s="14" t="s">
        <v>41</v>
      </c>
      <c r="R82" s="14" t="s">
        <v>31</v>
      </c>
      <c r="S82" s="14">
        <v>45624</v>
      </c>
      <c r="T82" s="14">
        <v>3</v>
      </c>
    </row>
    <row r="83" spans="1:20" x14ac:dyDescent="0.3">
      <c r="A83" t="s">
        <v>342</v>
      </c>
      <c r="B83">
        <v>45332</v>
      </c>
      <c r="C83" t="s">
        <v>343</v>
      </c>
      <c r="D83" t="s">
        <v>188</v>
      </c>
      <c r="E83" t="s">
        <v>23</v>
      </c>
      <c r="F83">
        <v>41</v>
      </c>
      <c r="G83" t="s">
        <v>61</v>
      </c>
      <c r="H83" s="14" t="s">
        <v>62</v>
      </c>
      <c r="I83" s="14" t="s">
        <v>63</v>
      </c>
      <c r="J83" s="14" t="s">
        <v>64</v>
      </c>
      <c r="K83" s="14" t="s">
        <v>39</v>
      </c>
      <c r="L83" s="14" t="s">
        <v>40</v>
      </c>
      <c r="M83" s="14">
        <v>5</v>
      </c>
      <c r="N83" s="14">
        <v>2695.5</v>
      </c>
      <c r="O83" s="14">
        <v>1650</v>
      </c>
      <c r="P83" s="14">
        <v>10</v>
      </c>
      <c r="Q83" s="14" t="s">
        <v>41</v>
      </c>
      <c r="R83" s="14" t="s">
        <v>42</v>
      </c>
      <c r="S83" s="14">
        <v>45338</v>
      </c>
      <c r="T83" s="14">
        <v>5</v>
      </c>
    </row>
    <row r="84" spans="1:20" x14ac:dyDescent="0.3">
      <c r="A84" t="s">
        <v>344</v>
      </c>
      <c r="B84">
        <v>45710</v>
      </c>
      <c r="C84" t="s">
        <v>345</v>
      </c>
      <c r="D84" t="s">
        <v>346</v>
      </c>
      <c r="E84" t="s">
        <v>23</v>
      </c>
      <c r="F84">
        <v>18</v>
      </c>
      <c r="G84" t="s">
        <v>24</v>
      </c>
      <c r="H84" s="14" t="s">
        <v>25</v>
      </c>
      <c r="I84" s="14" t="s">
        <v>92</v>
      </c>
      <c r="J84" s="14" t="s">
        <v>93</v>
      </c>
      <c r="K84" s="14" t="s">
        <v>87</v>
      </c>
      <c r="L84" s="14" t="s">
        <v>94</v>
      </c>
      <c r="M84" s="14">
        <v>3</v>
      </c>
      <c r="N84" s="14">
        <v>4557.1499999999996</v>
      </c>
      <c r="O84" s="14">
        <v>2790</v>
      </c>
      <c r="P84" s="14">
        <v>5</v>
      </c>
      <c r="Q84" s="14" t="s">
        <v>41</v>
      </c>
      <c r="R84" s="14" t="s">
        <v>42</v>
      </c>
      <c r="S84" s="14">
        <v>45720</v>
      </c>
      <c r="T84" s="14">
        <v>5</v>
      </c>
    </row>
    <row r="85" spans="1:20" x14ac:dyDescent="0.3">
      <c r="A85" t="s">
        <v>347</v>
      </c>
      <c r="B85">
        <v>45582</v>
      </c>
      <c r="C85" t="s">
        <v>348</v>
      </c>
      <c r="D85" t="s">
        <v>349</v>
      </c>
      <c r="E85" t="s">
        <v>23</v>
      </c>
      <c r="F85">
        <v>51</v>
      </c>
      <c r="G85" t="s">
        <v>173</v>
      </c>
      <c r="H85" s="14" t="s">
        <v>79</v>
      </c>
      <c r="I85" s="14" t="s">
        <v>183</v>
      </c>
      <c r="J85" s="14" t="s">
        <v>184</v>
      </c>
      <c r="K85" s="14" t="s">
        <v>130</v>
      </c>
      <c r="L85" s="14" t="s">
        <v>185</v>
      </c>
      <c r="M85" s="14">
        <v>1</v>
      </c>
      <c r="N85" s="14">
        <v>3599.1</v>
      </c>
      <c r="O85" s="14">
        <v>3050</v>
      </c>
      <c r="P85" s="14">
        <v>10</v>
      </c>
      <c r="Q85" s="14" t="s">
        <v>41</v>
      </c>
      <c r="R85" s="14" t="s">
        <v>42</v>
      </c>
      <c r="S85" s="14">
        <v>45594</v>
      </c>
      <c r="T85" s="14">
        <v>5</v>
      </c>
    </row>
    <row r="86" spans="1:20" x14ac:dyDescent="0.3">
      <c r="A86" t="s">
        <v>350</v>
      </c>
      <c r="B86">
        <v>45424</v>
      </c>
      <c r="C86" t="s">
        <v>351</v>
      </c>
      <c r="D86" t="s">
        <v>352</v>
      </c>
      <c r="E86" t="s">
        <v>77</v>
      </c>
      <c r="F86">
        <v>26</v>
      </c>
      <c r="G86" t="s">
        <v>35</v>
      </c>
      <c r="H86" s="14" t="s">
        <v>36</v>
      </c>
      <c r="I86" s="14" t="s">
        <v>222</v>
      </c>
      <c r="J86" s="14" t="s">
        <v>223</v>
      </c>
      <c r="K86" s="14" t="s">
        <v>114</v>
      </c>
      <c r="L86" s="14" t="s">
        <v>115</v>
      </c>
      <c r="M86" s="14">
        <v>4</v>
      </c>
      <c r="N86" s="14">
        <v>2697</v>
      </c>
      <c r="O86" s="14">
        <v>2040</v>
      </c>
      <c r="P86" s="14">
        <v>25</v>
      </c>
      <c r="Q86" s="14" t="s">
        <v>30</v>
      </c>
      <c r="R86" s="14" t="s">
        <v>31</v>
      </c>
      <c r="S86" s="14">
        <v>45436</v>
      </c>
      <c r="T86" s="14">
        <v>3</v>
      </c>
    </row>
    <row r="87" spans="1:20" x14ac:dyDescent="0.3">
      <c r="A87" t="s">
        <v>353</v>
      </c>
      <c r="B87">
        <v>45953</v>
      </c>
      <c r="C87" t="s">
        <v>354</v>
      </c>
      <c r="D87" t="s">
        <v>355</v>
      </c>
      <c r="E87" t="s">
        <v>77</v>
      </c>
      <c r="F87">
        <v>38</v>
      </c>
      <c r="G87" t="s">
        <v>211</v>
      </c>
      <c r="H87" s="14" t="s">
        <v>127</v>
      </c>
      <c r="I87" s="14" t="s">
        <v>80</v>
      </c>
      <c r="J87" s="14" t="s">
        <v>81</v>
      </c>
      <c r="K87" s="14" t="s">
        <v>28</v>
      </c>
      <c r="L87" s="14" t="s">
        <v>29</v>
      </c>
      <c r="M87" s="14">
        <v>3</v>
      </c>
      <c r="N87" s="14">
        <v>1917.6</v>
      </c>
      <c r="O87" s="14">
        <v>1410</v>
      </c>
      <c r="P87" s="14">
        <v>20</v>
      </c>
      <c r="Q87" s="14" t="s">
        <v>30</v>
      </c>
      <c r="R87" s="14" t="s">
        <v>42</v>
      </c>
      <c r="S87" s="14">
        <v>45960</v>
      </c>
      <c r="T87" s="14">
        <v>5</v>
      </c>
    </row>
    <row r="88" spans="1:20" x14ac:dyDescent="0.3">
      <c r="A88" t="s">
        <v>356</v>
      </c>
      <c r="B88">
        <v>45488</v>
      </c>
      <c r="C88" t="s">
        <v>357</v>
      </c>
      <c r="D88" t="s">
        <v>358</v>
      </c>
      <c r="E88" t="s">
        <v>23</v>
      </c>
      <c r="F88">
        <v>23</v>
      </c>
      <c r="G88" t="s">
        <v>173</v>
      </c>
      <c r="H88" s="14" t="s">
        <v>79</v>
      </c>
      <c r="I88" s="14" t="s">
        <v>252</v>
      </c>
      <c r="J88" s="14" t="s">
        <v>253</v>
      </c>
      <c r="K88" s="14" t="s">
        <v>28</v>
      </c>
      <c r="L88" s="14" t="s">
        <v>254</v>
      </c>
      <c r="M88" s="14">
        <v>1</v>
      </c>
      <c r="N88" s="14">
        <v>2399.1999999999998</v>
      </c>
      <c r="O88" s="14">
        <v>1900</v>
      </c>
      <c r="P88" s="14">
        <v>20</v>
      </c>
      <c r="Q88" s="14" t="s">
        <v>73</v>
      </c>
      <c r="R88" s="14" t="s">
        <v>65</v>
      </c>
    </row>
    <row r="89" spans="1:20" x14ac:dyDescent="0.3">
      <c r="A89" t="s">
        <v>359</v>
      </c>
      <c r="B89">
        <v>45844</v>
      </c>
      <c r="C89" t="s">
        <v>360</v>
      </c>
      <c r="E89" t="s">
        <v>77</v>
      </c>
      <c r="F89">
        <v>55</v>
      </c>
      <c r="G89" t="s">
        <v>24</v>
      </c>
      <c r="H89" s="14" t="s">
        <v>25</v>
      </c>
      <c r="I89" s="14" t="s">
        <v>107</v>
      </c>
      <c r="J89" s="14" t="s">
        <v>108</v>
      </c>
      <c r="K89" s="14" t="s">
        <v>87</v>
      </c>
      <c r="L89" s="14" t="s">
        <v>88</v>
      </c>
      <c r="M89" s="14">
        <v>3</v>
      </c>
      <c r="N89" s="14">
        <v>2157.3000000000002</v>
      </c>
      <c r="O89" s="14">
        <v>1260</v>
      </c>
      <c r="P89" s="14">
        <v>10</v>
      </c>
      <c r="Q89" s="14" t="s">
        <v>50</v>
      </c>
      <c r="R89" s="14" t="s">
        <v>42</v>
      </c>
      <c r="S89" s="14">
        <v>45848</v>
      </c>
      <c r="T89" s="14">
        <v>3</v>
      </c>
    </row>
    <row r="90" spans="1:20" x14ac:dyDescent="0.3">
      <c r="A90" t="s">
        <v>361</v>
      </c>
      <c r="B90">
        <v>45477</v>
      </c>
      <c r="C90" t="s">
        <v>362</v>
      </c>
      <c r="D90" t="s">
        <v>363</v>
      </c>
      <c r="E90" t="s">
        <v>77</v>
      </c>
      <c r="F90">
        <v>30</v>
      </c>
      <c r="G90" t="s">
        <v>61</v>
      </c>
      <c r="H90" s="14" t="s">
        <v>62</v>
      </c>
      <c r="I90" s="14" t="s">
        <v>26</v>
      </c>
      <c r="J90" s="14" t="s">
        <v>27</v>
      </c>
      <c r="K90" s="14" t="s">
        <v>28</v>
      </c>
      <c r="L90" s="14" t="s">
        <v>29</v>
      </c>
      <c r="M90" s="14">
        <v>4</v>
      </c>
      <c r="N90" s="14">
        <v>3897</v>
      </c>
      <c r="O90" s="14">
        <v>3160</v>
      </c>
      <c r="P90" s="14">
        <v>25</v>
      </c>
      <c r="Q90" s="14" t="s">
        <v>30</v>
      </c>
      <c r="R90" s="14" t="s">
        <v>42</v>
      </c>
      <c r="S90" s="14">
        <v>45488</v>
      </c>
      <c r="T90" s="14">
        <v>4</v>
      </c>
    </row>
    <row r="91" spans="1:20" x14ac:dyDescent="0.3">
      <c r="A91" t="s">
        <v>364</v>
      </c>
      <c r="B91">
        <v>45751</v>
      </c>
      <c r="C91" t="s">
        <v>168</v>
      </c>
      <c r="D91" t="s">
        <v>169</v>
      </c>
      <c r="E91" t="s">
        <v>23</v>
      </c>
      <c r="F91">
        <v>43</v>
      </c>
      <c r="G91" t="s">
        <v>90</v>
      </c>
      <c r="H91" s="14" t="s">
        <v>91</v>
      </c>
      <c r="I91" s="14" t="s">
        <v>143</v>
      </c>
      <c r="J91" s="14" t="s">
        <v>144</v>
      </c>
      <c r="K91" s="14" t="s">
        <v>130</v>
      </c>
      <c r="L91" s="14" t="s">
        <v>131</v>
      </c>
      <c r="M91" s="14">
        <v>4</v>
      </c>
      <c r="N91" s="14">
        <v>18696.599999999999</v>
      </c>
      <c r="O91" s="14">
        <v>17200</v>
      </c>
      <c r="P91" s="14">
        <v>15</v>
      </c>
      <c r="Q91" s="14" t="s">
        <v>41</v>
      </c>
      <c r="R91" s="14" t="s">
        <v>31</v>
      </c>
      <c r="S91" s="14">
        <v>45762</v>
      </c>
      <c r="T91" s="14">
        <v>5</v>
      </c>
    </row>
    <row r="92" spans="1:20" x14ac:dyDescent="0.3">
      <c r="A92" t="s">
        <v>365</v>
      </c>
      <c r="B92">
        <v>45764</v>
      </c>
      <c r="C92" t="s">
        <v>366</v>
      </c>
      <c r="D92" t="s">
        <v>367</v>
      </c>
      <c r="E92" t="s">
        <v>77</v>
      </c>
      <c r="F92">
        <v>25</v>
      </c>
      <c r="G92" t="s">
        <v>165</v>
      </c>
      <c r="H92" s="14" t="s">
        <v>166</v>
      </c>
      <c r="I92" s="14" t="s">
        <v>112</v>
      </c>
      <c r="J92" s="14" t="s">
        <v>113</v>
      </c>
      <c r="K92" s="14" t="s">
        <v>114</v>
      </c>
      <c r="L92" s="14" t="s">
        <v>115</v>
      </c>
      <c r="M92" s="14">
        <v>5</v>
      </c>
      <c r="N92" s="14">
        <v>2446.5</v>
      </c>
      <c r="O92" s="14">
        <v>1850</v>
      </c>
      <c r="P92" s="14">
        <v>30</v>
      </c>
      <c r="Q92" s="14" t="s">
        <v>30</v>
      </c>
      <c r="R92" s="14" t="s">
        <v>57</v>
      </c>
      <c r="S92" s="14">
        <v>45769</v>
      </c>
      <c r="T92" s="14">
        <v>3</v>
      </c>
    </row>
    <row r="93" spans="1:20" x14ac:dyDescent="0.3">
      <c r="A93" t="s">
        <v>368</v>
      </c>
      <c r="B93">
        <v>45548</v>
      </c>
      <c r="C93" t="s">
        <v>369</v>
      </c>
      <c r="D93" t="s">
        <v>160</v>
      </c>
      <c r="E93" t="s">
        <v>23</v>
      </c>
      <c r="F93">
        <v>35</v>
      </c>
      <c r="G93" t="s">
        <v>101</v>
      </c>
      <c r="H93" s="14" t="s">
        <v>102</v>
      </c>
      <c r="I93" s="14" t="s">
        <v>245</v>
      </c>
      <c r="J93" s="14" t="s">
        <v>246</v>
      </c>
      <c r="K93" s="14" t="s">
        <v>130</v>
      </c>
      <c r="L93" s="14" t="s">
        <v>247</v>
      </c>
      <c r="M93" s="14">
        <v>5</v>
      </c>
      <c r="N93" s="14">
        <v>11870.25</v>
      </c>
      <c r="O93" s="14">
        <v>9350</v>
      </c>
      <c r="P93" s="14">
        <v>5</v>
      </c>
      <c r="R93" s="14" t="s">
        <v>57</v>
      </c>
      <c r="S93" s="14">
        <v>45551</v>
      </c>
      <c r="T93" s="14">
        <v>4</v>
      </c>
    </row>
    <row r="94" spans="1:20" x14ac:dyDescent="0.3">
      <c r="A94" t="s">
        <v>370</v>
      </c>
      <c r="B94">
        <v>45377</v>
      </c>
      <c r="C94" t="s">
        <v>371</v>
      </c>
      <c r="D94" t="s">
        <v>372</v>
      </c>
      <c r="E94" t="s">
        <v>77</v>
      </c>
      <c r="F94">
        <v>54</v>
      </c>
      <c r="G94" t="s">
        <v>207</v>
      </c>
      <c r="H94" s="14" t="s">
        <v>36</v>
      </c>
      <c r="I94" s="14" t="s">
        <v>63</v>
      </c>
      <c r="J94" s="14" t="s">
        <v>64</v>
      </c>
      <c r="K94" s="14" t="s">
        <v>39</v>
      </c>
      <c r="L94" s="14" t="s">
        <v>40</v>
      </c>
      <c r="M94" s="14">
        <v>5</v>
      </c>
      <c r="N94" s="14">
        <v>2695.5</v>
      </c>
      <c r="O94" s="14">
        <v>1650</v>
      </c>
      <c r="P94" s="14">
        <v>10</v>
      </c>
      <c r="Q94" s="14" t="s">
        <v>103</v>
      </c>
      <c r="R94" s="14" t="s">
        <v>42</v>
      </c>
      <c r="S94" s="14">
        <v>45382</v>
      </c>
      <c r="T94" s="14">
        <v>5</v>
      </c>
    </row>
    <row r="95" spans="1:20" x14ac:dyDescent="0.3">
      <c r="A95" t="s">
        <v>373</v>
      </c>
      <c r="B95">
        <v>45649</v>
      </c>
      <c r="C95" t="s">
        <v>374</v>
      </c>
      <c r="D95" t="s">
        <v>100</v>
      </c>
      <c r="E95" t="s">
        <v>23</v>
      </c>
      <c r="F95">
        <v>24</v>
      </c>
      <c r="G95" t="s">
        <v>122</v>
      </c>
      <c r="H95" s="14" t="s">
        <v>123</v>
      </c>
      <c r="I95" s="14" t="s">
        <v>26</v>
      </c>
      <c r="J95" s="14" t="s">
        <v>27</v>
      </c>
      <c r="K95" s="14" t="s">
        <v>28</v>
      </c>
      <c r="L95" s="14" t="s">
        <v>29</v>
      </c>
      <c r="M95" s="14">
        <v>4</v>
      </c>
      <c r="N95" s="14">
        <v>3897</v>
      </c>
      <c r="O95" s="14">
        <v>3160</v>
      </c>
      <c r="P95" s="14">
        <v>25</v>
      </c>
      <c r="Q95" s="14" t="s">
        <v>30</v>
      </c>
      <c r="R95" s="14" t="s">
        <v>42</v>
      </c>
      <c r="S95" s="14">
        <v>45652</v>
      </c>
      <c r="T95" s="14">
        <v>4</v>
      </c>
    </row>
    <row r="96" spans="1:20" x14ac:dyDescent="0.3">
      <c r="A96" t="s">
        <v>375</v>
      </c>
      <c r="B96">
        <v>45521</v>
      </c>
      <c r="C96" t="s">
        <v>376</v>
      </c>
      <c r="D96" t="s">
        <v>377</v>
      </c>
      <c r="E96" t="s">
        <v>23</v>
      </c>
      <c r="F96">
        <v>24</v>
      </c>
      <c r="G96" t="s">
        <v>126</v>
      </c>
      <c r="H96" s="14" t="s">
        <v>127</v>
      </c>
      <c r="I96" s="14" t="s">
        <v>229</v>
      </c>
      <c r="J96" s="14" t="s">
        <v>230</v>
      </c>
      <c r="K96" s="14" t="s">
        <v>28</v>
      </c>
      <c r="L96" s="14" t="s">
        <v>231</v>
      </c>
      <c r="M96" s="14">
        <v>3</v>
      </c>
      <c r="N96" s="14">
        <v>5397.3</v>
      </c>
      <c r="O96" s="14">
        <v>3690</v>
      </c>
      <c r="P96" s="14">
        <v>10</v>
      </c>
      <c r="Q96" s="14" t="s">
        <v>30</v>
      </c>
      <c r="R96" s="14" t="s">
        <v>42</v>
      </c>
      <c r="S96" s="14">
        <v>45527</v>
      </c>
      <c r="T96" s="14">
        <v>5</v>
      </c>
    </row>
    <row r="97" spans="1:20" x14ac:dyDescent="0.3">
      <c r="A97" t="s">
        <v>378</v>
      </c>
      <c r="B97">
        <v>46004</v>
      </c>
      <c r="C97" t="s">
        <v>379</v>
      </c>
      <c r="D97" t="s">
        <v>380</v>
      </c>
      <c r="E97" t="s">
        <v>77</v>
      </c>
      <c r="F97">
        <v>41</v>
      </c>
      <c r="G97" t="s">
        <v>101</v>
      </c>
      <c r="H97" s="14" t="s">
        <v>102</v>
      </c>
      <c r="I97" s="14" t="s">
        <v>63</v>
      </c>
      <c r="J97" s="14" t="s">
        <v>64</v>
      </c>
      <c r="K97" s="14" t="s">
        <v>39</v>
      </c>
      <c r="L97" s="14" t="s">
        <v>40</v>
      </c>
      <c r="M97" s="14">
        <v>5</v>
      </c>
      <c r="N97" s="14">
        <v>2995</v>
      </c>
      <c r="O97" s="14">
        <v>1650</v>
      </c>
      <c r="P97" s="14">
        <v>0</v>
      </c>
      <c r="Q97" s="14" t="s">
        <v>73</v>
      </c>
      <c r="R97" s="14" t="s">
        <v>42</v>
      </c>
      <c r="S97" s="14">
        <v>46010</v>
      </c>
      <c r="T97" s="14">
        <v>4</v>
      </c>
    </row>
    <row r="98" spans="1:20" x14ac:dyDescent="0.3">
      <c r="A98" t="s">
        <v>381</v>
      </c>
      <c r="B98">
        <v>45445</v>
      </c>
      <c r="C98" t="s">
        <v>382</v>
      </c>
      <c r="D98" t="s">
        <v>188</v>
      </c>
      <c r="E98" t="s">
        <v>23</v>
      </c>
      <c r="F98">
        <v>44</v>
      </c>
      <c r="G98" t="s">
        <v>122</v>
      </c>
      <c r="H98" s="14" t="s">
        <v>123</v>
      </c>
      <c r="I98" s="14" t="s">
        <v>229</v>
      </c>
      <c r="J98" s="14" t="s">
        <v>230</v>
      </c>
      <c r="K98" s="14" t="s">
        <v>28</v>
      </c>
      <c r="L98" s="14" t="s">
        <v>231</v>
      </c>
      <c r="M98" s="14">
        <v>3</v>
      </c>
      <c r="N98" s="14">
        <v>5097.45</v>
      </c>
      <c r="O98" s="14">
        <v>3690</v>
      </c>
      <c r="P98" s="14">
        <v>15</v>
      </c>
      <c r="Q98" s="14" t="s">
        <v>41</v>
      </c>
      <c r="R98" s="14" t="s">
        <v>42</v>
      </c>
      <c r="S98" s="14">
        <v>45447</v>
      </c>
      <c r="T98" s="14">
        <v>4</v>
      </c>
    </row>
    <row r="99" spans="1:20" x14ac:dyDescent="0.3">
      <c r="A99" t="s">
        <v>383</v>
      </c>
      <c r="B99">
        <v>45721</v>
      </c>
      <c r="C99" t="s">
        <v>384</v>
      </c>
      <c r="D99" t="s">
        <v>385</v>
      </c>
      <c r="E99" t="s">
        <v>23</v>
      </c>
      <c r="F99">
        <v>55</v>
      </c>
      <c r="G99" t="s">
        <v>46</v>
      </c>
      <c r="H99" s="14" t="s">
        <v>25</v>
      </c>
      <c r="I99" s="14" t="s">
        <v>229</v>
      </c>
      <c r="J99" s="14" t="s">
        <v>230</v>
      </c>
      <c r="K99" s="14" t="s">
        <v>28</v>
      </c>
      <c r="L99" s="14" t="s">
        <v>231</v>
      </c>
      <c r="M99" s="14">
        <v>4</v>
      </c>
      <c r="N99" s="14">
        <v>7996</v>
      </c>
      <c r="O99" s="14">
        <v>4920</v>
      </c>
      <c r="P99" s="14">
        <v>0</v>
      </c>
      <c r="Q99" s="14" t="s">
        <v>50</v>
      </c>
      <c r="R99" s="14" t="s">
        <v>65</v>
      </c>
    </row>
    <row r="100" spans="1:20" x14ac:dyDescent="0.3">
      <c r="A100" t="s">
        <v>386</v>
      </c>
      <c r="B100">
        <v>45539</v>
      </c>
      <c r="C100" t="s">
        <v>387</v>
      </c>
      <c r="D100" t="s">
        <v>388</v>
      </c>
      <c r="E100" t="s">
        <v>23</v>
      </c>
      <c r="F100">
        <v>32</v>
      </c>
      <c r="G100" t="s">
        <v>35</v>
      </c>
      <c r="H100" s="14" t="s">
        <v>36</v>
      </c>
      <c r="I100" s="14" t="s">
        <v>134</v>
      </c>
      <c r="J100" s="14" t="s">
        <v>135</v>
      </c>
      <c r="K100" s="14" t="s">
        <v>39</v>
      </c>
      <c r="L100" s="14" t="s">
        <v>136</v>
      </c>
      <c r="M100" s="14">
        <v>1</v>
      </c>
      <c r="N100" s="14">
        <v>149.25</v>
      </c>
      <c r="O100" s="14">
        <v>90</v>
      </c>
      <c r="P100" s="14">
        <v>25</v>
      </c>
      <c r="Q100" s="14" t="s">
        <v>30</v>
      </c>
      <c r="R100" s="14" t="s">
        <v>65</v>
      </c>
    </row>
    <row r="101" spans="1:20" x14ac:dyDescent="0.3">
      <c r="A101" t="s">
        <v>389</v>
      </c>
      <c r="B101">
        <v>45718</v>
      </c>
      <c r="C101" t="s">
        <v>390</v>
      </c>
      <c r="D101" t="s">
        <v>391</v>
      </c>
      <c r="E101" t="s">
        <v>23</v>
      </c>
      <c r="F101">
        <v>52</v>
      </c>
      <c r="G101" t="s">
        <v>46</v>
      </c>
      <c r="H101" s="14" t="s">
        <v>25</v>
      </c>
      <c r="I101" s="14" t="s">
        <v>112</v>
      </c>
      <c r="J101" s="14" t="s">
        <v>113</v>
      </c>
      <c r="K101" s="14" t="s">
        <v>114</v>
      </c>
      <c r="L101" s="14" t="s">
        <v>115</v>
      </c>
      <c r="M101" s="14">
        <v>3</v>
      </c>
      <c r="N101" s="14">
        <v>1992.15</v>
      </c>
      <c r="O101" s="14">
        <v>1110</v>
      </c>
      <c r="P101" s="14">
        <v>5</v>
      </c>
      <c r="Q101" s="14" t="s">
        <v>50</v>
      </c>
      <c r="R101" s="14" t="s">
        <v>65</v>
      </c>
    </row>
    <row r="102" spans="1:20" x14ac:dyDescent="0.3">
      <c r="A102" t="s">
        <v>392</v>
      </c>
      <c r="B102">
        <v>45811</v>
      </c>
      <c r="C102" t="s">
        <v>337</v>
      </c>
      <c r="D102" t="s">
        <v>338</v>
      </c>
      <c r="E102" t="s">
        <v>77</v>
      </c>
      <c r="F102">
        <v>25</v>
      </c>
      <c r="G102" t="s">
        <v>161</v>
      </c>
      <c r="H102" s="14" t="s">
        <v>25</v>
      </c>
      <c r="I102" s="14" t="s">
        <v>47</v>
      </c>
      <c r="J102" s="14" t="s">
        <v>48</v>
      </c>
      <c r="K102" s="14" t="s">
        <v>39</v>
      </c>
      <c r="L102" s="14" t="s">
        <v>49</v>
      </c>
      <c r="M102" s="14">
        <v>4</v>
      </c>
      <c r="N102" s="14">
        <v>1596</v>
      </c>
      <c r="O102" s="14">
        <v>840</v>
      </c>
      <c r="P102" s="14">
        <v>0</v>
      </c>
      <c r="Q102" s="14" t="s">
        <v>103</v>
      </c>
      <c r="R102" s="14" t="s">
        <v>42</v>
      </c>
      <c r="S102" s="14">
        <v>45817</v>
      </c>
      <c r="T102" s="14">
        <v>2</v>
      </c>
    </row>
    <row r="103" spans="1:20" x14ac:dyDescent="0.3">
      <c r="A103" t="s">
        <v>393</v>
      </c>
      <c r="B103">
        <v>45657</v>
      </c>
      <c r="C103" t="s">
        <v>394</v>
      </c>
      <c r="D103" t="s">
        <v>395</v>
      </c>
      <c r="E103" t="s">
        <v>77</v>
      </c>
      <c r="F103">
        <v>35</v>
      </c>
      <c r="G103" t="s">
        <v>211</v>
      </c>
      <c r="H103" s="14" t="s">
        <v>127</v>
      </c>
      <c r="I103" s="14" t="s">
        <v>304</v>
      </c>
      <c r="J103" s="14" t="s">
        <v>305</v>
      </c>
      <c r="K103" s="14" t="s">
        <v>28</v>
      </c>
      <c r="L103" s="14" t="s">
        <v>231</v>
      </c>
      <c r="M103" s="14">
        <v>1</v>
      </c>
      <c r="N103" s="14">
        <v>1349.25</v>
      </c>
      <c r="O103" s="14">
        <v>1080</v>
      </c>
      <c r="P103" s="14">
        <v>25</v>
      </c>
      <c r="Q103" s="14" t="s">
        <v>30</v>
      </c>
      <c r="R103" s="14" t="s">
        <v>42</v>
      </c>
      <c r="S103" s="14">
        <v>45664</v>
      </c>
      <c r="T103" s="14">
        <v>4</v>
      </c>
    </row>
    <row r="104" spans="1:20" x14ac:dyDescent="0.3">
      <c r="A104" t="s">
        <v>396</v>
      </c>
      <c r="B104">
        <v>45950</v>
      </c>
      <c r="C104" t="s">
        <v>110</v>
      </c>
      <c r="D104" t="s">
        <v>111</v>
      </c>
      <c r="E104" t="s">
        <v>23</v>
      </c>
      <c r="F104">
        <v>39</v>
      </c>
      <c r="G104" t="s">
        <v>61</v>
      </c>
      <c r="H104" s="14" t="s">
        <v>62</v>
      </c>
      <c r="I104" s="14" t="s">
        <v>85</v>
      </c>
      <c r="J104" s="14" t="s">
        <v>86</v>
      </c>
      <c r="K104" s="14" t="s">
        <v>87</v>
      </c>
      <c r="L104" s="14" t="s">
        <v>88</v>
      </c>
      <c r="M104" s="14">
        <v>4</v>
      </c>
      <c r="N104" s="14">
        <v>5036.3999999999996</v>
      </c>
      <c r="O104" s="14">
        <v>3160</v>
      </c>
      <c r="P104" s="14">
        <v>10</v>
      </c>
      <c r="Q104" s="14" t="s">
        <v>30</v>
      </c>
      <c r="R104" s="14" t="s">
        <v>42</v>
      </c>
      <c r="S104" s="14">
        <v>45959</v>
      </c>
      <c r="T104" s="14">
        <v>2</v>
      </c>
    </row>
    <row r="105" spans="1:20" x14ac:dyDescent="0.3">
      <c r="A105" t="s">
        <v>397</v>
      </c>
      <c r="B105">
        <v>45592</v>
      </c>
      <c r="C105" t="s">
        <v>398</v>
      </c>
      <c r="D105" t="s">
        <v>399</v>
      </c>
      <c r="E105" t="s">
        <v>77</v>
      </c>
      <c r="F105">
        <v>49</v>
      </c>
      <c r="G105" t="s">
        <v>24</v>
      </c>
      <c r="H105" s="14" t="s">
        <v>25</v>
      </c>
      <c r="I105" s="14" t="s">
        <v>70</v>
      </c>
      <c r="J105" s="14" t="s">
        <v>71</v>
      </c>
      <c r="K105" s="14" t="s">
        <v>28</v>
      </c>
      <c r="L105" s="14" t="s">
        <v>72</v>
      </c>
      <c r="M105" s="14">
        <v>1</v>
      </c>
      <c r="N105" s="14">
        <v>1124.25</v>
      </c>
      <c r="O105" s="14">
        <v>920</v>
      </c>
      <c r="P105" s="14">
        <v>25</v>
      </c>
      <c r="Q105" s="14" t="s">
        <v>41</v>
      </c>
      <c r="R105" s="14" t="s">
        <v>65</v>
      </c>
    </row>
    <row r="106" spans="1:20" x14ac:dyDescent="0.3">
      <c r="A106" t="s">
        <v>400</v>
      </c>
      <c r="B106">
        <v>45699</v>
      </c>
      <c r="C106" t="s">
        <v>401</v>
      </c>
      <c r="D106" t="s">
        <v>402</v>
      </c>
      <c r="E106" t="s">
        <v>23</v>
      </c>
      <c r="F106">
        <v>53</v>
      </c>
      <c r="G106" t="s">
        <v>101</v>
      </c>
      <c r="H106" s="14" t="s">
        <v>102</v>
      </c>
      <c r="I106" s="14" t="s">
        <v>128</v>
      </c>
      <c r="J106" s="14" t="s">
        <v>129</v>
      </c>
      <c r="K106" s="14" t="s">
        <v>130</v>
      </c>
      <c r="L106" s="14" t="s">
        <v>131</v>
      </c>
      <c r="M106" s="14">
        <v>1</v>
      </c>
      <c r="N106" s="14">
        <v>5524.15</v>
      </c>
      <c r="O106" s="14">
        <v>5100</v>
      </c>
      <c r="P106" s="14">
        <v>15</v>
      </c>
      <c r="Q106" s="14" t="s">
        <v>41</v>
      </c>
      <c r="R106" s="14" t="s">
        <v>42</v>
      </c>
      <c r="S106" s="14">
        <v>45701</v>
      </c>
      <c r="T106" s="14">
        <v>4</v>
      </c>
    </row>
    <row r="107" spans="1:20" x14ac:dyDescent="0.3">
      <c r="A107" t="s">
        <v>403</v>
      </c>
      <c r="B107">
        <v>45571</v>
      </c>
      <c r="C107" t="s">
        <v>404</v>
      </c>
      <c r="D107" t="s">
        <v>326</v>
      </c>
      <c r="E107" t="s">
        <v>23</v>
      </c>
      <c r="F107">
        <v>54</v>
      </c>
      <c r="G107" t="s">
        <v>211</v>
      </c>
      <c r="H107" s="14" t="s">
        <v>127</v>
      </c>
      <c r="I107" s="14" t="s">
        <v>134</v>
      </c>
      <c r="J107" s="14" t="s">
        <v>135</v>
      </c>
      <c r="K107" s="14" t="s">
        <v>39</v>
      </c>
      <c r="L107" s="14" t="s">
        <v>136</v>
      </c>
      <c r="M107" s="14">
        <v>4</v>
      </c>
      <c r="N107" s="14">
        <v>477.6</v>
      </c>
      <c r="O107" s="14">
        <v>360</v>
      </c>
      <c r="P107" s="14">
        <v>40</v>
      </c>
      <c r="Q107" s="14" t="s">
        <v>103</v>
      </c>
      <c r="R107" s="14" t="s">
        <v>42</v>
      </c>
      <c r="S107" s="14">
        <v>45575</v>
      </c>
      <c r="T107" s="14">
        <v>5</v>
      </c>
    </row>
    <row r="108" spans="1:20" x14ac:dyDescent="0.3">
      <c r="A108" t="s">
        <v>405</v>
      </c>
      <c r="B108">
        <v>46000</v>
      </c>
      <c r="C108" t="s">
        <v>406</v>
      </c>
      <c r="D108" t="s">
        <v>407</v>
      </c>
      <c r="E108" t="s">
        <v>23</v>
      </c>
      <c r="F108">
        <v>37</v>
      </c>
      <c r="G108" t="s">
        <v>211</v>
      </c>
      <c r="H108" s="14" t="s">
        <v>127</v>
      </c>
      <c r="I108" s="14" t="s">
        <v>112</v>
      </c>
      <c r="J108" s="14" t="s">
        <v>113</v>
      </c>
      <c r="K108" s="14" t="s">
        <v>114</v>
      </c>
      <c r="L108" s="14" t="s">
        <v>115</v>
      </c>
      <c r="M108" s="14">
        <v>3</v>
      </c>
      <c r="N108" s="14">
        <v>1992.15</v>
      </c>
      <c r="O108" s="14">
        <v>1110</v>
      </c>
      <c r="P108" s="14">
        <v>5</v>
      </c>
      <c r="Q108" s="14" t="s">
        <v>103</v>
      </c>
      <c r="R108" s="14" t="s">
        <v>42</v>
      </c>
      <c r="S108" s="14">
        <v>46008</v>
      </c>
      <c r="T108" s="14">
        <v>3</v>
      </c>
    </row>
    <row r="109" spans="1:20" x14ac:dyDescent="0.3">
      <c r="A109" t="s">
        <v>408</v>
      </c>
      <c r="B109">
        <v>45850</v>
      </c>
      <c r="C109" t="s">
        <v>409</v>
      </c>
      <c r="D109" t="s">
        <v>352</v>
      </c>
      <c r="E109" t="s">
        <v>77</v>
      </c>
      <c r="F109">
        <v>33</v>
      </c>
      <c r="G109" t="s">
        <v>126</v>
      </c>
      <c r="H109" s="14" t="s">
        <v>127</v>
      </c>
      <c r="I109" s="14" t="s">
        <v>229</v>
      </c>
      <c r="J109" s="14" t="s">
        <v>230</v>
      </c>
      <c r="K109" s="14" t="s">
        <v>28</v>
      </c>
      <c r="L109" s="14" t="s">
        <v>231</v>
      </c>
      <c r="M109" s="14">
        <v>1</v>
      </c>
      <c r="N109" s="14">
        <v>1499.25</v>
      </c>
      <c r="O109" s="14">
        <v>1230</v>
      </c>
      <c r="P109" s="14">
        <v>25</v>
      </c>
      <c r="Q109" s="14" t="s">
        <v>41</v>
      </c>
      <c r="R109" s="14" t="s">
        <v>42</v>
      </c>
      <c r="S109" s="14">
        <v>45859</v>
      </c>
      <c r="T109" s="14">
        <v>5</v>
      </c>
    </row>
    <row r="110" spans="1:20" x14ac:dyDescent="0.3">
      <c r="A110" t="s">
        <v>410</v>
      </c>
      <c r="B110">
        <v>45462</v>
      </c>
      <c r="C110" t="s">
        <v>243</v>
      </c>
      <c r="D110" t="s">
        <v>244</v>
      </c>
      <c r="E110" t="s">
        <v>77</v>
      </c>
      <c r="F110">
        <v>52</v>
      </c>
      <c r="G110" t="s">
        <v>211</v>
      </c>
      <c r="H110" s="14" t="s">
        <v>127</v>
      </c>
      <c r="I110" s="14" t="s">
        <v>63</v>
      </c>
      <c r="J110" s="14" t="s">
        <v>64</v>
      </c>
      <c r="K110" s="14" t="s">
        <v>39</v>
      </c>
      <c r="L110" s="14" t="s">
        <v>40</v>
      </c>
      <c r="M110" s="14">
        <v>1</v>
      </c>
      <c r="N110" s="14">
        <v>449.25</v>
      </c>
      <c r="O110" s="14">
        <v>330</v>
      </c>
      <c r="P110" s="14">
        <v>25</v>
      </c>
      <c r="Q110" s="14" t="s">
        <v>50</v>
      </c>
      <c r="R110" s="14" t="s">
        <v>42</v>
      </c>
      <c r="S110" s="14">
        <v>45468</v>
      </c>
      <c r="T110" s="14">
        <v>2</v>
      </c>
    </row>
    <row r="111" spans="1:20" x14ac:dyDescent="0.3">
      <c r="A111" t="s">
        <v>411</v>
      </c>
      <c r="B111">
        <v>45368</v>
      </c>
      <c r="C111" t="s">
        <v>412</v>
      </c>
      <c r="D111" t="s">
        <v>413</v>
      </c>
      <c r="E111" t="s">
        <v>77</v>
      </c>
      <c r="F111">
        <v>38</v>
      </c>
      <c r="G111" t="s">
        <v>211</v>
      </c>
      <c r="H111" s="14" t="s">
        <v>127</v>
      </c>
      <c r="I111" s="14" t="s">
        <v>112</v>
      </c>
      <c r="J111" s="14" t="s">
        <v>113</v>
      </c>
      <c r="K111" s="14" t="s">
        <v>114</v>
      </c>
      <c r="L111" s="14" t="s">
        <v>115</v>
      </c>
      <c r="M111" s="14">
        <v>2</v>
      </c>
      <c r="N111" s="14">
        <v>1398</v>
      </c>
      <c r="O111" s="14">
        <v>740</v>
      </c>
      <c r="P111" s="14">
        <v>0</v>
      </c>
      <c r="Q111" s="14" t="s">
        <v>30</v>
      </c>
      <c r="R111" s="14" t="s">
        <v>57</v>
      </c>
      <c r="S111" s="14">
        <v>45379</v>
      </c>
      <c r="T111" s="14">
        <v>5</v>
      </c>
    </row>
    <row r="112" spans="1:20" x14ac:dyDescent="0.3">
      <c r="A112" t="s">
        <v>414</v>
      </c>
      <c r="B112">
        <v>45327</v>
      </c>
      <c r="C112" t="s">
        <v>415</v>
      </c>
      <c r="D112" t="s">
        <v>416</v>
      </c>
      <c r="E112" t="s">
        <v>23</v>
      </c>
      <c r="F112">
        <v>49</v>
      </c>
      <c r="G112" t="s">
        <v>46</v>
      </c>
      <c r="H112" s="14" t="s">
        <v>25</v>
      </c>
      <c r="I112" s="14" t="s">
        <v>304</v>
      </c>
      <c r="J112" s="14" t="s">
        <v>305</v>
      </c>
      <c r="K112" s="14" t="s">
        <v>28</v>
      </c>
      <c r="L112" s="14" t="s">
        <v>231</v>
      </c>
      <c r="M112" s="14">
        <v>3</v>
      </c>
      <c r="N112" s="14">
        <v>4047.75</v>
      </c>
      <c r="O112" s="14">
        <v>3240</v>
      </c>
      <c r="P112" s="14">
        <v>25</v>
      </c>
      <c r="Q112" s="14" t="s">
        <v>103</v>
      </c>
      <c r="R112" s="14" t="s">
        <v>65</v>
      </c>
    </row>
    <row r="113" spans="1:20" x14ac:dyDescent="0.3">
      <c r="A113" t="s">
        <v>417</v>
      </c>
      <c r="B113">
        <v>45325</v>
      </c>
      <c r="C113" t="s">
        <v>325</v>
      </c>
      <c r="D113" t="s">
        <v>326</v>
      </c>
      <c r="E113" t="s">
        <v>23</v>
      </c>
      <c r="F113">
        <v>22</v>
      </c>
      <c r="G113" t="s">
        <v>61</v>
      </c>
      <c r="H113" s="14" t="s">
        <v>62</v>
      </c>
      <c r="I113" s="14" t="s">
        <v>245</v>
      </c>
      <c r="J113" s="14" t="s">
        <v>246</v>
      </c>
      <c r="K113" s="14" t="s">
        <v>130</v>
      </c>
      <c r="L113" s="14" t="s">
        <v>247</v>
      </c>
      <c r="M113" s="14">
        <v>3</v>
      </c>
      <c r="N113" s="14">
        <v>4498.2</v>
      </c>
      <c r="O113" s="14">
        <v>5610</v>
      </c>
      <c r="P113" s="14">
        <v>40</v>
      </c>
      <c r="Q113" s="14" t="s">
        <v>73</v>
      </c>
      <c r="R113" s="14" t="s">
        <v>65</v>
      </c>
    </row>
    <row r="114" spans="1:20" x14ac:dyDescent="0.3">
      <c r="A114" t="s">
        <v>418</v>
      </c>
      <c r="B114">
        <v>45432</v>
      </c>
      <c r="C114" t="s">
        <v>272</v>
      </c>
      <c r="D114" t="s">
        <v>273</v>
      </c>
      <c r="E114" t="s">
        <v>23</v>
      </c>
      <c r="F114">
        <v>46</v>
      </c>
      <c r="G114" t="s">
        <v>211</v>
      </c>
      <c r="H114" s="14" t="s">
        <v>127</v>
      </c>
      <c r="I114" s="14" t="s">
        <v>47</v>
      </c>
      <c r="J114" s="14" t="s">
        <v>48</v>
      </c>
      <c r="K114" s="14" t="s">
        <v>39</v>
      </c>
      <c r="L114" s="14" t="s">
        <v>49</v>
      </c>
      <c r="M114" s="14">
        <v>3</v>
      </c>
      <c r="N114" s="14">
        <v>957.6</v>
      </c>
      <c r="O114" s="14">
        <v>630</v>
      </c>
      <c r="P114" s="14">
        <v>20</v>
      </c>
      <c r="Q114" s="14" t="s">
        <v>30</v>
      </c>
      <c r="R114" s="14" t="s">
        <v>42</v>
      </c>
      <c r="S114" s="14">
        <v>45434</v>
      </c>
      <c r="T114" s="14">
        <v>3</v>
      </c>
    </row>
    <row r="115" spans="1:20" x14ac:dyDescent="0.3">
      <c r="A115" t="s">
        <v>419</v>
      </c>
      <c r="B115">
        <v>45803</v>
      </c>
      <c r="C115" t="s">
        <v>420</v>
      </c>
      <c r="D115" t="s">
        <v>76</v>
      </c>
      <c r="E115" t="s">
        <v>77</v>
      </c>
      <c r="F115">
        <v>27</v>
      </c>
      <c r="G115" t="s">
        <v>165</v>
      </c>
      <c r="H115" s="14" t="s">
        <v>166</v>
      </c>
      <c r="I115" s="14" t="s">
        <v>222</v>
      </c>
      <c r="J115" s="14" t="s">
        <v>223</v>
      </c>
      <c r="K115" s="14" t="s">
        <v>114</v>
      </c>
      <c r="L115" s="14" t="s">
        <v>115</v>
      </c>
      <c r="M115" s="14">
        <v>1</v>
      </c>
      <c r="N115" s="14">
        <v>719.2</v>
      </c>
      <c r="O115" s="14">
        <v>510</v>
      </c>
      <c r="P115" s="14">
        <v>20</v>
      </c>
      <c r="Q115" s="14" t="s">
        <v>41</v>
      </c>
      <c r="R115" s="14" t="s">
        <v>31</v>
      </c>
      <c r="S115" s="14">
        <v>45812</v>
      </c>
      <c r="T115" s="14">
        <v>4</v>
      </c>
    </row>
    <row r="116" spans="1:20" x14ac:dyDescent="0.3">
      <c r="A116" t="s">
        <v>421</v>
      </c>
      <c r="B116">
        <v>45918</v>
      </c>
      <c r="C116" t="s">
        <v>422</v>
      </c>
      <c r="D116" t="s">
        <v>367</v>
      </c>
      <c r="E116" t="s">
        <v>77</v>
      </c>
      <c r="F116">
        <v>41</v>
      </c>
      <c r="G116" t="s">
        <v>101</v>
      </c>
      <c r="H116" s="14" t="s">
        <v>102</v>
      </c>
      <c r="I116" s="14" t="s">
        <v>70</v>
      </c>
      <c r="J116" s="14" t="s">
        <v>71</v>
      </c>
      <c r="K116" s="14" t="s">
        <v>28</v>
      </c>
      <c r="L116" s="14" t="s">
        <v>72</v>
      </c>
      <c r="M116" s="14">
        <v>1</v>
      </c>
      <c r="N116" s="14">
        <v>1349.1</v>
      </c>
      <c r="O116" s="14">
        <v>920</v>
      </c>
      <c r="P116" s="14">
        <v>10</v>
      </c>
      <c r="Q116" s="14" t="s">
        <v>73</v>
      </c>
      <c r="R116" s="14" t="s">
        <v>42</v>
      </c>
      <c r="S116" s="14">
        <v>45922</v>
      </c>
      <c r="T116" s="14">
        <v>5</v>
      </c>
    </row>
    <row r="117" spans="1:20" x14ac:dyDescent="0.3">
      <c r="A117" t="s">
        <v>423</v>
      </c>
      <c r="B117">
        <v>45381</v>
      </c>
      <c r="C117" t="s">
        <v>424</v>
      </c>
      <c r="D117" t="s">
        <v>273</v>
      </c>
      <c r="E117" t="s">
        <v>23</v>
      </c>
      <c r="F117">
        <v>40</v>
      </c>
      <c r="G117" t="s">
        <v>425</v>
      </c>
      <c r="H117" s="14" t="s">
        <v>127</v>
      </c>
      <c r="I117" s="14" t="s">
        <v>85</v>
      </c>
      <c r="J117" s="14" t="s">
        <v>86</v>
      </c>
      <c r="K117" s="14" t="s">
        <v>87</v>
      </c>
      <c r="L117" s="14" t="s">
        <v>88</v>
      </c>
      <c r="M117" s="14">
        <v>1</v>
      </c>
      <c r="N117" s="14">
        <v>1119.2</v>
      </c>
      <c r="O117" s="14">
        <v>790</v>
      </c>
      <c r="P117" s="14">
        <v>20</v>
      </c>
      <c r="Q117" s="14" t="s">
        <v>41</v>
      </c>
      <c r="R117" s="14" t="s">
        <v>57</v>
      </c>
      <c r="S117" s="14">
        <v>45385</v>
      </c>
      <c r="T117" s="14">
        <v>3</v>
      </c>
    </row>
    <row r="118" spans="1:20" x14ac:dyDescent="0.3">
      <c r="A118" t="s">
        <v>426</v>
      </c>
      <c r="B118">
        <v>45662</v>
      </c>
      <c r="C118" t="s">
        <v>427</v>
      </c>
      <c r="D118" t="s">
        <v>407</v>
      </c>
      <c r="E118" t="s">
        <v>23</v>
      </c>
      <c r="F118">
        <v>40</v>
      </c>
      <c r="G118" t="s">
        <v>90</v>
      </c>
      <c r="H118" s="14" t="s">
        <v>91</v>
      </c>
      <c r="I118" s="14" t="s">
        <v>229</v>
      </c>
      <c r="J118" s="14" t="s">
        <v>230</v>
      </c>
      <c r="K118" s="14" t="s">
        <v>28</v>
      </c>
      <c r="L118" s="14" t="s">
        <v>231</v>
      </c>
      <c r="M118" s="14">
        <v>2</v>
      </c>
      <c r="N118" s="14">
        <v>3598.2</v>
      </c>
      <c r="O118" s="14">
        <v>2460</v>
      </c>
      <c r="P118" s="14">
        <v>10</v>
      </c>
      <c r="Q118" s="14" t="s">
        <v>30</v>
      </c>
      <c r="R118" s="14" t="s">
        <v>57</v>
      </c>
      <c r="S118" s="14">
        <v>45671</v>
      </c>
      <c r="T118" s="14">
        <v>2</v>
      </c>
    </row>
    <row r="119" spans="1:20" x14ac:dyDescent="0.3">
      <c r="A119" t="s">
        <v>428</v>
      </c>
      <c r="B119">
        <v>45661</v>
      </c>
      <c r="C119" t="s">
        <v>429</v>
      </c>
      <c r="D119" t="s">
        <v>315</v>
      </c>
      <c r="E119" t="s">
        <v>77</v>
      </c>
      <c r="F119">
        <v>23</v>
      </c>
      <c r="G119" t="s">
        <v>211</v>
      </c>
      <c r="H119" s="14" t="s">
        <v>127</v>
      </c>
      <c r="I119" s="14" t="s">
        <v>63</v>
      </c>
      <c r="J119" s="14" t="s">
        <v>64</v>
      </c>
      <c r="K119" s="14" t="s">
        <v>39</v>
      </c>
      <c r="L119" s="14" t="s">
        <v>40</v>
      </c>
      <c r="M119" s="14">
        <v>5</v>
      </c>
      <c r="N119" s="14">
        <v>2695.5</v>
      </c>
      <c r="O119" s="14">
        <v>1650</v>
      </c>
      <c r="P119" s="14">
        <v>10</v>
      </c>
      <c r="Q119" s="14" t="s">
        <v>50</v>
      </c>
      <c r="R119" s="14" t="s">
        <v>42</v>
      </c>
      <c r="S119" s="14">
        <v>45664</v>
      </c>
      <c r="T119" s="14">
        <v>4</v>
      </c>
    </row>
    <row r="120" spans="1:20" x14ac:dyDescent="0.3">
      <c r="A120" t="s">
        <v>430</v>
      </c>
      <c r="B120">
        <v>45699</v>
      </c>
      <c r="C120" t="s">
        <v>431</v>
      </c>
      <c r="D120" t="s">
        <v>432</v>
      </c>
      <c r="E120" t="s">
        <v>77</v>
      </c>
      <c r="F120">
        <v>19</v>
      </c>
      <c r="G120" t="s">
        <v>122</v>
      </c>
      <c r="H120" s="14" t="s">
        <v>123</v>
      </c>
      <c r="I120" s="14" t="s">
        <v>134</v>
      </c>
      <c r="J120" s="14" t="s">
        <v>135</v>
      </c>
      <c r="K120" s="14" t="s">
        <v>39</v>
      </c>
      <c r="L120" s="14" t="s">
        <v>136</v>
      </c>
      <c r="M120" s="14">
        <v>5</v>
      </c>
      <c r="N120" s="14">
        <v>945.25</v>
      </c>
      <c r="O120" s="14">
        <v>450</v>
      </c>
      <c r="P120" s="14">
        <v>5</v>
      </c>
      <c r="Q120" s="14" t="s">
        <v>30</v>
      </c>
      <c r="R120" s="14" t="s">
        <v>42</v>
      </c>
      <c r="S120" s="14">
        <v>45711</v>
      </c>
      <c r="T120" s="14">
        <v>3</v>
      </c>
    </row>
    <row r="121" spans="1:20" x14ac:dyDescent="0.3">
      <c r="A121" t="s">
        <v>433</v>
      </c>
      <c r="B121">
        <v>45752</v>
      </c>
      <c r="C121" t="s">
        <v>434</v>
      </c>
      <c r="D121" t="s">
        <v>435</v>
      </c>
      <c r="E121" t="s">
        <v>23</v>
      </c>
      <c r="F121">
        <v>42</v>
      </c>
      <c r="G121" t="s">
        <v>211</v>
      </c>
      <c r="H121" s="14" t="s">
        <v>127</v>
      </c>
      <c r="I121" s="14" t="s">
        <v>252</v>
      </c>
      <c r="J121" s="14" t="s">
        <v>253</v>
      </c>
      <c r="K121" s="14" t="s">
        <v>28</v>
      </c>
      <c r="L121" s="14" t="s">
        <v>254</v>
      </c>
      <c r="M121" s="14">
        <v>5</v>
      </c>
      <c r="N121" s="14">
        <v>13495.5</v>
      </c>
      <c r="O121" s="14">
        <v>9500</v>
      </c>
      <c r="P121" s="14">
        <v>10</v>
      </c>
      <c r="Q121" s="14" t="s">
        <v>30</v>
      </c>
      <c r="R121" s="14" t="s">
        <v>42</v>
      </c>
      <c r="S121" s="14">
        <v>45762</v>
      </c>
      <c r="T121" s="14">
        <v>2</v>
      </c>
    </row>
    <row r="122" spans="1:20" x14ac:dyDescent="0.3">
      <c r="A122" t="s">
        <v>436</v>
      </c>
      <c r="B122">
        <v>45419</v>
      </c>
      <c r="C122" t="s">
        <v>420</v>
      </c>
      <c r="D122" t="s">
        <v>76</v>
      </c>
      <c r="E122" t="s">
        <v>77</v>
      </c>
      <c r="F122">
        <v>27</v>
      </c>
      <c r="G122" t="s">
        <v>173</v>
      </c>
      <c r="H122" s="14" t="s">
        <v>79</v>
      </c>
      <c r="I122" s="14" t="s">
        <v>143</v>
      </c>
      <c r="J122" s="14" t="s">
        <v>144</v>
      </c>
      <c r="K122" s="14" t="s">
        <v>130</v>
      </c>
      <c r="L122" s="14" t="s">
        <v>131</v>
      </c>
      <c r="M122" s="14">
        <v>2</v>
      </c>
      <c r="N122" s="14">
        <v>9898.2000000000007</v>
      </c>
      <c r="O122" s="14">
        <v>8600</v>
      </c>
      <c r="P122" s="14">
        <v>10</v>
      </c>
      <c r="Q122" s="14" t="s">
        <v>41</v>
      </c>
      <c r="R122" s="14" t="s">
        <v>31</v>
      </c>
      <c r="S122" s="14">
        <v>45424</v>
      </c>
      <c r="T122" s="14">
        <v>4</v>
      </c>
    </row>
    <row r="123" spans="1:20" x14ac:dyDescent="0.3">
      <c r="A123" t="s">
        <v>437</v>
      </c>
      <c r="B123">
        <v>45823</v>
      </c>
      <c r="C123" t="s">
        <v>438</v>
      </c>
      <c r="D123" t="s">
        <v>439</v>
      </c>
      <c r="E123" t="s">
        <v>23</v>
      </c>
      <c r="F123">
        <v>27</v>
      </c>
      <c r="G123" t="s">
        <v>46</v>
      </c>
      <c r="H123" s="14" t="s">
        <v>25</v>
      </c>
      <c r="I123" s="14" t="s">
        <v>128</v>
      </c>
      <c r="J123" s="14" t="s">
        <v>129</v>
      </c>
      <c r="K123" s="14" t="s">
        <v>130</v>
      </c>
      <c r="L123" s="14" t="s">
        <v>131</v>
      </c>
      <c r="M123" s="14">
        <v>2</v>
      </c>
      <c r="N123" s="14">
        <v>10398.4</v>
      </c>
      <c r="O123" s="14">
        <v>10200</v>
      </c>
      <c r="P123" s="14">
        <v>20</v>
      </c>
      <c r="Q123" s="14" t="s">
        <v>30</v>
      </c>
      <c r="R123" s="14" t="s">
        <v>31</v>
      </c>
      <c r="S123" s="14">
        <v>45829</v>
      </c>
      <c r="T123" s="14">
        <v>3</v>
      </c>
    </row>
    <row r="124" spans="1:20" x14ac:dyDescent="0.3">
      <c r="A124" t="s">
        <v>440</v>
      </c>
      <c r="B124">
        <v>45806</v>
      </c>
      <c r="C124" t="s">
        <v>441</v>
      </c>
      <c r="D124" t="s">
        <v>442</v>
      </c>
      <c r="E124" t="s">
        <v>77</v>
      </c>
      <c r="F124">
        <v>44</v>
      </c>
      <c r="G124" t="s">
        <v>173</v>
      </c>
      <c r="H124" s="14" t="s">
        <v>79</v>
      </c>
      <c r="I124" s="14" t="s">
        <v>319</v>
      </c>
      <c r="J124" s="14" t="s">
        <v>320</v>
      </c>
      <c r="K124" s="14" t="s">
        <v>28</v>
      </c>
      <c r="L124" s="14" t="s">
        <v>29</v>
      </c>
      <c r="M124" s="14">
        <v>5</v>
      </c>
      <c r="N124" s="14">
        <v>4496.25</v>
      </c>
      <c r="O124" s="14">
        <v>3550</v>
      </c>
      <c r="P124" s="14">
        <v>25</v>
      </c>
      <c r="Q124" s="14" t="s">
        <v>50</v>
      </c>
      <c r="R124" s="14" t="s">
        <v>42</v>
      </c>
      <c r="S124" s="14">
        <v>45808</v>
      </c>
      <c r="T124" s="14">
        <v>3</v>
      </c>
    </row>
    <row r="125" spans="1:20" x14ac:dyDescent="0.3">
      <c r="A125" t="s">
        <v>443</v>
      </c>
      <c r="B125">
        <v>45338</v>
      </c>
      <c r="C125" t="s">
        <v>444</v>
      </c>
      <c r="D125" t="s">
        <v>298</v>
      </c>
      <c r="E125" t="s">
        <v>77</v>
      </c>
      <c r="F125">
        <v>55</v>
      </c>
      <c r="G125" t="s">
        <v>207</v>
      </c>
      <c r="H125" s="14" t="s">
        <v>36</v>
      </c>
      <c r="I125" s="14" t="s">
        <v>92</v>
      </c>
      <c r="J125" s="14" t="s">
        <v>93</v>
      </c>
      <c r="K125" s="14" t="s">
        <v>87</v>
      </c>
      <c r="L125" s="14" t="s">
        <v>94</v>
      </c>
      <c r="M125" s="14">
        <v>2</v>
      </c>
      <c r="N125" s="14">
        <v>2238.6</v>
      </c>
      <c r="O125" s="14">
        <v>1860</v>
      </c>
      <c r="P125" s="14">
        <v>30</v>
      </c>
      <c r="Q125" s="14" t="s">
        <v>50</v>
      </c>
      <c r="R125" s="14" t="s">
        <v>31</v>
      </c>
      <c r="S125" s="14">
        <v>45340</v>
      </c>
      <c r="T125" s="14">
        <v>5</v>
      </c>
    </row>
    <row r="126" spans="1:20" x14ac:dyDescent="0.3">
      <c r="A126" t="s">
        <v>445</v>
      </c>
      <c r="B126">
        <v>45934</v>
      </c>
      <c r="C126" t="s">
        <v>446</v>
      </c>
      <c r="D126" t="s">
        <v>447</v>
      </c>
      <c r="E126" t="s">
        <v>23</v>
      </c>
      <c r="F126">
        <v>30</v>
      </c>
      <c r="G126" t="s">
        <v>35</v>
      </c>
      <c r="H126" s="14" t="s">
        <v>36</v>
      </c>
      <c r="I126" s="14" t="s">
        <v>92</v>
      </c>
      <c r="J126" s="14" t="s">
        <v>93</v>
      </c>
      <c r="K126" s="14" t="s">
        <v>87</v>
      </c>
      <c r="L126" s="14" t="s">
        <v>94</v>
      </c>
      <c r="M126" s="14">
        <v>3</v>
      </c>
      <c r="N126" s="14">
        <v>2878.2</v>
      </c>
      <c r="O126" s="14">
        <v>2790</v>
      </c>
      <c r="P126" s="14">
        <v>40</v>
      </c>
      <c r="Q126" s="14" t="s">
        <v>30</v>
      </c>
      <c r="R126" s="14" t="s">
        <v>57</v>
      </c>
      <c r="S126" s="14">
        <v>45946</v>
      </c>
      <c r="T126" s="14">
        <v>5</v>
      </c>
    </row>
    <row r="127" spans="1:20" x14ac:dyDescent="0.3">
      <c r="A127" t="s">
        <v>448</v>
      </c>
      <c r="B127">
        <v>45596</v>
      </c>
      <c r="C127" t="s">
        <v>237</v>
      </c>
      <c r="D127" t="s">
        <v>238</v>
      </c>
      <c r="E127" t="s">
        <v>23</v>
      </c>
      <c r="F127">
        <v>47</v>
      </c>
      <c r="G127" t="s">
        <v>46</v>
      </c>
      <c r="H127" s="14" t="s">
        <v>25</v>
      </c>
      <c r="I127" s="14" t="s">
        <v>85</v>
      </c>
      <c r="J127" s="14" t="s">
        <v>86</v>
      </c>
      <c r="K127" s="14" t="s">
        <v>87</v>
      </c>
      <c r="L127" s="14" t="s">
        <v>88</v>
      </c>
      <c r="M127" s="14">
        <v>1</v>
      </c>
      <c r="N127" s="14">
        <v>1259.0999999999999</v>
      </c>
      <c r="O127" s="14">
        <v>790</v>
      </c>
      <c r="P127" s="14">
        <v>10</v>
      </c>
      <c r="Q127" s="14" t="s">
        <v>103</v>
      </c>
      <c r="R127" s="14" t="s">
        <v>42</v>
      </c>
      <c r="S127" s="14">
        <v>45605</v>
      </c>
      <c r="T127" s="14">
        <v>5</v>
      </c>
    </row>
    <row r="128" spans="1:20" x14ac:dyDescent="0.3">
      <c r="A128" t="s">
        <v>449</v>
      </c>
      <c r="B128">
        <v>45500</v>
      </c>
      <c r="C128" t="s">
        <v>450</v>
      </c>
      <c r="D128" t="s">
        <v>451</v>
      </c>
      <c r="E128" t="s">
        <v>77</v>
      </c>
      <c r="F128">
        <v>30</v>
      </c>
      <c r="G128" t="s">
        <v>173</v>
      </c>
      <c r="H128" s="14" t="s">
        <v>79</v>
      </c>
      <c r="I128" s="14" t="s">
        <v>183</v>
      </c>
      <c r="J128" s="14" t="s">
        <v>184</v>
      </c>
      <c r="K128" s="14" t="s">
        <v>130</v>
      </c>
      <c r="L128" s="14" t="s">
        <v>185</v>
      </c>
      <c r="M128" s="14">
        <v>3</v>
      </c>
      <c r="N128" s="14">
        <v>8997.75</v>
      </c>
      <c r="O128" s="14">
        <v>9150</v>
      </c>
      <c r="P128" s="14">
        <v>25</v>
      </c>
      <c r="Q128" s="14" t="s">
        <v>103</v>
      </c>
      <c r="R128" s="14" t="s">
        <v>42</v>
      </c>
      <c r="S128" s="14">
        <v>45507</v>
      </c>
      <c r="T128" s="14">
        <v>3</v>
      </c>
    </row>
    <row r="129" spans="1:20" x14ac:dyDescent="0.3">
      <c r="A129" t="s">
        <v>452</v>
      </c>
      <c r="B129">
        <v>45618</v>
      </c>
      <c r="C129" t="s">
        <v>196</v>
      </c>
      <c r="D129" t="s">
        <v>197</v>
      </c>
      <c r="E129" t="s">
        <v>23</v>
      </c>
      <c r="F129">
        <v>22</v>
      </c>
      <c r="G129" t="s">
        <v>61</v>
      </c>
      <c r="H129" s="14" t="s">
        <v>62</v>
      </c>
      <c r="I129" s="14" t="s">
        <v>229</v>
      </c>
      <c r="J129" s="14" t="s">
        <v>230</v>
      </c>
      <c r="K129" s="14" t="s">
        <v>28</v>
      </c>
      <c r="L129" s="14" t="s">
        <v>231</v>
      </c>
      <c r="M129" s="14">
        <v>3</v>
      </c>
      <c r="N129" s="14">
        <v>3598.2</v>
      </c>
      <c r="O129" s="14">
        <v>3690</v>
      </c>
      <c r="P129" s="14">
        <v>40</v>
      </c>
      <c r="Q129" s="14" t="s">
        <v>30</v>
      </c>
      <c r="R129" s="14" t="s">
        <v>42</v>
      </c>
      <c r="S129" s="14">
        <v>45621</v>
      </c>
      <c r="T129" s="14">
        <v>2</v>
      </c>
    </row>
    <row r="130" spans="1:20" x14ac:dyDescent="0.3">
      <c r="A130" t="s">
        <v>453</v>
      </c>
      <c r="B130">
        <v>45589</v>
      </c>
      <c r="C130" t="s">
        <v>152</v>
      </c>
      <c r="D130" t="s">
        <v>153</v>
      </c>
      <c r="E130" t="s">
        <v>23</v>
      </c>
      <c r="F130">
        <v>33</v>
      </c>
      <c r="G130" t="s">
        <v>122</v>
      </c>
      <c r="H130" s="14" t="s">
        <v>123</v>
      </c>
      <c r="I130" s="14" t="s">
        <v>304</v>
      </c>
      <c r="J130" s="14" t="s">
        <v>305</v>
      </c>
      <c r="K130" s="14" t="s">
        <v>28</v>
      </c>
      <c r="L130" s="14" t="s">
        <v>231</v>
      </c>
      <c r="M130" s="14">
        <v>2</v>
      </c>
      <c r="N130" s="14">
        <v>2698.5</v>
      </c>
      <c r="O130" s="14">
        <v>2160</v>
      </c>
      <c r="P130" s="14">
        <v>25</v>
      </c>
      <c r="Q130" s="14" t="s">
        <v>50</v>
      </c>
      <c r="R130" s="14" t="s">
        <v>31</v>
      </c>
      <c r="S130" s="14">
        <v>45596</v>
      </c>
      <c r="T130" s="14">
        <v>4</v>
      </c>
    </row>
    <row r="131" spans="1:20" x14ac:dyDescent="0.3">
      <c r="A131" t="s">
        <v>454</v>
      </c>
      <c r="B131">
        <v>45455</v>
      </c>
      <c r="C131" t="s">
        <v>455</v>
      </c>
      <c r="D131" t="s">
        <v>311</v>
      </c>
      <c r="E131" t="s">
        <v>23</v>
      </c>
      <c r="F131">
        <v>42</v>
      </c>
      <c r="G131" t="s">
        <v>61</v>
      </c>
      <c r="H131" s="14" t="s">
        <v>62</v>
      </c>
      <c r="I131" s="14" t="s">
        <v>37</v>
      </c>
      <c r="J131" s="14" t="s">
        <v>38</v>
      </c>
      <c r="K131" s="14" t="s">
        <v>39</v>
      </c>
      <c r="L131" s="14" t="s">
        <v>40</v>
      </c>
      <c r="M131" s="14">
        <v>3</v>
      </c>
      <c r="N131" s="14">
        <v>1618.2</v>
      </c>
      <c r="O131" s="14">
        <v>1560</v>
      </c>
      <c r="P131" s="14">
        <v>40</v>
      </c>
      <c r="Q131" s="14" t="s">
        <v>73</v>
      </c>
      <c r="R131" s="14" t="s">
        <v>42</v>
      </c>
      <c r="S131" s="14">
        <v>45463</v>
      </c>
      <c r="T131" s="14">
        <v>5</v>
      </c>
    </row>
    <row r="132" spans="1:20" x14ac:dyDescent="0.3">
      <c r="A132" t="s">
        <v>456</v>
      </c>
      <c r="B132">
        <v>45538</v>
      </c>
      <c r="C132" t="s">
        <v>256</v>
      </c>
      <c r="D132" t="s">
        <v>257</v>
      </c>
      <c r="E132" t="s">
        <v>23</v>
      </c>
      <c r="F132">
        <v>23</v>
      </c>
      <c r="G132" t="s">
        <v>211</v>
      </c>
      <c r="H132" s="14" t="s">
        <v>127</v>
      </c>
      <c r="I132" s="14" t="s">
        <v>26</v>
      </c>
      <c r="J132" s="14" t="s">
        <v>27</v>
      </c>
      <c r="K132" s="14" t="s">
        <v>28</v>
      </c>
      <c r="L132" s="14" t="s">
        <v>29</v>
      </c>
      <c r="M132" s="14">
        <v>1</v>
      </c>
      <c r="N132" s="14">
        <v>1039.2</v>
      </c>
      <c r="O132" s="14">
        <v>790</v>
      </c>
      <c r="P132" s="14">
        <v>20</v>
      </c>
      <c r="Q132" s="14" t="s">
        <v>103</v>
      </c>
      <c r="R132" s="14" t="s">
        <v>65</v>
      </c>
    </row>
    <row r="133" spans="1:20" x14ac:dyDescent="0.3">
      <c r="A133" t="s">
        <v>457</v>
      </c>
      <c r="B133">
        <v>45961</v>
      </c>
      <c r="C133" t="s">
        <v>458</v>
      </c>
      <c r="D133" t="s">
        <v>329</v>
      </c>
      <c r="E133" t="s">
        <v>77</v>
      </c>
      <c r="F133">
        <v>42</v>
      </c>
      <c r="G133" t="s">
        <v>35</v>
      </c>
      <c r="H133" s="14" t="s">
        <v>36</v>
      </c>
      <c r="I133" s="14" t="s">
        <v>222</v>
      </c>
      <c r="J133" s="14" t="s">
        <v>223</v>
      </c>
      <c r="K133" s="14" t="s">
        <v>114</v>
      </c>
      <c r="L133" s="14" t="s">
        <v>115</v>
      </c>
      <c r="M133" s="14">
        <v>1</v>
      </c>
      <c r="N133" s="14">
        <v>854.05</v>
      </c>
      <c r="O133" s="14">
        <v>510</v>
      </c>
      <c r="P133" s="14">
        <v>5</v>
      </c>
      <c r="Q133" s="14" t="s">
        <v>103</v>
      </c>
      <c r="R133" s="14" t="s">
        <v>42</v>
      </c>
      <c r="S133" s="14">
        <v>45967</v>
      </c>
      <c r="T133" s="14">
        <v>4</v>
      </c>
    </row>
    <row r="134" spans="1:20" x14ac:dyDescent="0.3">
      <c r="A134" t="s">
        <v>459</v>
      </c>
      <c r="B134">
        <v>45704</v>
      </c>
      <c r="C134" t="s">
        <v>460</v>
      </c>
      <c r="D134" t="s">
        <v>164</v>
      </c>
      <c r="E134" t="s">
        <v>77</v>
      </c>
      <c r="F134">
        <v>56</v>
      </c>
      <c r="G134" t="s">
        <v>24</v>
      </c>
      <c r="H134" s="14" t="s">
        <v>25</v>
      </c>
      <c r="I134" s="14" t="s">
        <v>47</v>
      </c>
      <c r="J134" s="14" t="s">
        <v>48</v>
      </c>
      <c r="K134" s="14" t="s">
        <v>39</v>
      </c>
      <c r="L134" s="14" t="s">
        <v>49</v>
      </c>
      <c r="M134" s="14">
        <v>1</v>
      </c>
      <c r="N134" s="14">
        <v>339.15</v>
      </c>
      <c r="O134" s="14">
        <v>210</v>
      </c>
      <c r="P134" s="14">
        <v>15</v>
      </c>
      <c r="Q134" s="14" t="s">
        <v>41</v>
      </c>
      <c r="R134" s="14" t="s">
        <v>65</v>
      </c>
    </row>
    <row r="135" spans="1:20" x14ac:dyDescent="0.3">
      <c r="A135" t="s">
        <v>461</v>
      </c>
      <c r="B135">
        <v>45587</v>
      </c>
      <c r="C135" t="s">
        <v>462</v>
      </c>
      <c r="D135" t="s">
        <v>76</v>
      </c>
      <c r="E135" t="s">
        <v>77</v>
      </c>
      <c r="F135">
        <v>43</v>
      </c>
      <c r="G135" t="s">
        <v>165</v>
      </c>
      <c r="H135" s="14" t="s">
        <v>166</v>
      </c>
      <c r="I135" s="14" t="s">
        <v>112</v>
      </c>
      <c r="J135" s="14" t="s">
        <v>113</v>
      </c>
      <c r="K135" s="14" t="s">
        <v>114</v>
      </c>
      <c r="L135" s="14" t="s">
        <v>115</v>
      </c>
      <c r="M135" s="14">
        <v>4</v>
      </c>
      <c r="N135" s="14">
        <v>2236.8000000000002</v>
      </c>
      <c r="O135" s="14">
        <v>1480</v>
      </c>
      <c r="P135" s="14">
        <v>20</v>
      </c>
      <c r="Q135" s="14" t="s">
        <v>50</v>
      </c>
      <c r="R135" s="14" t="s">
        <v>31</v>
      </c>
      <c r="S135" s="14">
        <v>45598</v>
      </c>
      <c r="T135" s="14">
        <v>3</v>
      </c>
    </row>
    <row r="136" spans="1:20" x14ac:dyDescent="0.3">
      <c r="A136" t="s">
        <v>463</v>
      </c>
      <c r="B136">
        <v>45423</v>
      </c>
      <c r="C136" t="s">
        <v>280</v>
      </c>
      <c r="D136" t="s">
        <v>281</v>
      </c>
      <c r="E136" t="s">
        <v>77</v>
      </c>
      <c r="F136">
        <v>53</v>
      </c>
      <c r="G136" t="s">
        <v>165</v>
      </c>
      <c r="H136" s="14" t="s">
        <v>166</v>
      </c>
      <c r="I136" s="14" t="s">
        <v>245</v>
      </c>
      <c r="J136" s="14" t="s">
        <v>246</v>
      </c>
      <c r="K136" s="14" t="s">
        <v>130</v>
      </c>
      <c r="L136" s="14" t="s">
        <v>247</v>
      </c>
      <c r="M136" s="14">
        <v>3</v>
      </c>
      <c r="N136" s="14">
        <v>5622.75</v>
      </c>
      <c r="O136" s="14">
        <v>5610</v>
      </c>
      <c r="P136" s="14">
        <v>25</v>
      </c>
      <c r="Q136" s="14" t="s">
        <v>30</v>
      </c>
      <c r="R136" s="14" t="s">
        <v>42</v>
      </c>
      <c r="S136" s="14">
        <v>45434</v>
      </c>
      <c r="T136" s="14">
        <v>5</v>
      </c>
    </row>
    <row r="137" spans="1:20" x14ac:dyDescent="0.3">
      <c r="A137" t="s">
        <v>464</v>
      </c>
      <c r="B137">
        <v>45804</v>
      </c>
      <c r="C137" t="s">
        <v>465</v>
      </c>
      <c r="D137" t="s">
        <v>53</v>
      </c>
      <c r="E137" t="s">
        <v>23</v>
      </c>
      <c r="F137">
        <v>22</v>
      </c>
      <c r="G137" t="s">
        <v>24</v>
      </c>
      <c r="H137" s="14" t="s">
        <v>25</v>
      </c>
      <c r="I137" s="14" t="s">
        <v>26</v>
      </c>
      <c r="J137" s="14" t="s">
        <v>27</v>
      </c>
      <c r="K137" s="14" t="s">
        <v>28</v>
      </c>
      <c r="L137" s="14" t="s">
        <v>29</v>
      </c>
      <c r="M137" s="14">
        <v>2</v>
      </c>
      <c r="N137" s="14">
        <v>1948.5</v>
      </c>
      <c r="O137" s="14">
        <v>1580</v>
      </c>
      <c r="P137" s="14">
        <v>25</v>
      </c>
      <c r="Q137" s="14" t="s">
        <v>103</v>
      </c>
      <c r="R137" s="14" t="s">
        <v>65</v>
      </c>
    </row>
    <row r="138" spans="1:20" x14ac:dyDescent="0.3">
      <c r="A138" t="s">
        <v>466</v>
      </c>
      <c r="B138">
        <v>45759</v>
      </c>
      <c r="C138" t="s">
        <v>52</v>
      </c>
      <c r="D138" t="s">
        <v>53</v>
      </c>
      <c r="E138" t="s">
        <v>23</v>
      </c>
      <c r="F138">
        <v>18</v>
      </c>
      <c r="G138" t="s">
        <v>173</v>
      </c>
      <c r="H138" s="14" t="s">
        <v>79</v>
      </c>
      <c r="I138" s="14" t="s">
        <v>183</v>
      </c>
      <c r="J138" s="14" t="s">
        <v>184</v>
      </c>
      <c r="K138" s="14" t="s">
        <v>130</v>
      </c>
      <c r="L138" s="14" t="s">
        <v>185</v>
      </c>
      <c r="M138" s="14">
        <v>5</v>
      </c>
      <c r="N138" s="14">
        <v>14996.25</v>
      </c>
      <c r="O138" s="14">
        <v>15250</v>
      </c>
      <c r="P138" s="14">
        <v>25</v>
      </c>
      <c r="Q138" s="14" t="s">
        <v>30</v>
      </c>
      <c r="R138" s="14" t="s">
        <v>42</v>
      </c>
      <c r="S138" s="14">
        <v>45770</v>
      </c>
      <c r="T138" s="14">
        <v>4</v>
      </c>
    </row>
    <row r="139" spans="1:20" x14ac:dyDescent="0.3">
      <c r="A139" t="s">
        <v>467</v>
      </c>
      <c r="B139">
        <v>45899</v>
      </c>
      <c r="C139" t="s">
        <v>468</v>
      </c>
      <c r="D139" t="s">
        <v>469</v>
      </c>
      <c r="E139" t="s">
        <v>23</v>
      </c>
      <c r="F139">
        <v>20</v>
      </c>
      <c r="G139" t="s">
        <v>101</v>
      </c>
      <c r="H139" s="14" t="s">
        <v>102</v>
      </c>
      <c r="I139" s="14" t="s">
        <v>85</v>
      </c>
      <c r="J139" s="14" t="s">
        <v>86</v>
      </c>
      <c r="K139" s="14" t="s">
        <v>87</v>
      </c>
      <c r="L139" s="14" t="s">
        <v>88</v>
      </c>
      <c r="M139" s="14">
        <v>5</v>
      </c>
      <c r="N139" s="14">
        <v>5596</v>
      </c>
      <c r="O139" s="14">
        <v>3950</v>
      </c>
      <c r="P139" s="14">
        <v>20</v>
      </c>
      <c r="Q139" s="14" t="s">
        <v>103</v>
      </c>
      <c r="R139" s="14" t="s">
        <v>57</v>
      </c>
      <c r="S139" s="14">
        <v>45901</v>
      </c>
      <c r="T139" s="14">
        <v>4</v>
      </c>
    </row>
    <row r="140" spans="1:20" x14ac:dyDescent="0.3">
      <c r="A140" t="s">
        <v>470</v>
      </c>
      <c r="B140">
        <v>45631</v>
      </c>
      <c r="C140" t="s">
        <v>471</v>
      </c>
      <c r="D140" t="s">
        <v>472</v>
      </c>
      <c r="E140" t="s">
        <v>23</v>
      </c>
      <c r="F140">
        <v>37</v>
      </c>
      <c r="G140" t="s">
        <v>122</v>
      </c>
      <c r="H140" s="14" t="s">
        <v>123</v>
      </c>
      <c r="I140" s="14" t="s">
        <v>198</v>
      </c>
      <c r="J140" s="14" t="s">
        <v>199</v>
      </c>
      <c r="K140" s="14" t="s">
        <v>114</v>
      </c>
      <c r="L140" s="14" t="s">
        <v>200</v>
      </c>
      <c r="M140" s="14">
        <v>3</v>
      </c>
      <c r="N140" s="14">
        <v>3897</v>
      </c>
      <c r="O140" s="14">
        <v>2280</v>
      </c>
      <c r="P140" s="14">
        <v>0</v>
      </c>
      <c r="Q140" s="14" t="s">
        <v>50</v>
      </c>
      <c r="R140" s="14" t="s">
        <v>42</v>
      </c>
      <c r="S140" s="14">
        <v>45637</v>
      </c>
      <c r="T140" s="14">
        <v>4</v>
      </c>
    </row>
    <row r="141" spans="1:20" x14ac:dyDescent="0.3">
      <c r="A141" t="s">
        <v>473</v>
      </c>
      <c r="B141">
        <v>45344</v>
      </c>
      <c r="C141" t="s">
        <v>474</v>
      </c>
      <c r="D141" t="s">
        <v>475</v>
      </c>
      <c r="E141" t="s">
        <v>23</v>
      </c>
      <c r="F141">
        <v>29</v>
      </c>
      <c r="G141" t="s">
        <v>101</v>
      </c>
      <c r="H141" s="14" t="s">
        <v>102</v>
      </c>
      <c r="I141" s="14" t="s">
        <v>319</v>
      </c>
      <c r="J141" s="14" t="s">
        <v>320</v>
      </c>
      <c r="K141" s="14" t="s">
        <v>28</v>
      </c>
      <c r="L141" s="14" t="s">
        <v>29</v>
      </c>
      <c r="M141" s="14">
        <v>5</v>
      </c>
      <c r="N141" s="14">
        <v>4196.5</v>
      </c>
      <c r="O141" s="14">
        <v>3550</v>
      </c>
      <c r="P141" s="14">
        <v>30</v>
      </c>
      <c r="Q141" s="14" t="s">
        <v>30</v>
      </c>
      <c r="R141" s="14" t="s">
        <v>57</v>
      </c>
      <c r="S141" s="14">
        <v>45356</v>
      </c>
      <c r="T141" s="14">
        <v>4</v>
      </c>
    </row>
    <row r="142" spans="1:20" x14ac:dyDescent="0.3">
      <c r="A142" t="s">
        <v>476</v>
      </c>
      <c r="B142">
        <v>45324</v>
      </c>
      <c r="C142" t="s">
        <v>33</v>
      </c>
      <c r="D142" t="s">
        <v>34</v>
      </c>
      <c r="E142" t="s">
        <v>23</v>
      </c>
      <c r="F142">
        <v>30</v>
      </c>
      <c r="G142" t="s">
        <v>69</v>
      </c>
      <c r="H142" s="14" t="s">
        <v>69</v>
      </c>
      <c r="I142" s="14" t="s">
        <v>70</v>
      </c>
      <c r="J142" s="14" t="s">
        <v>71</v>
      </c>
      <c r="K142" s="14" t="s">
        <v>28</v>
      </c>
      <c r="L142" s="14" t="s">
        <v>72</v>
      </c>
      <c r="M142" s="14">
        <v>1</v>
      </c>
      <c r="N142" s="14">
        <v>899.4</v>
      </c>
      <c r="O142" s="14">
        <v>920</v>
      </c>
      <c r="P142" s="14">
        <v>40</v>
      </c>
      <c r="Q142" s="14" t="s">
        <v>41</v>
      </c>
      <c r="R142" s="14" t="s">
        <v>42</v>
      </c>
      <c r="S142" s="14">
        <v>45328</v>
      </c>
      <c r="T142" s="14">
        <v>5</v>
      </c>
    </row>
    <row r="143" spans="1:20" x14ac:dyDescent="0.3">
      <c r="A143" t="s">
        <v>477</v>
      </c>
      <c r="B143">
        <v>45999</v>
      </c>
      <c r="C143" t="s">
        <v>478</v>
      </c>
      <c r="D143" t="s">
        <v>479</v>
      </c>
      <c r="E143" t="s">
        <v>23</v>
      </c>
      <c r="F143">
        <v>36</v>
      </c>
      <c r="G143" t="s">
        <v>122</v>
      </c>
      <c r="H143" s="14" t="s">
        <v>123</v>
      </c>
      <c r="I143" s="14" t="s">
        <v>112</v>
      </c>
      <c r="J143" s="14" t="s">
        <v>113</v>
      </c>
      <c r="K143" s="14" t="s">
        <v>114</v>
      </c>
      <c r="L143" s="14" t="s">
        <v>115</v>
      </c>
      <c r="M143" s="14">
        <v>5</v>
      </c>
      <c r="N143" s="14">
        <v>2097</v>
      </c>
      <c r="O143" s="14">
        <v>1850</v>
      </c>
      <c r="P143" s="14">
        <v>40</v>
      </c>
      <c r="Q143" s="14" t="s">
        <v>73</v>
      </c>
      <c r="R143" s="14" t="s">
        <v>31</v>
      </c>
      <c r="S143" s="14">
        <v>46003</v>
      </c>
      <c r="T143" s="14">
        <v>4</v>
      </c>
    </row>
    <row r="144" spans="1:20" x14ac:dyDescent="0.3">
      <c r="A144" t="s">
        <v>480</v>
      </c>
      <c r="B144">
        <v>45866</v>
      </c>
      <c r="C144" t="s">
        <v>481</v>
      </c>
      <c r="D144" t="s">
        <v>482</v>
      </c>
      <c r="E144" t="s">
        <v>23</v>
      </c>
      <c r="F144">
        <v>34</v>
      </c>
      <c r="G144" t="s">
        <v>101</v>
      </c>
      <c r="H144" s="14" t="s">
        <v>483</v>
      </c>
      <c r="I144" s="14" t="s">
        <v>112</v>
      </c>
      <c r="J144" s="14" t="s">
        <v>113</v>
      </c>
      <c r="K144" s="14" t="s">
        <v>114</v>
      </c>
      <c r="L144" s="14" t="s">
        <v>115</v>
      </c>
      <c r="M144" s="14">
        <v>4</v>
      </c>
      <c r="N144" s="14">
        <v>2097</v>
      </c>
      <c r="O144" s="14">
        <v>1480</v>
      </c>
      <c r="P144" s="14">
        <v>25</v>
      </c>
      <c r="Q144" s="14" t="s">
        <v>30</v>
      </c>
      <c r="R144" s="14" t="s">
        <v>42</v>
      </c>
      <c r="S144" s="14">
        <v>45876</v>
      </c>
      <c r="T144" s="14">
        <v>4</v>
      </c>
    </row>
    <row r="145" spans="1:20" x14ac:dyDescent="0.3">
      <c r="A145" t="s">
        <v>484</v>
      </c>
      <c r="B145">
        <v>45851</v>
      </c>
      <c r="C145" t="s">
        <v>485</v>
      </c>
      <c r="D145" t="s">
        <v>372</v>
      </c>
      <c r="E145" t="s">
        <v>77</v>
      </c>
      <c r="F145">
        <v>30</v>
      </c>
      <c r="G145" t="s">
        <v>207</v>
      </c>
      <c r="H145" s="14" t="s">
        <v>36</v>
      </c>
      <c r="I145" s="14" t="s">
        <v>155</v>
      </c>
      <c r="J145" s="14" t="s">
        <v>156</v>
      </c>
      <c r="K145" s="14" t="s">
        <v>114</v>
      </c>
      <c r="L145" s="14" t="s">
        <v>157</v>
      </c>
      <c r="M145" s="14">
        <v>4</v>
      </c>
      <c r="N145" s="14">
        <v>3396.6</v>
      </c>
      <c r="O145" s="14">
        <v>2440</v>
      </c>
      <c r="P145" s="14">
        <v>15</v>
      </c>
      <c r="Q145" s="14" t="s">
        <v>30</v>
      </c>
      <c r="R145" s="14" t="s">
        <v>42</v>
      </c>
      <c r="S145" s="14">
        <v>45861</v>
      </c>
      <c r="T145" s="14">
        <v>4</v>
      </c>
    </row>
    <row r="146" spans="1:20" x14ac:dyDescent="0.3">
      <c r="A146" t="s">
        <v>486</v>
      </c>
      <c r="B146">
        <v>45522</v>
      </c>
      <c r="C146" t="s">
        <v>487</v>
      </c>
      <c r="D146" t="s">
        <v>488</v>
      </c>
      <c r="E146" t="s">
        <v>77</v>
      </c>
      <c r="F146">
        <v>57</v>
      </c>
      <c r="G146" t="s">
        <v>35</v>
      </c>
      <c r="H146" s="14" t="s">
        <v>36</v>
      </c>
      <c r="I146" s="14" t="s">
        <v>85</v>
      </c>
      <c r="J146" s="14" t="s">
        <v>86</v>
      </c>
      <c r="K146" s="14" t="s">
        <v>87</v>
      </c>
      <c r="L146" s="14" t="s">
        <v>88</v>
      </c>
      <c r="M146" s="14">
        <v>2</v>
      </c>
      <c r="N146" s="14">
        <v>1678.8</v>
      </c>
      <c r="O146" s="14">
        <v>1580</v>
      </c>
      <c r="P146" s="14">
        <v>40</v>
      </c>
      <c r="Q146" s="14" t="s">
        <v>41</v>
      </c>
      <c r="R146" s="14" t="s">
        <v>42</v>
      </c>
      <c r="S146" s="14">
        <v>45529</v>
      </c>
      <c r="T146" s="14">
        <v>4</v>
      </c>
    </row>
    <row r="147" spans="1:20" x14ac:dyDescent="0.3">
      <c r="A147" t="s">
        <v>489</v>
      </c>
      <c r="B147">
        <v>45586</v>
      </c>
      <c r="C147" t="s">
        <v>490</v>
      </c>
      <c r="D147" t="s">
        <v>139</v>
      </c>
      <c r="E147" t="s">
        <v>77</v>
      </c>
      <c r="F147">
        <v>33</v>
      </c>
      <c r="G147" t="s">
        <v>165</v>
      </c>
      <c r="H147" s="14" t="s">
        <v>166</v>
      </c>
      <c r="I147" s="14" t="s">
        <v>47</v>
      </c>
      <c r="J147" s="14" t="s">
        <v>48</v>
      </c>
      <c r="K147" s="14" t="s">
        <v>39</v>
      </c>
      <c r="L147" s="14" t="s">
        <v>49</v>
      </c>
      <c r="M147" s="14">
        <v>3</v>
      </c>
      <c r="N147" s="14">
        <v>1077.3</v>
      </c>
      <c r="O147" s="14">
        <v>630</v>
      </c>
      <c r="P147" s="14">
        <v>10</v>
      </c>
      <c r="Q147" s="14" t="s">
        <v>41</v>
      </c>
      <c r="R147" s="14" t="s">
        <v>42</v>
      </c>
      <c r="S147" s="14">
        <v>45592</v>
      </c>
      <c r="T147" s="14">
        <v>3</v>
      </c>
    </row>
    <row r="148" spans="1:20" x14ac:dyDescent="0.3">
      <c r="A148" t="s">
        <v>491</v>
      </c>
      <c r="B148">
        <v>45646</v>
      </c>
      <c r="C148" t="s">
        <v>138</v>
      </c>
      <c r="D148" t="s">
        <v>139</v>
      </c>
      <c r="E148" t="s">
        <v>77</v>
      </c>
      <c r="F148">
        <v>42</v>
      </c>
      <c r="G148" t="s">
        <v>207</v>
      </c>
      <c r="H148" s="14" t="s">
        <v>36</v>
      </c>
      <c r="I148" s="14" t="s">
        <v>177</v>
      </c>
      <c r="J148" s="14" t="s">
        <v>178</v>
      </c>
      <c r="K148" s="14" t="s">
        <v>87</v>
      </c>
      <c r="L148" s="14" t="s">
        <v>179</v>
      </c>
      <c r="M148" s="14">
        <v>4</v>
      </c>
      <c r="N148" s="14">
        <v>8496.6</v>
      </c>
      <c r="O148" s="14">
        <v>6480</v>
      </c>
      <c r="P148" s="14">
        <v>15</v>
      </c>
      <c r="Q148" s="14" t="s">
        <v>30</v>
      </c>
      <c r="R148" s="14" t="s">
        <v>57</v>
      </c>
      <c r="S148" s="14">
        <v>45656</v>
      </c>
      <c r="T148" s="14">
        <v>4</v>
      </c>
    </row>
    <row r="149" spans="1:20" x14ac:dyDescent="0.3">
      <c r="A149" t="s">
        <v>492</v>
      </c>
      <c r="B149">
        <v>45867</v>
      </c>
      <c r="C149" t="s">
        <v>149</v>
      </c>
      <c r="D149" t="s">
        <v>150</v>
      </c>
      <c r="E149" t="s">
        <v>77</v>
      </c>
      <c r="F149">
        <v>35</v>
      </c>
      <c r="G149" t="s">
        <v>173</v>
      </c>
      <c r="H149" s="14" t="s">
        <v>79</v>
      </c>
      <c r="I149" s="14" t="s">
        <v>229</v>
      </c>
      <c r="J149" s="14" t="s">
        <v>230</v>
      </c>
      <c r="K149" s="14" t="s">
        <v>28</v>
      </c>
      <c r="L149" s="14" t="s">
        <v>231</v>
      </c>
      <c r="M149" s="14">
        <v>5</v>
      </c>
      <c r="N149" s="14">
        <v>8495.75</v>
      </c>
      <c r="O149" s="14">
        <v>6150</v>
      </c>
      <c r="P149" s="14">
        <v>15</v>
      </c>
      <c r="Q149" s="14" t="s">
        <v>30</v>
      </c>
      <c r="R149" s="14" t="s">
        <v>42</v>
      </c>
      <c r="S149" s="14">
        <v>45879</v>
      </c>
      <c r="T149" s="14">
        <v>4</v>
      </c>
    </row>
    <row r="150" spans="1:20" x14ac:dyDescent="0.3">
      <c r="A150" t="s">
        <v>493</v>
      </c>
      <c r="B150">
        <v>45945</v>
      </c>
      <c r="C150" t="s">
        <v>168</v>
      </c>
      <c r="D150" t="s">
        <v>169</v>
      </c>
      <c r="E150" t="s">
        <v>23</v>
      </c>
      <c r="F150">
        <v>43</v>
      </c>
      <c r="G150" t="s">
        <v>24</v>
      </c>
      <c r="H150" s="14" t="s">
        <v>25</v>
      </c>
      <c r="I150" s="14" t="s">
        <v>229</v>
      </c>
      <c r="J150" s="14" t="s">
        <v>230</v>
      </c>
      <c r="K150" s="14" t="s">
        <v>28</v>
      </c>
      <c r="L150" s="14" t="s">
        <v>231</v>
      </c>
      <c r="M150" s="14">
        <v>4</v>
      </c>
      <c r="N150" s="14">
        <v>5997</v>
      </c>
      <c r="O150" s="14">
        <v>4920</v>
      </c>
      <c r="P150" s="14">
        <v>25</v>
      </c>
      <c r="Q150" s="14" t="s">
        <v>103</v>
      </c>
      <c r="R150" s="14" t="s">
        <v>42</v>
      </c>
      <c r="S150" s="14">
        <v>45957</v>
      </c>
      <c r="T150" s="14">
        <v>3</v>
      </c>
    </row>
    <row r="151" spans="1:20" x14ac:dyDescent="0.3">
      <c r="A151" t="s">
        <v>494</v>
      </c>
      <c r="B151">
        <v>45297</v>
      </c>
      <c r="C151" t="s">
        <v>495</v>
      </c>
      <c r="D151" t="s">
        <v>496</v>
      </c>
      <c r="E151" t="s">
        <v>77</v>
      </c>
      <c r="F151">
        <v>33</v>
      </c>
      <c r="G151" t="s">
        <v>78</v>
      </c>
      <c r="H151" s="14" t="s">
        <v>79</v>
      </c>
      <c r="I151" s="14" t="s">
        <v>134</v>
      </c>
      <c r="J151" s="14" t="s">
        <v>135</v>
      </c>
      <c r="K151" s="14" t="s">
        <v>39</v>
      </c>
      <c r="L151" s="14" t="s">
        <v>136</v>
      </c>
      <c r="M151" s="14">
        <v>4</v>
      </c>
      <c r="N151" s="14">
        <v>477.6</v>
      </c>
      <c r="O151" s="14">
        <v>360</v>
      </c>
      <c r="P151" s="14">
        <v>40</v>
      </c>
      <c r="Q151" s="14" t="s">
        <v>30</v>
      </c>
      <c r="R151" s="14" t="s">
        <v>57</v>
      </c>
      <c r="S151" s="14">
        <v>45303</v>
      </c>
      <c r="T151" s="14">
        <v>4</v>
      </c>
    </row>
    <row r="152" spans="1:20" x14ac:dyDescent="0.3">
      <c r="A152" t="s">
        <v>497</v>
      </c>
      <c r="B152">
        <v>45584</v>
      </c>
      <c r="C152" t="s">
        <v>67</v>
      </c>
      <c r="D152" t="s">
        <v>68</v>
      </c>
      <c r="E152" t="s">
        <v>23</v>
      </c>
      <c r="F152">
        <v>42</v>
      </c>
      <c r="G152" t="s">
        <v>46</v>
      </c>
      <c r="H152" s="14" t="s">
        <v>25</v>
      </c>
      <c r="I152" s="14" t="s">
        <v>92</v>
      </c>
      <c r="J152" s="14" t="s">
        <v>93</v>
      </c>
      <c r="K152" s="14" t="s">
        <v>87</v>
      </c>
      <c r="L152" s="14" t="s">
        <v>94</v>
      </c>
      <c r="M152" s="14">
        <v>5</v>
      </c>
      <c r="N152" s="14">
        <v>6795.75</v>
      </c>
      <c r="O152" s="14">
        <v>4650</v>
      </c>
      <c r="P152" s="14">
        <v>15</v>
      </c>
      <c r="Q152" s="14" t="s">
        <v>50</v>
      </c>
      <c r="R152" s="14" t="s">
        <v>31</v>
      </c>
      <c r="S152" s="14">
        <v>45586</v>
      </c>
      <c r="T152" s="14">
        <v>3</v>
      </c>
    </row>
    <row r="153" spans="1:20" x14ac:dyDescent="0.3">
      <c r="A153" t="s">
        <v>498</v>
      </c>
      <c r="B153">
        <v>45719</v>
      </c>
      <c r="C153" t="s">
        <v>499</v>
      </c>
      <c r="D153" t="s">
        <v>388</v>
      </c>
      <c r="E153" t="s">
        <v>23</v>
      </c>
      <c r="F153">
        <v>30</v>
      </c>
      <c r="G153" t="s">
        <v>24</v>
      </c>
      <c r="H153" s="14" t="s">
        <v>25</v>
      </c>
      <c r="I153" s="14" t="s">
        <v>47</v>
      </c>
      <c r="J153" s="14" t="s">
        <v>48</v>
      </c>
      <c r="K153" s="14" t="s">
        <v>39</v>
      </c>
      <c r="L153" s="14" t="s">
        <v>49</v>
      </c>
      <c r="M153" s="14">
        <v>4</v>
      </c>
      <c r="N153" s="14">
        <v>1436.4</v>
      </c>
      <c r="O153" s="14">
        <v>840</v>
      </c>
      <c r="P153" s="14">
        <v>10</v>
      </c>
      <c r="Q153" s="14" t="s">
        <v>41</v>
      </c>
      <c r="R153" s="14" t="s">
        <v>42</v>
      </c>
      <c r="S153" s="14">
        <v>45721</v>
      </c>
      <c r="T153" s="14">
        <v>4</v>
      </c>
    </row>
    <row r="154" spans="1:20" x14ac:dyDescent="0.3">
      <c r="A154" t="s">
        <v>500</v>
      </c>
      <c r="B154">
        <v>45873</v>
      </c>
      <c r="C154" t="s">
        <v>314</v>
      </c>
      <c r="D154" t="s">
        <v>315</v>
      </c>
      <c r="E154" t="s">
        <v>77</v>
      </c>
      <c r="F154">
        <v>34</v>
      </c>
      <c r="G154" t="s">
        <v>126</v>
      </c>
      <c r="H154" s="14" t="s">
        <v>127</v>
      </c>
      <c r="I154" s="14" t="s">
        <v>143</v>
      </c>
      <c r="J154" s="14" t="s">
        <v>144</v>
      </c>
      <c r="K154" s="14" t="s">
        <v>130</v>
      </c>
      <c r="L154" s="14" t="s">
        <v>131</v>
      </c>
      <c r="M154" s="14">
        <v>4</v>
      </c>
      <c r="N154" s="14">
        <v>13197.6</v>
      </c>
      <c r="O154" s="14">
        <v>17200</v>
      </c>
      <c r="P154" s="14">
        <v>40</v>
      </c>
      <c r="Q154" s="14" t="s">
        <v>30</v>
      </c>
      <c r="R154" s="14" t="s">
        <v>57</v>
      </c>
      <c r="S154" s="14">
        <v>45883</v>
      </c>
      <c r="T154" s="14">
        <v>5</v>
      </c>
    </row>
    <row r="155" spans="1:20" x14ac:dyDescent="0.3">
      <c r="A155" t="s">
        <v>501</v>
      </c>
      <c r="B155">
        <v>45571</v>
      </c>
      <c r="C155" t="s">
        <v>502</v>
      </c>
      <c r="D155" t="s">
        <v>503</v>
      </c>
      <c r="E155" t="s">
        <v>77</v>
      </c>
      <c r="F155">
        <v>43</v>
      </c>
      <c r="G155" t="s">
        <v>69</v>
      </c>
      <c r="H155" s="14" t="s">
        <v>69</v>
      </c>
      <c r="I155" s="14" t="s">
        <v>183</v>
      </c>
      <c r="J155" s="14" t="s">
        <v>184</v>
      </c>
      <c r="K155" s="14" t="s">
        <v>130</v>
      </c>
      <c r="L155" s="14" t="s">
        <v>185</v>
      </c>
      <c r="M155" s="14">
        <v>2</v>
      </c>
      <c r="N155" s="14">
        <v>4798.8</v>
      </c>
      <c r="O155" s="14">
        <v>6100</v>
      </c>
      <c r="P155" s="14">
        <v>40</v>
      </c>
      <c r="Q155" s="14" t="s">
        <v>41</v>
      </c>
      <c r="R155" s="14" t="s">
        <v>31</v>
      </c>
      <c r="S155" s="14">
        <v>45575</v>
      </c>
      <c r="T155" s="14">
        <v>2</v>
      </c>
    </row>
    <row r="156" spans="1:20" x14ac:dyDescent="0.3">
      <c r="A156" t="s">
        <v>504</v>
      </c>
      <c r="B156">
        <v>45637</v>
      </c>
      <c r="C156" t="s">
        <v>505</v>
      </c>
      <c r="D156" t="s">
        <v>506</v>
      </c>
      <c r="E156" t="s">
        <v>77</v>
      </c>
      <c r="F156">
        <v>40</v>
      </c>
      <c r="G156" t="s">
        <v>154</v>
      </c>
      <c r="H156" s="14" t="s">
        <v>91</v>
      </c>
      <c r="I156" s="14" t="s">
        <v>319</v>
      </c>
      <c r="J156" s="14" t="s">
        <v>320</v>
      </c>
      <c r="K156" s="14" t="s">
        <v>28</v>
      </c>
      <c r="L156" s="14" t="s">
        <v>29</v>
      </c>
      <c r="M156" s="14">
        <v>5</v>
      </c>
      <c r="N156" s="14">
        <v>4196.5</v>
      </c>
      <c r="O156" s="14">
        <v>3550</v>
      </c>
      <c r="P156" s="14">
        <v>30</v>
      </c>
      <c r="Q156" s="14" t="s">
        <v>103</v>
      </c>
      <c r="R156" s="14" t="s">
        <v>65</v>
      </c>
    </row>
    <row r="157" spans="1:20" x14ac:dyDescent="0.3">
      <c r="A157" t="s">
        <v>507</v>
      </c>
      <c r="B157">
        <v>45627</v>
      </c>
      <c r="C157" t="s">
        <v>508</v>
      </c>
      <c r="D157" t="s">
        <v>509</v>
      </c>
      <c r="E157" t="s">
        <v>77</v>
      </c>
      <c r="F157">
        <v>23</v>
      </c>
      <c r="G157" t="s">
        <v>165</v>
      </c>
      <c r="H157" s="14" t="s">
        <v>166</v>
      </c>
      <c r="I157" s="14" t="s">
        <v>107</v>
      </c>
      <c r="J157" s="14" t="s">
        <v>108</v>
      </c>
      <c r="K157" s="14" t="s">
        <v>87</v>
      </c>
      <c r="L157" s="14" t="s">
        <v>88</v>
      </c>
      <c r="M157" s="14">
        <v>1</v>
      </c>
      <c r="N157" s="14">
        <v>719.1</v>
      </c>
      <c r="O157" s="14">
        <v>420</v>
      </c>
      <c r="P157" s="14">
        <v>10</v>
      </c>
      <c r="Q157" s="14" t="s">
        <v>30</v>
      </c>
      <c r="R157" s="14" t="s">
        <v>42</v>
      </c>
      <c r="S157" s="14">
        <v>45634</v>
      </c>
      <c r="T157" s="14">
        <v>4</v>
      </c>
    </row>
    <row r="158" spans="1:20" x14ac:dyDescent="0.3">
      <c r="A158" t="s">
        <v>510</v>
      </c>
      <c r="B158">
        <v>45298</v>
      </c>
      <c r="C158" t="s">
        <v>511</v>
      </c>
      <c r="D158" t="s">
        <v>512</v>
      </c>
      <c r="E158" t="s">
        <v>23</v>
      </c>
      <c r="F158">
        <v>53</v>
      </c>
      <c r="G158" t="s">
        <v>165</v>
      </c>
      <c r="H158" s="14" t="s">
        <v>166</v>
      </c>
      <c r="I158" s="14" t="s">
        <v>304</v>
      </c>
      <c r="J158" s="14" t="s">
        <v>305</v>
      </c>
      <c r="K158" s="14" t="s">
        <v>28</v>
      </c>
      <c r="L158" s="14" t="s">
        <v>231</v>
      </c>
      <c r="M158" s="14">
        <v>4</v>
      </c>
      <c r="N158" s="14">
        <v>5756.8</v>
      </c>
      <c r="O158" s="14">
        <v>4320</v>
      </c>
      <c r="P158" s="14">
        <v>20</v>
      </c>
      <c r="Q158" s="14" t="s">
        <v>41</v>
      </c>
      <c r="R158" s="14" t="s">
        <v>42</v>
      </c>
      <c r="S158" s="14">
        <v>45309</v>
      </c>
      <c r="T158" s="14">
        <v>2</v>
      </c>
    </row>
    <row r="159" spans="1:20" x14ac:dyDescent="0.3">
      <c r="A159" t="s">
        <v>513</v>
      </c>
      <c r="B159">
        <v>45559</v>
      </c>
      <c r="C159" t="s">
        <v>514</v>
      </c>
      <c r="D159" t="s">
        <v>515</v>
      </c>
      <c r="E159" t="s">
        <v>23</v>
      </c>
      <c r="F159">
        <v>37</v>
      </c>
      <c r="G159" t="s">
        <v>90</v>
      </c>
      <c r="H159" s="14" t="s">
        <v>91</v>
      </c>
      <c r="I159" s="14" t="s">
        <v>26</v>
      </c>
      <c r="J159" s="14" t="s">
        <v>27</v>
      </c>
      <c r="K159" s="14" t="s">
        <v>28</v>
      </c>
      <c r="L159" s="14" t="s">
        <v>29</v>
      </c>
      <c r="M159" s="14">
        <v>1</v>
      </c>
      <c r="N159" s="14">
        <v>779.4</v>
      </c>
      <c r="O159" s="14">
        <v>790</v>
      </c>
      <c r="P159" s="14">
        <v>40</v>
      </c>
      <c r="Q159" s="14" t="s">
        <v>41</v>
      </c>
      <c r="R159" s="14" t="s">
        <v>42</v>
      </c>
      <c r="S159" s="14">
        <v>45567</v>
      </c>
      <c r="T159" s="14">
        <v>4</v>
      </c>
    </row>
    <row r="160" spans="1:20" x14ac:dyDescent="0.3">
      <c r="A160" t="s">
        <v>516</v>
      </c>
      <c r="B160">
        <v>45998</v>
      </c>
      <c r="C160" t="s">
        <v>517</v>
      </c>
      <c r="D160" t="s">
        <v>518</v>
      </c>
      <c r="E160" t="s">
        <v>23</v>
      </c>
      <c r="F160">
        <v>38</v>
      </c>
      <c r="G160" t="s">
        <v>35</v>
      </c>
      <c r="H160" s="14" t="s">
        <v>36</v>
      </c>
      <c r="I160" s="14" t="s">
        <v>245</v>
      </c>
      <c r="J160" s="14" t="s">
        <v>246</v>
      </c>
      <c r="K160" s="14" t="s">
        <v>130</v>
      </c>
      <c r="L160" s="14" t="s">
        <v>247</v>
      </c>
      <c r="M160" s="14">
        <v>5</v>
      </c>
      <c r="N160" s="14">
        <v>10620.75</v>
      </c>
      <c r="O160" s="14">
        <v>9350</v>
      </c>
      <c r="P160" s="14">
        <v>15</v>
      </c>
      <c r="Q160" s="14" t="s">
        <v>30</v>
      </c>
      <c r="R160" s="14" t="s">
        <v>42</v>
      </c>
      <c r="S160" s="14">
        <v>46007</v>
      </c>
      <c r="T160" s="14">
        <v>3</v>
      </c>
    </row>
    <row r="161" spans="1:20" x14ac:dyDescent="0.3">
      <c r="A161" t="s">
        <v>519</v>
      </c>
      <c r="B161">
        <v>45757</v>
      </c>
      <c r="C161" t="s">
        <v>520</v>
      </c>
      <c r="D161" t="s">
        <v>506</v>
      </c>
      <c r="E161" t="s">
        <v>77</v>
      </c>
      <c r="F161">
        <v>36</v>
      </c>
      <c r="G161" t="s">
        <v>122</v>
      </c>
      <c r="H161" s="14" t="s">
        <v>123</v>
      </c>
      <c r="I161" s="14" t="s">
        <v>85</v>
      </c>
      <c r="J161" s="14" t="s">
        <v>86</v>
      </c>
      <c r="K161" s="14" t="s">
        <v>87</v>
      </c>
      <c r="L161" s="14" t="s">
        <v>88</v>
      </c>
      <c r="M161" s="14">
        <v>5</v>
      </c>
      <c r="N161" s="14">
        <v>4197</v>
      </c>
      <c r="O161" s="14">
        <v>3950</v>
      </c>
      <c r="P161" s="14">
        <v>40</v>
      </c>
      <c r="Q161" s="14" t="s">
        <v>50</v>
      </c>
      <c r="R161" s="14" t="s">
        <v>57</v>
      </c>
      <c r="S161" s="14">
        <v>45769</v>
      </c>
      <c r="T161" s="14">
        <v>4</v>
      </c>
    </row>
    <row r="162" spans="1:20" x14ac:dyDescent="0.3">
      <c r="A162" t="s">
        <v>521</v>
      </c>
      <c r="B162">
        <v>45545</v>
      </c>
      <c r="C162" t="s">
        <v>297</v>
      </c>
      <c r="D162" t="s">
        <v>298</v>
      </c>
      <c r="E162" t="s">
        <v>77</v>
      </c>
      <c r="F162">
        <v>55</v>
      </c>
      <c r="G162" t="s">
        <v>61</v>
      </c>
      <c r="H162" s="14" t="s">
        <v>62</v>
      </c>
      <c r="I162" s="14" t="s">
        <v>112</v>
      </c>
      <c r="J162" s="14" t="s">
        <v>113</v>
      </c>
      <c r="K162" s="14" t="s">
        <v>114</v>
      </c>
      <c r="L162" s="14" t="s">
        <v>115</v>
      </c>
      <c r="M162" s="14">
        <v>3</v>
      </c>
      <c r="N162" s="14">
        <v>1992.15</v>
      </c>
      <c r="O162" s="14">
        <v>1110</v>
      </c>
      <c r="P162" s="14">
        <v>5</v>
      </c>
      <c r="Q162" s="14" t="s">
        <v>50</v>
      </c>
      <c r="R162" s="14" t="s">
        <v>42</v>
      </c>
      <c r="S162" s="14">
        <v>45547</v>
      </c>
      <c r="T162" s="14">
        <v>4</v>
      </c>
    </row>
    <row r="163" spans="1:20" x14ac:dyDescent="0.3">
      <c r="A163" t="s">
        <v>522</v>
      </c>
      <c r="B163">
        <v>45878</v>
      </c>
      <c r="C163" t="s">
        <v>523</v>
      </c>
      <c r="D163" t="s">
        <v>524</v>
      </c>
      <c r="E163" t="s">
        <v>77</v>
      </c>
      <c r="F163">
        <v>49</v>
      </c>
      <c r="G163" t="s">
        <v>173</v>
      </c>
      <c r="H163" s="14" t="s">
        <v>79</v>
      </c>
      <c r="I163" s="14" t="s">
        <v>319</v>
      </c>
      <c r="J163" s="14" t="s">
        <v>320</v>
      </c>
      <c r="K163" s="14" t="s">
        <v>28</v>
      </c>
      <c r="L163" s="14" t="s">
        <v>29</v>
      </c>
      <c r="M163" s="14">
        <v>3</v>
      </c>
      <c r="N163" s="14">
        <v>2158.1999999999998</v>
      </c>
      <c r="O163" s="14">
        <v>2130</v>
      </c>
      <c r="P163" s="14">
        <v>40</v>
      </c>
      <c r="Q163" s="14" t="s">
        <v>73</v>
      </c>
      <c r="R163" s="14" t="s">
        <v>31</v>
      </c>
      <c r="S163" s="14">
        <v>45883</v>
      </c>
      <c r="T163" s="14">
        <v>5</v>
      </c>
    </row>
    <row r="164" spans="1:20" x14ac:dyDescent="0.3">
      <c r="A164" t="s">
        <v>525</v>
      </c>
      <c r="B164">
        <v>45385</v>
      </c>
      <c r="C164" t="s">
        <v>526</v>
      </c>
      <c r="D164" t="s">
        <v>488</v>
      </c>
      <c r="E164" t="s">
        <v>77</v>
      </c>
      <c r="F164">
        <v>41</v>
      </c>
      <c r="G164" t="s">
        <v>61</v>
      </c>
      <c r="H164" s="14" t="s">
        <v>62</v>
      </c>
      <c r="I164" s="14" t="s">
        <v>26</v>
      </c>
      <c r="J164" s="14" t="s">
        <v>27</v>
      </c>
      <c r="K164" s="14" t="s">
        <v>28</v>
      </c>
      <c r="L164" s="14" t="s">
        <v>29</v>
      </c>
      <c r="M164" s="14">
        <v>4</v>
      </c>
      <c r="N164" s="14">
        <v>4676.3999999999996</v>
      </c>
      <c r="O164" s="14">
        <v>3160</v>
      </c>
      <c r="P164" s="14">
        <v>10</v>
      </c>
      <c r="Q164" s="14" t="s">
        <v>50</v>
      </c>
      <c r="R164" s="14" t="s">
        <v>42</v>
      </c>
      <c r="S164" s="14">
        <v>45394</v>
      </c>
      <c r="T164" s="14">
        <v>2</v>
      </c>
    </row>
    <row r="165" spans="1:20" x14ac:dyDescent="0.3">
      <c r="A165" t="s">
        <v>527</v>
      </c>
      <c r="B165">
        <v>45864</v>
      </c>
      <c r="C165" t="s">
        <v>146</v>
      </c>
      <c r="D165" t="s">
        <v>147</v>
      </c>
      <c r="E165" t="s">
        <v>23</v>
      </c>
      <c r="F165">
        <v>45</v>
      </c>
      <c r="G165" t="s">
        <v>35</v>
      </c>
      <c r="H165" s="14" t="s">
        <v>36</v>
      </c>
      <c r="I165" s="14" t="s">
        <v>177</v>
      </c>
      <c r="J165" s="14" t="s">
        <v>178</v>
      </c>
      <c r="K165" s="14" t="s">
        <v>87</v>
      </c>
      <c r="L165" s="14" t="s">
        <v>179</v>
      </c>
      <c r="M165" s="14">
        <v>1</v>
      </c>
      <c r="N165" s="14">
        <v>1749.3</v>
      </c>
      <c r="O165" s="14">
        <v>1620</v>
      </c>
      <c r="P165" s="14">
        <v>30</v>
      </c>
      <c r="Q165" s="14" t="s">
        <v>41</v>
      </c>
      <c r="R165" s="14" t="s">
        <v>57</v>
      </c>
      <c r="S165" s="14">
        <v>45866</v>
      </c>
      <c r="T165" s="14">
        <v>4</v>
      </c>
    </row>
    <row r="166" spans="1:20" x14ac:dyDescent="0.3">
      <c r="A166" t="s">
        <v>528</v>
      </c>
      <c r="B166">
        <v>45884</v>
      </c>
      <c r="C166" t="s">
        <v>462</v>
      </c>
      <c r="D166" t="s">
        <v>76</v>
      </c>
      <c r="E166" t="s">
        <v>77</v>
      </c>
      <c r="F166">
        <v>43</v>
      </c>
      <c r="G166" t="s">
        <v>24</v>
      </c>
      <c r="H166" s="14" t="s">
        <v>25</v>
      </c>
      <c r="I166" s="14" t="s">
        <v>134</v>
      </c>
      <c r="J166" s="14" t="s">
        <v>135</v>
      </c>
      <c r="K166" s="14" t="s">
        <v>39</v>
      </c>
      <c r="L166" s="14" t="s">
        <v>136</v>
      </c>
      <c r="M166" s="14">
        <v>3</v>
      </c>
      <c r="N166" s="14">
        <v>567.15</v>
      </c>
      <c r="O166" s="14">
        <v>270</v>
      </c>
      <c r="P166" s="14">
        <v>5</v>
      </c>
      <c r="Q166" s="14" t="s">
        <v>50</v>
      </c>
      <c r="R166" s="14" t="s">
        <v>42</v>
      </c>
      <c r="S166" s="14">
        <v>45887</v>
      </c>
      <c r="T166" s="14">
        <v>5</v>
      </c>
    </row>
    <row r="167" spans="1:20" x14ac:dyDescent="0.3">
      <c r="A167" t="s">
        <v>529</v>
      </c>
      <c r="B167">
        <v>45324</v>
      </c>
      <c r="C167" t="s">
        <v>422</v>
      </c>
      <c r="D167" t="s">
        <v>367</v>
      </c>
      <c r="E167" t="s">
        <v>77</v>
      </c>
      <c r="F167">
        <v>41</v>
      </c>
      <c r="G167" t="s">
        <v>122</v>
      </c>
      <c r="H167" s="14" t="s">
        <v>123</v>
      </c>
      <c r="I167" s="14" t="s">
        <v>319</v>
      </c>
      <c r="J167" s="14" t="s">
        <v>320</v>
      </c>
      <c r="K167" s="14" t="s">
        <v>28</v>
      </c>
      <c r="L167" s="14" t="s">
        <v>29</v>
      </c>
      <c r="M167" s="14">
        <v>2</v>
      </c>
      <c r="N167" s="14">
        <v>1678.6</v>
      </c>
      <c r="O167" s="14">
        <v>1420</v>
      </c>
      <c r="P167" s="14">
        <v>30</v>
      </c>
      <c r="Q167" s="14" t="s">
        <v>41</v>
      </c>
      <c r="R167" s="14" t="s">
        <v>42</v>
      </c>
      <c r="S167" s="14">
        <v>45333</v>
      </c>
      <c r="T167" s="14">
        <v>5</v>
      </c>
    </row>
    <row r="168" spans="1:20" x14ac:dyDescent="0.3">
      <c r="A168" t="s">
        <v>530</v>
      </c>
      <c r="B168">
        <v>45676</v>
      </c>
      <c r="C168" t="s">
        <v>297</v>
      </c>
      <c r="D168" t="s">
        <v>298</v>
      </c>
      <c r="E168" t="s">
        <v>77</v>
      </c>
      <c r="F168">
        <v>55</v>
      </c>
      <c r="H168" s="14" t="s">
        <v>79</v>
      </c>
      <c r="I168" s="14" t="s">
        <v>92</v>
      </c>
      <c r="J168" s="14" t="s">
        <v>93</v>
      </c>
      <c r="K168" s="14" t="s">
        <v>87</v>
      </c>
      <c r="L168" s="14" t="s">
        <v>94</v>
      </c>
      <c r="M168" s="14">
        <v>3</v>
      </c>
      <c r="N168" s="14">
        <v>4557.1499999999996</v>
      </c>
      <c r="O168" s="14">
        <v>2790</v>
      </c>
      <c r="P168" s="14">
        <v>5</v>
      </c>
      <c r="Q168" s="14" t="s">
        <v>30</v>
      </c>
      <c r="R168" s="14" t="s">
        <v>65</v>
      </c>
    </row>
    <row r="169" spans="1:20" x14ac:dyDescent="0.3">
      <c r="A169" t="s">
        <v>531</v>
      </c>
      <c r="B169">
        <v>45694</v>
      </c>
      <c r="C169" t="s">
        <v>532</v>
      </c>
      <c r="D169" t="s">
        <v>355</v>
      </c>
      <c r="E169" t="s">
        <v>77</v>
      </c>
      <c r="F169">
        <v>33</v>
      </c>
      <c r="G169" t="s">
        <v>173</v>
      </c>
      <c r="H169" s="14" t="s">
        <v>79</v>
      </c>
      <c r="I169" s="14" t="s">
        <v>177</v>
      </c>
      <c r="J169" s="14" t="s">
        <v>178</v>
      </c>
      <c r="K169" s="14" t="s">
        <v>87</v>
      </c>
      <c r="L169" s="14" t="s">
        <v>179</v>
      </c>
      <c r="M169" s="14">
        <v>2</v>
      </c>
      <c r="N169" s="14">
        <v>4998</v>
      </c>
      <c r="O169" s="14">
        <v>3240</v>
      </c>
      <c r="P169" s="14">
        <v>0</v>
      </c>
      <c r="Q169" s="14" t="s">
        <v>73</v>
      </c>
      <c r="R169" s="14" t="s">
        <v>42</v>
      </c>
      <c r="S169" s="14">
        <v>45703</v>
      </c>
      <c r="T169" s="14">
        <v>5</v>
      </c>
    </row>
    <row r="170" spans="1:20" x14ac:dyDescent="0.3">
      <c r="A170" t="s">
        <v>533</v>
      </c>
      <c r="B170">
        <v>45836</v>
      </c>
      <c r="C170" t="s">
        <v>59</v>
      </c>
      <c r="D170" t="s">
        <v>60</v>
      </c>
      <c r="E170" t="s">
        <v>23</v>
      </c>
      <c r="F170">
        <v>37</v>
      </c>
      <c r="G170" t="s">
        <v>90</v>
      </c>
      <c r="H170" s="14" t="s">
        <v>91</v>
      </c>
      <c r="I170" s="14" t="s">
        <v>304</v>
      </c>
      <c r="J170" s="14" t="s">
        <v>305</v>
      </c>
      <c r="K170" s="14" t="s">
        <v>28</v>
      </c>
      <c r="L170" s="14" t="s">
        <v>231</v>
      </c>
      <c r="M170" s="14">
        <v>4</v>
      </c>
      <c r="N170" s="14">
        <v>5397</v>
      </c>
      <c r="O170" s="14">
        <v>4320</v>
      </c>
      <c r="P170" s="14">
        <v>25</v>
      </c>
      <c r="Q170" s="14" t="s">
        <v>30</v>
      </c>
      <c r="R170" s="14" t="s">
        <v>42</v>
      </c>
      <c r="S170" s="14">
        <v>45841</v>
      </c>
      <c r="T170" s="14">
        <v>3</v>
      </c>
    </row>
    <row r="171" spans="1:20" x14ac:dyDescent="0.3">
      <c r="A171" t="s">
        <v>534</v>
      </c>
      <c r="B171">
        <v>45324</v>
      </c>
      <c r="C171" t="s">
        <v>535</v>
      </c>
      <c r="D171" t="s">
        <v>536</v>
      </c>
      <c r="E171" t="s">
        <v>77</v>
      </c>
      <c r="F171">
        <v>22</v>
      </c>
      <c r="G171" t="s">
        <v>161</v>
      </c>
      <c r="H171" s="14" t="s">
        <v>25</v>
      </c>
      <c r="I171" s="14" t="s">
        <v>304</v>
      </c>
      <c r="J171" s="14" t="s">
        <v>305</v>
      </c>
      <c r="K171" s="14" t="s">
        <v>28</v>
      </c>
      <c r="L171" s="14" t="s">
        <v>231</v>
      </c>
      <c r="M171" s="14">
        <v>2</v>
      </c>
      <c r="N171" s="14">
        <v>3418.1</v>
      </c>
      <c r="O171" s="14">
        <v>2160</v>
      </c>
      <c r="P171" s="14">
        <v>5</v>
      </c>
      <c r="Q171" s="14" t="s">
        <v>73</v>
      </c>
      <c r="R171" s="14" t="s">
        <v>65</v>
      </c>
    </row>
    <row r="172" spans="1:20" x14ac:dyDescent="0.3">
      <c r="A172" t="s">
        <v>537</v>
      </c>
      <c r="B172">
        <v>45326</v>
      </c>
      <c r="C172" t="s">
        <v>538</v>
      </c>
      <c r="D172" t="s">
        <v>539</v>
      </c>
      <c r="E172" t="s">
        <v>23</v>
      </c>
      <c r="F172">
        <v>49</v>
      </c>
      <c r="G172" t="s">
        <v>24</v>
      </c>
      <c r="H172" s="14" t="s">
        <v>25</v>
      </c>
      <c r="I172" s="14" t="s">
        <v>304</v>
      </c>
      <c r="J172" s="14" t="s">
        <v>305</v>
      </c>
      <c r="K172" s="14" t="s">
        <v>28</v>
      </c>
      <c r="L172" s="14" t="s">
        <v>231</v>
      </c>
      <c r="M172" s="14">
        <v>1</v>
      </c>
      <c r="N172" s="14">
        <v>1259.3</v>
      </c>
      <c r="O172" s="14">
        <v>1080</v>
      </c>
      <c r="P172" s="14">
        <v>30</v>
      </c>
      <c r="Q172" s="14" t="s">
        <v>103</v>
      </c>
      <c r="R172" s="14" t="s">
        <v>42</v>
      </c>
      <c r="S172" s="14">
        <v>45336</v>
      </c>
      <c r="T172" s="14">
        <v>4</v>
      </c>
    </row>
    <row r="173" spans="1:20" x14ac:dyDescent="0.3">
      <c r="A173" t="s">
        <v>540</v>
      </c>
      <c r="B173">
        <v>45349</v>
      </c>
      <c r="C173" t="s">
        <v>379</v>
      </c>
      <c r="D173" t="s">
        <v>380</v>
      </c>
      <c r="E173" t="s">
        <v>77</v>
      </c>
      <c r="F173">
        <v>41</v>
      </c>
      <c r="G173" t="s">
        <v>35</v>
      </c>
      <c r="H173" s="14" t="s">
        <v>36</v>
      </c>
      <c r="I173" s="14" t="s">
        <v>304</v>
      </c>
      <c r="J173" s="14" t="s">
        <v>305</v>
      </c>
      <c r="K173" s="14" t="s">
        <v>28</v>
      </c>
      <c r="L173" s="14" t="s">
        <v>231</v>
      </c>
      <c r="M173" s="14">
        <v>5</v>
      </c>
      <c r="N173" s="14">
        <v>6746.25</v>
      </c>
      <c r="O173" s="14">
        <v>5400</v>
      </c>
      <c r="P173" s="14">
        <v>25</v>
      </c>
      <c r="Q173" s="14" t="s">
        <v>50</v>
      </c>
      <c r="R173" s="14" t="s">
        <v>65</v>
      </c>
    </row>
    <row r="174" spans="1:20" x14ac:dyDescent="0.3">
      <c r="A174" t="s">
        <v>541</v>
      </c>
      <c r="B174">
        <v>45980</v>
      </c>
      <c r="C174" t="s">
        <v>269</v>
      </c>
      <c r="D174" t="s">
        <v>270</v>
      </c>
      <c r="E174" t="s">
        <v>77</v>
      </c>
      <c r="F174">
        <v>43</v>
      </c>
      <c r="G174" t="s">
        <v>90</v>
      </c>
      <c r="H174" s="14" t="s">
        <v>91</v>
      </c>
      <c r="I174" s="14" t="s">
        <v>143</v>
      </c>
      <c r="J174" s="14" t="s">
        <v>144</v>
      </c>
      <c r="K174" s="14" t="s">
        <v>130</v>
      </c>
      <c r="L174" s="14" t="s">
        <v>131</v>
      </c>
      <c r="M174" s="14">
        <v>2</v>
      </c>
      <c r="N174" s="14">
        <v>9348.2999999999993</v>
      </c>
      <c r="O174" s="14">
        <v>8600</v>
      </c>
      <c r="P174" s="14">
        <v>15</v>
      </c>
      <c r="Q174" s="14" t="s">
        <v>103</v>
      </c>
      <c r="R174" s="14" t="s">
        <v>42</v>
      </c>
      <c r="S174" s="14">
        <v>45986</v>
      </c>
      <c r="T174" s="14">
        <v>2</v>
      </c>
    </row>
    <row r="175" spans="1:20" x14ac:dyDescent="0.3">
      <c r="A175" t="s">
        <v>542</v>
      </c>
      <c r="B175">
        <v>45862</v>
      </c>
      <c r="C175" t="s">
        <v>110</v>
      </c>
      <c r="D175" t="s">
        <v>111</v>
      </c>
      <c r="E175" t="s">
        <v>23</v>
      </c>
      <c r="F175">
        <v>39</v>
      </c>
      <c r="G175" t="s">
        <v>122</v>
      </c>
      <c r="H175" s="14" t="s">
        <v>123</v>
      </c>
      <c r="I175" s="14" t="s">
        <v>222</v>
      </c>
      <c r="J175" s="14" t="s">
        <v>223</v>
      </c>
      <c r="K175" s="14" t="s">
        <v>114</v>
      </c>
      <c r="L175" s="14" t="s">
        <v>115</v>
      </c>
      <c r="M175" s="14">
        <v>4</v>
      </c>
      <c r="N175" s="14">
        <v>3596</v>
      </c>
      <c r="O175" s="14">
        <v>2040</v>
      </c>
      <c r="P175" s="14">
        <v>0</v>
      </c>
      <c r="Q175" s="14" t="s">
        <v>41</v>
      </c>
      <c r="R175" s="14" t="s">
        <v>31</v>
      </c>
      <c r="S175" s="14">
        <v>45874</v>
      </c>
      <c r="T175" s="14">
        <v>5</v>
      </c>
    </row>
    <row r="176" spans="1:20" x14ac:dyDescent="0.3">
      <c r="A176" t="s">
        <v>543</v>
      </c>
      <c r="B176">
        <v>45829</v>
      </c>
      <c r="C176" t="s">
        <v>424</v>
      </c>
      <c r="D176" t="s">
        <v>273</v>
      </c>
      <c r="E176" t="s">
        <v>23</v>
      </c>
      <c r="F176">
        <v>40</v>
      </c>
      <c r="G176" t="s">
        <v>122</v>
      </c>
      <c r="H176" s="14" t="s">
        <v>123</v>
      </c>
      <c r="I176" s="14" t="s">
        <v>134</v>
      </c>
      <c r="J176" s="14" t="s">
        <v>135</v>
      </c>
      <c r="K176" s="14" t="s">
        <v>39</v>
      </c>
      <c r="L176" s="14" t="s">
        <v>136</v>
      </c>
      <c r="M176" s="14">
        <v>2</v>
      </c>
      <c r="N176" s="14">
        <v>318.39999999999998</v>
      </c>
      <c r="O176" s="14">
        <v>180</v>
      </c>
      <c r="P176" s="14">
        <v>20</v>
      </c>
      <c r="Q176" s="14" t="s">
        <v>103</v>
      </c>
      <c r="R176" s="14" t="s">
        <v>42</v>
      </c>
      <c r="S176" s="14">
        <v>45839</v>
      </c>
      <c r="T176" s="14">
        <v>5</v>
      </c>
    </row>
    <row r="177" spans="1:20" x14ac:dyDescent="0.3">
      <c r="A177" t="s">
        <v>544</v>
      </c>
      <c r="B177">
        <v>45538</v>
      </c>
      <c r="C177" t="s">
        <v>357</v>
      </c>
      <c r="D177" t="s">
        <v>358</v>
      </c>
      <c r="E177" t="s">
        <v>23</v>
      </c>
      <c r="F177">
        <v>23</v>
      </c>
      <c r="G177" t="s">
        <v>35</v>
      </c>
      <c r="H177" s="14" t="s">
        <v>36</v>
      </c>
      <c r="I177" s="14" t="s">
        <v>85</v>
      </c>
      <c r="J177" s="14" t="s">
        <v>86</v>
      </c>
      <c r="K177" s="14" t="s">
        <v>87</v>
      </c>
      <c r="L177" s="14" t="s">
        <v>88</v>
      </c>
      <c r="M177" s="14">
        <v>2</v>
      </c>
      <c r="N177" s="14">
        <v>1678.8</v>
      </c>
      <c r="O177" s="14">
        <v>1580</v>
      </c>
      <c r="P177" s="14">
        <v>40</v>
      </c>
      <c r="Q177" s="14" t="s">
        <v>73</v>
      </c>
      <c r="R177" s="14" t="s">
        <v>65</v>
      </c>
    </row>
    <row r="178" spans="1:20" x14ac:dyDescent="0.3">
      <c r="A178" t="s">
        <v>545</v>
      </c>
      <c r="B178">
        <v>45714</v>
      </c>
      <c r="C178" t="s">
        <v>546</v>
      </c>
      <c r="D178" t="s">
        <v>547</v>
      </c>
      <c r="E178" t="s">
        <v>77</v>
      </c>
      <c r="F178">
        <v>33</v>
      </c>
      <c r="G178" t="s">
        <v>173</v>
      </c>
      <c r="H178" s="14" t="s">
        <v>79</v>
      </c>
      <c r="I178" s="14" t="s">
        <v>47</v>
      </c>
      <c r="J178" s="14" t="s">
        <v>48</v>
      </c>
      <c r="K178" s="14" t="s">
        <v>39</v>
      </c>
      <c r="L178" s="14" t="s">
        <v>49</v>
      </c>
      <c r="M178" s="14">
        <v>2</v>
      </c>
      <c r="N178" s="14">
        <v>638.4</v>
      </c>
      <c r="O178" s="14">
        <v>420</v>
      </c>
      <c r="P178" s="14">
        <v>20</v>
      </c>
      <c r="Q178" s="14" t="s">
        <v>30</v>
      </c>
      <c r="R178" s="14" t="s">
        <v>42</v>
      </c>
      <c r="S178" s="14">
        <v>45726</v>
      </c>
      <c r="T178" s="14">
        <v>3</v>
      </c>
    </row>
    <row r="179" spans="1:20" x14ac:dyDescent="0.3">
      <c r="A179" t="s">
        <v>548</v>
      </c>
      <c r="B179">
        <v>45752</v>
      </c>
      <c r="C179" t="s">
        <v>294</v>
      </c>
      <c r="D179" t="s">
        <v>295</v>
      </c>
      <c r="E179" t="s">
        <v>77</v>
      </c>
      <c r="F179">
        <v>31</v>
      </c>
      <c r="G179" t="s">
        <v>46</v>
      </c>
      <c r="H179" s="14" t="s">
        <v>25</v>
      </c>
      <c r="I179" s="14" t="s">
        <v>222</v>
      </c>
      <c r="J179" s="14" t="s">
        <v>223</v>
      </c>
      <c r="K179" s="14" t="s">
        <v>114</v>
      </c>
      <c r="L179" s="14" t="s">
        <v>115</v>
      </c>
      <c r="M179" s="14">
        <v>2</v>
      </c>
      <c r="N179" s="14">
        <v>1798</v>
      </c>
      <c r="O179" s="14">
        <v>1020</v>
      </c>
      <c r="P179" s="14">
        <v>0</v>
      </c>
      <c r="Q179" s="14" t="s">
        <v>41</v>
      </c>
      <c r="R179" s="14" t="s">
        <v>42</v>
      </c>
      <c r="S179" s="14">
        <v>45764</v>
      </c>
      <c r="T179" s="14">
        <v>2</v>
      </c>
    </row>
    <row r="180" spans="1:20" x14ac:dyDescent="0.3">
      <c r="A180" t="s">
        <v>549</v>
      </c>
      <c r="B180">
        <v>45366</v>
      </c>
      <c r="C180" t="s">
        <v>550</v>
      </c>
      <c r="D180" t="s">
        <v>482</v>
      </c>
      <c r="E180" t="s">
        <v>23</v>
      </c>
      <c r="F180">
        <v>33</v>
      </c>
      <c r="G180" t="s">
        <v>154</v>
      </c>
      <c r="H180" s="14" t="s">
        <v>91</v>
      </c>
      <c r="I180" s="14" t="s">
        <v>37</v>
      </c>
      <c r="J180" s="14" t="s">
        <v>38</v>
      </c>
      <c r="K180" s="14" t="s">
        <v>39</v>
      </c>
      <c r="L180" s="14" t="s">
        <v>40</v>
      </c>
      <c r="M180" s="14">
        <v>2</v>
      </c>
      <c r="N180" s="14">
        <v>1348.5</v>
      </c>
      <c r="O180" s="14">
        <v>1040</v>
      </c>
      <c r="P180" s="14">
        <v>25</v>
      </c>
      <c r="Q180" s="14" t="s">
        <v>41</v>
      </c>
      <c r="R180" s="14" t="s">
        <v>42</v>
      </c>
      <c r="S180" s="14">
        <v>45371</v>
      </c>
      <c r="T180" s="14">
        <v>4</v>
      </c>
    </row>
    <row r="181" spans="1:20" x14ac:dyDescent="0.3">
      <c r="A181" t="s">
        <v>551</v>
      </c>
      <c r="B181">
        <v>45412</v>
      </c>
      <c r="C181" t="s">
        <v>431</v>
      </c>
      <c r="D181" t="s">
        <v>432</v>
      </c>
      <c r="E181" t="s">
        <v>77</v>
      </c>
      <c r="F181">
        <v>19</v>
      </c>
      <c r="G181" t="s">
        <v>90</v>
      </c>
      <c r="H181" s="14" t="s">
        <v>91</v>
      </c>
      <c r="I181" s="14" t="s">
        <v>85</v>
      </c>
      <c r="J181" s="14" t="s">
        <v>86</v>
      </c>
      <c r="K181" s="14" t="s">
        <v>87</v>
      </c>
      <c r="L181" s="14" t="s">
        <v>88</v>
      </c>
      <c r="M181" s="14">
        <v>5</v>
      </c>
      <c r="N181" s="14">
        <v>5945.75</v>
      </c>
      <c r="O181" s="14">
        <v>3950</v>
      </c>
      <c r="P181" s="14">
        <v>15</v>
      </c>
      <c r="Q181" s="14" t="s">
        <v>103</v>
      </c>
      <c r="R181" s="14" t="s">
        <v>42</v>
      </c>
      <c r="S181" s="14">
        <v>45422</v>
      </c>
      <c r="T181" s="14">
        <v>4</v>
      </c>
    </row>
    <row r="182" spans="1:20" x14ac:dyDescent="0.3">
      <c r="A182" t="s">
        <v>552</v>
      </c>
      <c r="B182">
        <v>45581</v>
      </c>
      <c r="C182" t="s">
        <v>59</v>
      </c>
      <c r="D182" t="s">
        <v>60</v>
      </c>
      <c r="E182" t="s">
        <v>23</v>
      </c>
      <c r="F182">
        <v>15</v>
      </c>
      <c r="G182" t="s">
        <v>61</v>
      </c>
      <c r="H182" s="14" t="s">
        <v>62</v>
      </c>
      <c r="I182" s="14" t="s">
        <v>222</v>
      </c>
      <c r="J182" s="14" t="s">
        <v>223</v>
      </c>
      <c r="K182" s="14" t="s">
        <v>114</v>
      </c>
      <c r="L182" s="14" t="s">
        <v>115</v>
      </c>
      <c r="M182" s="14">
        <v>3</v>
      </c>
      <c r="N182" s="14">
        <v>2157.6</v>
      </c>
      <c r="O182" s="14">
        <v>1530</v>
      </c>
      <c r="P182" s="14">
        <v>20</v>
      </c>
      <c r="Q182" s="14" t="s">
        <v>41</v>
      </c>
      <c r="R182" s="14" t="s">
        <v>42</v>
      </c>
      <c r="S182" s="14">
        <v>45591</v>
      </c>
      <c r="T182" s="14">
        <v>5</v>
      </c>
    </row>
    <row r="183" spans="1:20" x14ac:dyDescent="0.3">
      <c r="A183" t="s">
        <v>553</v>
      </c>
      <c r="B183">
        <v>45769</v>
      </c>
      <c r="C183" t="s">
        <v>240</v>
      </c>
      <c r="D183" t="s">
        <v>241</v>
      </c>
      <c r="E183" t="s">
        <v>23</v>
      </c>
      <c r="F183">
        <v>25</v>
      </c>
      <c r="G183" t="s">
        <v>101</v>
      </c>
      <c r="H183" s="14" t="s">
        <v>102</v>
      </c>
      <c r="I183" s="14" t="s">
        <v>183</v>
      </c>
      <c r="J183" s="14" t="s">
        <v>184</v>
      </c>
      <c r="K183" s="14" t="s">
        <v>130</v>
      </c>
      <c r="L183" s="14" t="s">
        <v>185</v>
      </c>
      <c r="M183" s="14">
        <v>2</v>
      </c>
      <c r="N183" s="14">
        <v>5998.5</v>
      </c>
      <c r="O183" s="14">
        <v>6100</v>
      </c>
      <c r="P183" s="14">
        <v>25</v>
      </c>
      <c r="Q183" s="14" t="s">
        <v>41</v>
      </c>
      <c r="R183" s="14" t="s">
        <v>42</v>
      </c>
      <c r="S183" s="14">
        <v>45771</v>
      </c>
      <c r="T183" s="14">
        <v>4</v>
      </c>
    </row>
    <row r="184" spans="1:20" x14ac:dyDescent="0.3">
      <c r="A184" t="s">
        <v>554</v>
      </c>
      <c r="B184">
        <v>45441</v>
      </c>
      <c r="C184" t="s">
        <v>555</v>
      </c>
      <c r="D184" t="s">
        <v>556</v>
      </c>
      <c r="E184" t="s">
        <v>23</v>
      </c>
      <c r="F184">
        <v>52</v>
      </c>
      <c r="G184" t="s">
        <v>207</v>
      </c>
      <c r="H184" s="14" t="s">
        <v>36</v>
      </c>
      <c r="I184" s="14" t="s">
        <v>222</v>
      </c>
      <c r="J184" s="14" t="s">
        <v>223</v>
      </c>
      <c r="K184" s="14" t="s">
        <v>114</v>
      </c>
      <c r="L184" s="14" t="s">
        <v>115</v>
      </c>
      <c r="M184" s="14">
        <v>5</v>
      </c>
      <c r="N184" s="14">
        <v>3146.5</v>
      </c>
      <c r="O184" s="14">
        <v>2550</v>
      </c>
      <c r="P184" s="14">
        <v>30</v>
      </c>
      <c r="Q184" s="14" t="s">
        <v>41</v>
      </c>
      <c r="R184" s="14" t="s">
        <v>42</v>
      </c>
      <c r="S184" s="14">
        <v>45446</v>
      </c>
      <c r="T184" s="14">
        <v>4</v>
      </c>
    </row>
    <row r="185" spans="1:20" x14ac:dyDescent="0.3">
      <c r="A185" t="s">
        <v>557</v>
      </c>
      <c r="B185">
        <v>45527</v>
      </c>
      <c r="C185" t="s">
        <v>59</v>
      </c>
      <c r="D185" t="s">
        <v>60</v>
      </c>
      <c r="E185" t="s">
        <v>23</v>
      </c>
      <c r="F185">
        <v>37</v>
      </c>
      <c r="G185" t="s">
        <v>90</v>
      </c>
      <c r="H185" s="14" t="s">
        <v>91</v>
      </c>
      <c r="I185" s="14" t="s">
        <v>37</v>
      </c>
      <c r="J185" s="14" t="s">
        <v>38</v>
      </c>
      <c r="K185" s="14" t="s">
        <v>39</v>
      </c>
      <c r="L185" s="14" t="s">
        <v>40</v>
      </c>
      <c r="M185" s="14">
        <v>5</v>
      </c>
      <c r="N185" s="14">
        <v>3371.25</v>
      </c>
      <c r="O185" s="14">
        <v>2600</v>
      </c>
      <c r="P185" s="14">
        <v>25</v>
      </c>
      <c r="Q185" s="14" t="s">
        <v>41</v>
      </c>
      <c r="R185" s="14" t="s">
        <v>57</v>
      </c>
      <c r="S185" s="14">
        <v>45536</v>
      </c>
      <c r="T185" s="14">
        <v>5</v>
      </c>
    </row>
    <row r="186" spans="1:20" x14ac:dyDescent="0.3">
      <c r="A186" t="s">
        <v>558</v>
      </c>
      <c r="B186">
        <v>45763</v>
      </c>
      <c r="C186" t="s">
        <v>441</v>
      </c>
      <c r="D186" t="s">
        <v>442</v>
      </c>
      <c r="E186" t="s">
        <v>77</v>
      </c>
      <c r="F186">
        <v>44</v>
      </c>
      <c r="G186" t="s">
        <v>211</v>
      </c>
      <c r="H186" s="14" t="s">
        <v>127</v>
      </c>
      <c r="I186" s="14" t="s">
        <v>319</v>
      </c>
      <c r="J186" s="14" t="s">
        <v>320</v>
      </c>
      <c r="K186" s="14" t="s">
        <v>28</v>
      </c>
      <c r="L186" s="14" t="s">
        <v>29</v>
      </c>
      <c r="M186" s="14">
        <v>2</v>
      </c>
      <c r="N186" s="14">
        <v>1438.8</v>
      </c>
      <c r="O186" s="14">
        <v>1420</v>
      </c>
      <c r="P186" s="14">
        <v>40</v>
      </c>
      <c r="Q186" s="14" t="s">
        <v>30</v>
      </c>
      <c r="R186" s="14" t="s">
        <v>65</v>
      </c>
    </row>
    <row r="187" spans="1:20" x14ac:dyDescent="0.3">
      <c r="A187" t="s">
        <v>559</v>
      </c>
      <c r="B187">
        <v>45949</v>
      </c>
      <c r="C187" t="s">
        <v>67</v>
      </c>
      <c r="D187" t="s">
        <v>68</v>
      </c>
      <c r="E187" t="s">
        <v>23</v>
      </c>
      <c r="F187">
        <v>42</v>
      </c>
      <c r="G187" t="s">
        <v>24</v>
      </c>
      <c r="H187" s="14" t="s">
        <v>25</v>
      </c>
      <c r="I187" s="14" t="s">
        <v>54</v>
      </c>
      <c r="J187" s="14" t="s">
        <v>55</v>
      </c>
      <c r="K187" s="14" t="s">
        <v>28</v>
      </c>
      <c r="L187" s="14" t="s">
        <v>56</v>
      </c>
      <c r="M187" s="14">
        <v>1</v>
      </c>
      <c r="N187" s="14">
        <v>699</v>
      </c>
      <c r="O187" s="14">
        <v>410</v>
      </c>
      <c r="P187" s="14">
        <v>0</v>
      </c>
      <c r="Q187" s="14" t="s">
        <v>103</v>
      </c>
      <c r="R187" s="14" t="s">
        <v>42</v>
      </c>
      <c r="S187" s="14">
        <v>45961</v>
      </c>
      <c r="T187" s="14">
        <v>4</v>
      </c>
    </row>
    <row r="188" spans="1:20" x14ac:dyDescent="0.3">
      <c r="A188" t="s">
        <v>560</v>
      </c>
      <c r="B188">
        <v>45361</v>
      </c>
      <c r="C188" t="s">
        <v>561</v>
      </c>
      <c r="D188" t="s">
        <v>439</v>
      </c>
      <c r="E188" t="s">
        <v>23</v>
      </c>
      <c r="F188">
        <v>58</v>
      </c>
      <c r="G188" t="s">
        <v>161</v>
      </c>
      <c r="H188" s="14" t="s">
        <v>25</v>
      </c>
      <c r="I188" s="14" t="s">
        <v>70</v>
      </c>
      <c r="J188" s="14" t="s">
        <v>71</v>
      </c>
      <c r="K188" s="14" t="s">
        <v>28</v>
      </c>
      <c r="L188" s="14" t="s">
        <v>72</v>
      </c>
      <c r="M188" s="14">
        <v>5</v>
      </c>
      <c r="N188" s="14">
        <v>4497</v>
      </c>
      <c r="O188" s="14">
        <v>4600</v>
      </c>
      <c r="P188" s="14">
        <v>40</v>
      </c>
      <c r="Q188" s="14" t="s">
        <v>41</v>
      </c>
      <c r="R188" s="14" t="s">
        <v>42</v>
      </c>
      <c r="S188" s="14">
        <v>45372</v>
      </c>
      <c r="T188" s="14">
        <v>5</v>
      </c>
    </row>
    <row r="189" spans="1:20" x14ac:dyDescent="0.3">
      <c r="A189" t="s">
        <v>562</v>
      </c>
      <c r="B189">
        <v>45967</v>
      </c>
      <c r="C189" t="s">
        <v>563</v>
      </c>
      <c r="D189" t="s">
        <v>53</v>
      </c>
      <c r="E189" t="s">
        <v>23</v>
      </c>
      <c r="F189">
        <v>47</v>
      </c>
      <c r="G189" t="s">
        <v>161</v>
      </c>
      <c r="H189" s="14" t="s">
        <v>25</v>
      </c>
      <c r="I189" s="14" t="s">
        <v>80</v>
      </c>
      <c r="J189" s="14" t="s">
        <v>81</v>
      </c>
      <c r="K189" s="14" t="s">
        <v>28</v>
      </c>
      <c r="L189" s="14" t="s">
        <v>29</v>
      </c>
      <c r="M189" s="14">
        <v>5</v>
      </c>
      <c r="N189" s="14">
        <v>2796.5</v>
      </c>
      <c r="O189" s="14">
        <v>2350</v>
      </c>
      <c r="P189" s="14">
        <v>30</v>
      </c>
      <c r="Q189" s="14" t="s">
        <v>73</v>
      </c>
      <c r="R189" s="14" t="s">
        <v>42</v>
      </c>
      <c r="S189" s="14">
        <v>45977</v>
      </c>
      <c r="T189" s="14">
        <v>4</v>
      </c>
    </row>
    <row r="190" spans="1:20" x14ac:dyDescent="0.3">
      <c r="A190" t="s">
        <v>564</v>
      </c>
      <c r="B190">
        <v>45840</v>
      </c>
      <c r="C190" t="s">
        <v>422</v>
      </c>
      <c r="D190" t="s">
        <v>367</v>
      </c>
      <c r="E190" t="s">
        <v>77</v>
      </c>
      <c r="F190">
        <v>41</v>
      </c>
      <c r="G190" t="s">
        <v>161</v>
      </c>
      <c r="H190" s="14" t="s">
        <v>25</v>
      </c>
      <c r="I190" s="14" t="s">
        <v>112</v>
      </c>
      <c r="J190" s="14" t="s">
        <v>113</v>
      </c>
      <c r="K190" s="14" t="s">
        <v>114</v>
      </c>
      <c r="L190" s="14" t="s">
        <v>115</v>
      </c>
      <c r="M190" s="14">
        <v>4</v>
      </c>
      <c r="N190" s="14">
        <v>2516.4</v>
      </c>
      <c r="O190" s="14">
        <v>1480</v>
      </c>
      <c r="P190" s="14">
        <v>10</v>
      </c>
      <c r="Q190" s="14" t="s">
        <v>73</v>
      </c>
      <c r="R190" s="14" t="s">
        <v>42</v>
      </c>
      <c r="S190" s="14">
        <v>45850</v>
      </c>
      <c r="T190" s="14">
        <v>3</v>
      </c>
    </row>
    <row r="191" spans="1:20" x14ac:dyDescent="0.3">
      <c r="A191" t="s">
        <v>565</v>
      </c>
      <c r="B191">
        <v>45538</v>
      </c>
      <c r="C191" t="s">
        <v>502</v>
      </c>
      <c r="D191" t="s">
        <v>503</v>
      </c>
      <c r="E191" t="s">
        <v>77</v>
      </c>
      <c r="F191">
        <v>43</v>
      </c>
      <c r="G191" t="s">
        <v>207</v>
      </c>
      <c r="H191" s="14" t="s">
        <v>36</v>
      </c>
      <c r="I191" s="14" t="s">
        <v>245</v>
      </c>
      <c r="J191" s="14" t="s">
        <v>246</v>
      </c>
      <c r="K191" s="14" t="s">
        <v>130</v>
      </c>
      <c r="L191" s="14" t="s">
        <v>247</v>
      </c>
      <c r="M191" s="14">
        <v>3</v>
      </c>
      <c r="N191" s="14">
        <v>5247.9</v>
      </c>
      <c r="O191" s="14">
        <v>5610</v>
      </c>
      <c r="P191" s="14">
        <v>30</v>
      </c>
      <c r="Q191" s="14" t="s">
        <v>73</v>
      </c>
      <c r="R191" s="14" t="s">
        <v>42</v>
      </c>
      <c r="S191" s="14">
        <v>45546</v>
      </c>
      <c r="T191" s="14">
        <v>5</v>
      </c>
    </row>
    <row r="192" spans="1:20" x14ac:dyDescent="0.3">
      <c r="A192" t="s">
        <v>566</v>
      </c>
      <c r="B192">
        <v>45870</v>
      </c>
      <c r="C192" t="s">
        <v>567</v>
      </c>
      <c r="D192" t="s">
        <v>568</v>
      </c>
      <c r="E192" t="s">
        <v>77</v>
      </c>
      <c r="F192">
        <v>50</v>
      </c>
      <c r="G192" t="s">
        <v>90</v>
      </c>
      <c r="H192" s="14" t="s">
        <v>91</v>
      </c>
      <c r="I192" s="14" t="s">
        <v>143</v>
      </c>
      <c r="J192" s="14" t="s">
        <v>144</v>
      </c>
      <c r="K192" s="14" t="s">
        <v>130</v>
      </c>
      <c r="L192" s="14" t="s">
        <v>131</v>
      </c>
      <c r="M192" s="14">
        <v>1</v>
      </c>
      <c r="N192" s="14">
        <v>5499</v>
      </c>
      <c r="O192" s="14">
        <v>4300</v>
      </c>
      <c r="P192" s="14">
        <v>0</v>
      </c>
      <c r="Q192" s="14" t="s">
        <v>73</v>
      </c>
      <c r="R192" s="14" t="s">
        <v>42</v>
      </c>
      <c r="S192" s="14">
        <v>45878</v>
      </c>
      <c r="T192" s="14">
        <v>5</v>
      </c>
    </row>
    <row r="193" spans="1:20" x14ac:dyDescent="0.3">
      <c r="A193" t="s">
        <v>569</v>
      </c>
      <c r="B193">
        <v>45857</v>
      </c>
      <c r="C193" t="s">
        <v>340</v>
      </c>
      <c r="D193" t="s">
        <v>341</v>
      </c>
      <c r="E193" t="s">
        <v>23</v>
      </c>
      <c r="F193">
        <v>21</v>
      </c>
      <c r="G193" t="s">
        <v>24</v>
      </c>
      <c r="H193" s="14" t="s">
        <v>25</v>
      </c>
      <c r="I193" s="14" t="s">
        <v>92</v>
      </c>
      <c r="J193" s="14" t="s">
        <v>93</v>
      </c>
      <c r="K193" s="14" t="s">
        <v>87</v>
      </c>
      <c r="L193" s="14" t="s">
        <v>94</v>
      </c>
      <c r="M193" s="14">
        <v>1</v>
      </c>
      <c r="N193" s="14">
        <v>1439.1</v>
      </c>
      <c r="O193" s="14">
        <v>930</v>
      </c>
      <c r="P193" s="14">
        <v>10</v>
      </c>
      <c r="Q193" s="14" t="s">
        <v>73</v>
      </c>
      <c r="R193" s="14" t="s">
        <v>42</v>
      </c>
      <c r="S193" s="14">
        <v>45865</v>
      </c>
      <c r="T193" s="14">
        <v>4</v>
      </c>
    </row>
    <row r="194" spans="1:20" x14ac:dyDescent="0.3">
      <c r="A194" t="s">
        <v>570</v>
      </c>
      <c r="B194">
        <v>45871</v>
      </c>
      <c r="C194" t="s">
        <v>571</v>
      </c>
      <c r="D194" t="s">
        <v>572</v>
      </c>
      <c r="E194" t="s">
        <v>77</v>
      </c>
      <c r="F194">
        <v>47</v>
      </c>
      <c r="G194" t="s">
        <v>24</v>
      </c>
      <c r="H194" s="14" t="s">
        <v>25</v>
      </c>
      <c r="I194" s="14" t="s">
        <v>304</v>
      </c>
      <c r="J194" s="14" t="s">
        <v>305</v>
      </c>
      <c r="K194" s="14" t="s">
        <v>28</v>
      </c>
      <c r="L194" s="14" t="s">
        <v>231</v>
      </c>
      <c r="M194" s="14">
        <v>2</v>
      </c>
      <c r="N194" s="14">
        <v>2158.8000000000002</v>
      </c>
      <c r="O194" s="14">
        <v>2160</v>
      </c>
      <c r="P194" s="14">
        <v>40</v>
      </c>
      <c r="Q194" s="14" t="s">
        <v>41</v>
      </c>
      <c r="R194" s="14" t="s">
        <v>42</v>
      </c>
      <c r="S194" s="14">
        <v>45874</v>
      </c>
      <c r="T194" s="14">
        <v>4</v>
      </c>
    </row>
    <row r="195" spans="1:20" x14ac:dyDescent="0.3">
      <c r="A195" t="s">
        <v>573</v>
      </c>
      <c r="B195">
        <v>45848</v>
      </c>
      <c r="C195" t="s">
        <v>574</v>
      </c>
      <c r="D195" t="s">
        <v>442</v>
      </c>
      <c r="E195" t="s">
        <v>77</v>
      </c>
      <c r="F195">
        <v>53</v>
      </c>
      <c r="G195" t="s">
        <v>24</v>
      </c>
      <c r="H195" s="14" t="s">
        <v>25</v>
      </c>
      <c r="I195" s="14" t="s">
        <v>319</v>
      </c>
      <c r="J195" s="14" t="s">
        <v>320</v>
      </c>
      <c r="K195" s="14" t="s">
        <v>28</v>
      </c>
      <c r="L195" s="14" t="s">
        <v>29</v>
      </c>
      <c r="M195" s="14">
        <v>3</v>
      </c>
      <c r="N195" s="14">
        <v>3597</v>
      </c>
      <c r="O195" s="14">
        <v>2130</v>
      </c>
      <c r="P195" s="14">
        <v>0</v>
      </c>
      <c r="Q195" s="14" t="s">
        <v>30</v>
      </c>
      <c r="R195" s="14" t="s">
        <v>65</v>
      </c>
    </row>
    <row r="196" spans="1:20" x14ac:dyDescent="0.3">
      <c r="A196" t="s">
        <v>575</v>
      </c>
      <c r="B196">
        <v>45439</v>
      </c>
      <c r="C196" t="s">
        <v>181</v>
      </c>
      <c r="D196" t="s">
        <v>182</v>
      </c>
      <c r="E196" t="s">
        <v>23</v>
      </c>
      <c r="F196">
        <v>51</v>
      </c>
      <c r="G196" t="s">
        <v>46</v>
      </c>
      <c r="H196" s="14" t="s">
        <v>25</v>
      </c>
      <c r="I196" s="14" t="s">
        <v>143</v>
      </c>
      <c r="J196" s="14" t="s">
        <v>144</v>
      </c>
      <c r="K196" s="14" t="s">
        <v>130</v>
      </c>
      <c r="L196" s="14" t="s">
        <v>131</v>
      </c>
      <c r="M196" s="14">
        <v>2</v>
      </c>
      <c r="N196" s="14">
        <v>9348.2999999999993</v>
      </c>
      <c r="O196" s="14">
        <v>8600</v>
      </c>
      <c r="P196" s="14">
        <v>15</v>
      </c>
      <c r="Q196" s="14" t="s">
        <v>50</v>
      </c>
      <c r="R196" s="14" t="s">
        <v>57</v>
      </c>
      <c r="S196" s="14">
        <v>45447</v>
      </c>
      <c r="T196" s="14">
        <v>4</v>
      </c>
    </row>
    <row r="197" spans="1:20" x14ac:dyDescent="0.3">
      <c r="A197" t="s">
        <v>576</v>
      </c>
      <c r="B197">
        <v>45685</v>
      </c>
      <c r="C197" t="s">
        <v>379</v>
      </c>
      <c r="D197" t="s">
        <v>380</v>
      </c>
      <c r="E197" t="s">
        <v>77</v>
      </c>
      <c r="F197">
        <v>41</v>
      </c>
      <c r="G197" t="s">
        <v>46</v>
      </c>
      <c r="H197" s="14" t="s">
        <v>25</v>
      </c>
      <c r="I197" s="14" t="s">
        <v>112</v>
      </c>
      <c r="J197" s="14" t="s">
        <v>113</v>
      </c>
      <c r="K197" s="14" t="s">
        <v>114</v>
      </c>
      <c r="L197" s="14" t="s">
        <v>115</v>
      </c>
      <c r="M197" s="14">
        <v>3</v>
      </c>
      <c r="N197" s="14">
        <v>2097</v>
      </c>
      <c r="O197" s="14">
        <v>1110</v>
      </c>
      <c r="P197" s="14">
        <v>0</v>
      </c>
      <c r="Q197" s="14" t="s">
        <v>73</v>
      </c>
      <c r="R197" s="14" t="s">
        <v>42</v>
      </c>
      <c r="S197" s="14">
        <v>45690</v>
      </c>
      <c r="T197" s="14">
        <v>3</v>
      </c>
    </row>
    <row r="198" spans="1:20" x14ac:dyDescent="0.3">
      <c r="A198" t="s">
        <v>577</v>
      </c>
      <c r="B198">
        <v>45640</v>
      </c>
      <c r="C198" t="s">
        <v>181</v>
      </c>
      <c r="D198" t="s">
        <v>182</v>
      </c>
      <c r="E198" t="s">
        <v>23</v>
      </c>
      <c r="F198">
        <v>51</v>
      </c>
      <c r="G198" t="s">
        <v>126</v>
      </c>
      <c r="H198" s="14" t="s">
        <v>127</v>
      </c>
      <c r="I198" s="14" t="s">
        <v>80</v>
      </c>
      <c r="J198" s="14" t="s">
        <v>81</v>
      </c>
      <c r="K198" s="14" t="s">
        <v>28</v>
      </c>
      <c r="L198" s="14" t="s">
        <v>29</v>
      </c>
      <c r="M198" s="14">
        <v>3</v>
      </c>
      <c r="N198" s="14">
        <v>1438.2</v>
      </c>
      <c r="O198" s="14">
        <v>1410</v>
      </c>
      <c r="P198" s="14">
        <v>40</v>
      </c>
      <c r="Q198" s="14" t="s">
        <v>103</v>
      </c>
      <c r="R198" s="14" t="s">
        <v>42</v>
      </c>
      <c r="S198" s="14">
        <v>45647</v>
      </c>
      <c r="T198" s="14">
        <v>5</v>
      </c>
    </row>
    <row r="199" spans="1:20" x14ac:dyDescent="0.3">
      <c r="A199" t="s">
        <v>578</v>
      </c>
      <c r="B199">
        <v>45734</v>
      </c>
      <c r="C199" t="s">
        <v>390</v>
      </c>
      <c r="D199" t="s">
        <v>391</v>
      </c>
      <c r="E199" t="s">
        <v>23</v>
      </c>
      <c r="F199">
        <v>52</v>
      </c>
      <c r="G199" t="s">
        <v>165</v>
      </c>
      <c r="H199" s="14" t="s">
        <v>166</v>
      </c>
      <c r="I199" s="14" t="s">
        <v>54</v>
      </c>
      <c r="J199" s="14" t="s">
        <v>55</v>
      </c>
      <c r="K199" s="14" t="s">
        <v>28</v>
      </c>
      <c r="L199" s="14" t="s">
        <v>56</v>
      </c>
      <c r="M199" s="14">
        <v>5</v>
      </c>
      <c r="N199" s="14">
        <v>2796</v>
      </c>
      <c r="O199" s="14">
        <v>2050</v>
      </c>
      <c r="P199" s="14">
        <v>20</v>
      </c>
      <c r="Q199" s="14" t="s">
        <v>30</v>
      </c>
      <c r="R199" s="14" t="s">
        <v>31</v>
      </c>
      <c r="S199" s="14">
        <v>45737</v>
      </c>
      <c r="T199" s="14">
        <v>3</v>
      </c>
    </row>
    <row r="200" spans="1:20" x14ac:dyDescent="0.3">
      <c r="A200" t="s">
        <v>579</v>
      </c>
      <c r="B200">
        <v>45566</v>
      </c>
      <c r="C200" t="s">
        <v>325</v>
      </c>
      <c r="D200" t="s">
        <v>326</v>
      </c>
      <c r="E200" t="s">
        <v>23</v>
      </c>
      <c r="F200">
        <v>22</v>
      </c>
      <c r="G200" t="s">
        <v>165</v>
      </c>
      <c r="H200" s="14" t="s">
        <v>166</v>
      </c>
      <c r="I200" s="14" t="s">
        <v>85</v>
      </c>
      <c r="J200" s="14" t="s">
        <v>86</v>
      </c>
      <c r="K200" s="14" t="s">
        <v>87</v>
      </c>
      <c r="L200" s="14" t="s">
        <v>88</v>
      </c>
      <c r="M200" s="14">
        <v>2</v>
      </c>
      <c r="N200" s="14">
        <v>1958.6</v>
      </c>
      <c r="O200" s="14">
        <v>1580</v>
      </c>
      <c r="P200" s="14">
        <v>30</v>
      </c>
      <c r="Q200" s="14" t="s">
        <v>41</v>
      </c>
      <c r="R200" s="14" t="s">
        <v>42</v>
      </c>
      <c r="S200" s="14">
        <v>45569</v>
      </c>
      <c r="T200" s="14">
        <v>3</v>
      </c>
    </row>
    <row r="201" spans="1:20" x14ac:dyDescent="0.3">
      <c r="A201" t="s">
        <v>167</v>
      </c>
      <c r="B201">
        <v>45684</v>
      </c>
      <c r="C201" t="s">
        <v>168</v>
      </c>
      <c r="D201" t="s">
        <v>169</v>
      </c>
      <c r="E201" t="s">
        <v>23</v>
      </c>
      <c r="F201">
        <v>43</v>
      </c>
      <c r="G201" t="s">
        <v>122</v>
      </c>
      <c r="H201" s="14" t="s">
        <v>123</v>
      </c>
      <c r="I201" s="14" t="s">
        <v>26</v>
      </c>
      <c r="J201" s="14" t="s">
        <v>27</v>
      </c>
      <c r="K201" s="14" t="s">
        <v>28</v>
      </c>
      <c r="L201" s="14" t="s">
        <v>29</v>
      </c>
      <c r="M201" s="14">
        <v>3</v>
      </c>
      <c r="N201" s="14">
        <v>2338.1999999999998</v>
      </c>
      <c r="O201" s="14">
        <v>2370</v>
      </c>
      <c r="P201" s="14">
        <v>40</v>
      </c>
      <c r="Q201" s="14" t="s">
        <v>103</v>
      </c>
      <c r="R201" s="14" t="s">
        <v>42</v>
      </c>
      <c r="S201" s="14">
        <v>45696</v>
      </c>
      <c r="T201" s="14">
        <v>3</v>
      </c>
    </row>
    <row r="202" spans="1:20" x14ac:dyDescent="0.3">
      <c r="A202" t="s">
        <v>580</v>
      </c>
      <c r="B202">
        <v>45751</v>
      </c>
      <c r="C202" t="s">
        <v>581</v>
      </c>
      <c r="D202" t="s">
        <v>582</v>
      </c>
      <c r="E202" t="s">
        <v>23</v>
      </c>
      <c r="F202">
        <v>37</v>
      </c>
      <c r="G202" t="s">
        <v>122</v>
      </c>
      <c r="H202" s="14" t="s">
        <v>123</v>
      </c>
      <c r="I202" s="14" t="s">
        <v>229</v>
      </c>
      <c r="J202" s="14" t="s">
        <v>230</v>
      </c>
      <c r="K202" s="14" t="s">
        <v>28</v>
      </c>
      <c r="L202" s="14" t="s">
        <v>231</v>
      </c>
      <c r="M202" s="14">
        <v>1</v>
      </c>
      <c r="N202" s="14">
        <v>1899.05</v>
      </c>
      <c r="O202" s="14">
        <v>1230</v>
      </c>
      <c r="P202" s="14">
        <v>5</v>
      </c>
      <c r="Q202" s="14" t="s">
        <v>41</v>
      </c>
      <c r="R202" s="14" t="s">
        <v>65</v>
      </c>
    </row>
    <row r="203" spans="1:20" x14ac:dyDescent="0.3">
      <c r="A203" t="s">
        <v>583</v>
      </c>
      <c r="B203">
        <v>45387</v>
      </c>
      <c r="C203" t="s">
        <v>481</v>
      </c>
      <c r="D203" t="s">
        <v>482</v>
      </c>
      <c r="E203" t="s">
        <v>23</v>
      </c>
      <c r="F203">
        <v>34</v>
      </c>
      <c r="G203" t="s">
        <v>165</v>
      </c>
      <c r="H203" s="14" t="s">
        <v>166</v>
      </c>
      <c r="I203" s="14" t="s">
        <v>80</v>
      </c>
      <c r="J203" s="14" t="s">
        <v>81</v>
      </c>
      <c r="K203" s="14" t="s">
        <v>28</v>
      </c>
      <c r="L203" s="14" t="s">
        <v>29</v>
      </c>
      <c r="M203" s="14">
        <v>3</v>
      </c>
      <c r="N203" s="14">
        <v>1677.9</v>
      </c>
      <c r="O203" s="14">
        <v>1410</v>
      </c>
      <c r="P203" s="14">
        <v>30</v>
      </c>
      <c r="Q203" s="14" t="s">
        <v>103</v>
      </c>
      <c r="R203" s="14" t="s">
        <v>57</v>
      </c>
      <c r="S203" s="14">
        <v>45390</v>
      </c>
      <c r="T203" s="14">
        <v>4</v>
      </c>
    </row>
    <row r="204" spans="1:20" x14ac:dyDescent="0.3">
      <c r="A204" t="s">
        <v>584</v>
      </c>
      <c r="B204">
        <v>45877</v>
      </c>
      <c r="C204" t="s">
        <v>585</v>
      </c>
      <c r="D204" t="s">
        <v>586</v>
      </c>
      <c r="E204" t="s">
        <v>77</v>
      </c>
      <c r="F204">
        <v>51</v>
      </c>
      <c r="G204" t="s">
        <v>78</v>
      </c>
      <c r="H204" s="14" t="s">
        <v>79</v>
      </c>
      <c r="I204" s="14" t="s">
        <v>107</v>
      </c>
      <c r="J204" s="14" t="s">
        <v>108</v>
      </c>
      <c r="K204" s="14" t="s">
        <v>87</v>
      </c>
      <c r="L204" s="14" t="s">
        <v>88</v>
      </c>
      <c r="M204" s="14">
        <v>4</v>
      </c>
      <c r="N204" s="14">
        <v>2876.4</v>
      </c>
      <c r="O204" s="14">
        <v>1680</v>
      </c>
      <c r="P204" s="14">
        <v>10</v>
      </c>
      <c r="Q204" s="14" t="s">
        <v>30</v>
      </c>
      <c r="R204" s="14" t="s">
        <v>42</v>
      </c>
      <c r="S204" s="14">
        <v>45883</v>
      </c>
      <c r="T204" s="14">
        <v>4</v>
      </c>
    </row>
    <row r="205" spans="1:20" x14ac:dyDescent="0.3">
      <c r="A205" t="s">
        <v>587</v>
      </c>
      <c r="B205">
        <v>45796</v>
      </c>
      <c r="C205" t="s">
        <v>193</v>
      </c>
      <c r="D205" t="s">
        <v>194</v>
      </c>
      <c r="E205" t="s">
        <v>23</v>
      </c>
      <c r="F205">
        <v>19</v>
      </c>
      <c r="G205" t="s">
        <v>46</v>
      </c>
      <c r="H205" s="14" t="s">
        <v>25</v>
      </c>
      <c r="I205" s="14" t="s">
        <v>319</v>
      </c>
      <c r="J205" s="14" t="s">
        <v>320</v>
      </c>
      <c r="K205" s="14" t="s">
        <v>28</v>
      </c>
      <c r="L205" s="14" t="s">
        <v>29</v>
      </c>
      <c r="M205" s="14">
        <v>4</v>
      </c>
      <c r="N205" s="14">
        <v>3836.8</v>
      </c>
      <c r="O205" s="14">
        <v>2840</v>
      </c>
      <c r="P205" s="14">
        <v>20</v>
      </c>
      <c r="Q205" s="14" t="s">
        <v>103</v>
      </c>
      <c r="R205" s="14" t="s">
        <v>42</v>
      </c>
      <c r="S205" s="14">
        <v>45805</v>
      </c>
      <c r="T205" s="14">
        <v>3</v>
      </c>
    </row>
    <row r="206" spans="1:20" x14ac:dyDescent="0.3">
      <c r="A206" t="s">
        <v>588</v>
      </c>
      <c r="B206">
        <v>45661</v>
      </c>
      <c r="C206" t="s">
        <v>259</v>
      </c>
      <c r="D206" t="s">
        <v>260</v>
      </c>
      <c r="E206" t="s">
        <v>77</v>
      </c>
      <c r="F206">
        <v>37</v>
      </c>
      <c r="G206" t="s">
        <v>90</v>
      </c>
      <c r="H206" s="14" t="s">
        <v>91</v>
      </c>
      <c r="I206" s="14" t="s">
        <v>177</v>
      </c>
      <c r="J206" s="14" t="s">
        <v>178</v>
      </c>
      <c r="K206" s="14" t="s">
        <v>87</v>
      </c>
      <c r="L206" s="14" t="s">
        <v>179</v>
      </c>
      <c r="M206" s="14">
        <v>4</v>
      </c>
      <c r="N206" s="14">
        <v>8496.6</v>
      </c>
      <c r="O206" s="14">
        <v>6480</v>
      </c>
      <c r="P206" s="14">
        <v>15</v>
      </c>
      <c r="Q206" s="14" t="s">
        <v>103</v>
      </c>
      <c r="R206" s="14" t="s">
        <v>42</v>
      </c>
      <c r="S206" s="14">
        <v>45665</v>
      </c>
      <c r="T206" s="14">
        <v>4</v>
      </c>
    </row>
    <row r="207" spans="1:20" x14ac:dyDescent="0.3">
      <c r="A207" t="s">
        <v>589</v>
      </c>
      <c r="C207" t="s">
        <v>226</v>
      </c>
      <c r="D207" t="s">
        <v>227</v>
      </c>
      <c r="E207" t="s">
        <v>23</v>
      </c>
      <c r="F207">
        <v>32</v>
      </c>
      <c r="G207" t="s">
        <v>126</v>
      </c>
      <c r="H207" s="14" t="s">
        <v>127</v>
      </c>
      <c r="I207" s="14" t="s">
        <v>155</v>
      </c>
      <c r="J207" s="14" t="s">
        <v>156</v>
      </c>
      <c r="K207" s="14" t="s">
        <v>114</v>
      </c>
      <c r="L207" s="14" t="s">
        <v>157</v>
      </c>
      <c r="M207" s="14">
        <v>4</v>
      </c>
      <c r="N207" s="14">
        <v>2997</v>
      </c>
      <c r="O207" s="14">
        <v>2440</v>
      </c>
      <c r="P207" s="14">
        <v>25</v>
      </c>
      <c r="Q207" s="14" t="s">
        <v>103</v>
      </c>
      <c r="R207" s="14" t="s">
        <v>42</v>
      </c>
      <c r="S207" s="14">
        <v>45306</v>
      </c>
      <c r="T207" s="14">
        <v>3</v>
      </c>
    </row>
    <row r="208" spans="1:20" x14ac:dyDescent="0.3">
      <c r="A208" t="s">
        <v>590</v>
      </c>
      <c r="B208">
        <v>45599</v>
      </c>
      <c r="C208" t="s">
        <v>269</v>
      </c>
      <c r="D208" t="s">
        <v>270</v>
      </c>
      <c r="E208" t="s">
        <v>77</v>
      </c>
      <c r="F208">
        <v>43</v>
      </c>
      <c r="G208" t="s">
        <v>154</v>
      </c>
      <c r="H208" s="14" t="s">
        <v>91</v>
      </c>
      <c r="I208" s="14" t="s">
        <v>37</v>
      </c>
      <c r="J208" s="14" t="s">
        <v>38</v>
      </c>
      <c r="K208" s="14" t="s">
        <v>39</v>
      </c>
      <c r="L208" s="14" t="s">
        <v>40</v>
      </c>
      <c r="M208" s="14">
        <v>3</v>
      </c>
      <c r="N208" s="14">
        <v>2427.3000000000002</v>
      </c>
      <c r="O208" s="14">
        <v>1560</v>
      </c>
      <c r="P208" s="14">
        <v>10</v>
      </c>
      <c r="Q208" s="14" t="s">
        <v>103</v>
      </c>
      <c r="R208" s="14" t="s">
        <v>42</v>
      </c>
      <c r="S208" s="14">
        <v>45605</v>
      </c>
      <c r="T208" s="14">
        <v>5</v>
      </c>
    </row>
    <row r="209" spans="1:20" x14ac:dyDescent="0.3">
      <c r="A209" t="s">
        <v>591</v>
      </c>
      <c r="B209">
        <v>45881</v>
      </c>
      <c r="C209" t="s">
        <v>567</v>
      </c>
      <c r="D209" t="s">
        <v>568</v>
      </c>
      <c r="E209" t="s">
        <v>77</v>
      </c>
      <c r="F209">
        <v>50</v>
      </c>
      <c r="G209" t="s">
        <v>126</v>
      </c>
      <c r="H209" s="14" t="s">
        <v>127</v>
      </c>
      <c r="I209" s="14" t="s">
        <v>47</v>
      </c>
      <c r="J209" s="14" t="s">
        <v>48</v>
      </c>
      <c r="K209" s="14" t="s">
        <v>39</v>
      </c>
      <c r="L209" s="14" t="s">
        <v>49</v>
      </c>
      <c r="M209" s="14">
        <v>3</v>
      </c>
      <c r="N209" s="14">
        <v>837.9</v>
      </c>
      <c r="O209" s="14">
        <v>630</v>
      </c>
      <c r="P209" s="14">
        <v>30</v>
      </c>
      <c r="Q209" s="14" t="s">
        <v>41</v>
      </c>
      <c r="R209" s="14" t="s">
        <v>42</v>
      </c>
      <c r="S209" s="14">
        <v>45892</v>
      </c>
      <c r="T209" s="14">
        <v>4</v>
      </c>
    </row>
    <row r="210" spans="1:20" x14ac:dyDescent="0.3">
      <c r="A210" t="s">
        <v>592</v>
      </c>
      <c r="B210">
        <v>45898</v>
      </c>
      <c r="C210" t="s">
        <v>446</v>
      </c>
      <c r="D210" t="s">
        <v>447</v>
      </c>
      <c r="E210" t="s">
        <v>23</v>
      </c>
      <c r="F210">
        <v>30</v>
      </c>
      <c r="G210" t="s">
        <v>78</v>
      </c>
      <c r="H210" s="14" t="s">
        <v>79</v>
      </c>
      <c r="I210" s="14" t="s">
        <v>107</v>
      </c>
      <c r="J210" s="14" t="s">
        <v>108</v>
      </c>
      <c r="K210" s="14" t="s">
        <v>87</v>
      </c>
      <c r="L210" s="14" t="s">
        <v>88</v>
      </c>
      <c r="M210" s="14">
        <v>5</v>
      </c>
      <c r="N210" s="14">
        <v>3995</v>
      </c>
      <c r="O210" s="14">
        <v>2100</v>
      </c>
      <c r="P210" s="14">
        <v>0</v>
      </c>
      <c r="Q210" s="14" t="s">
        <v>103</v>
      </c>
      <c r="R210" s="14" t="s">
        <v>31</v>
      </c>
      <c r="S210" s="14">
        <v>45903</v>
      </c>
      <c r="T210" s="14">
        <v>5</v>
      </c>
    </row>
    <row r="211" spans="1:20" x14ac:dyDescent="0.3">
      <c r="A211" t="s">
        <v>593</v>
      </c>
      <c r="B211">
        <v>45590</v>
      </c>
      <c r="C211" t="s">
        <v>187</v>
      </c>
      <c r="D211" t="s">
        <v>188</v>
      </c>
      <c r="E211" t="s">
        <v>23</v>
      </c>
      <c r="F211">
        <v>54</v>
      </c>
      <c r="G211" t="s">
        <v>122</v>
      </c>
      <c r="H211" s="14" t="s">
        <v>123</v>
      </c>
      <c r="I211" s="14" t="s">
        <v>107</v>
      </c>
      <c r="J211" s="14" t="s">
        <v>108</v>
      </c>
      <c r="K211" s="14" t="s">
        <v>87</v>
      </c>
      <c r="L211" s="14" t="s">
        <v>88</v>
      </c>
      <c r="M211" s="14">
        <v>4</v>
      </c>
      <c r="N211" s="14">
        <v>2876.4</v>
      </c>
      <c r="O211" s="14">
        <v>1680</v>
      </c>
      <c r="P211" s="14">
        <v>10</v>
      </c>
      <c r="Q211" s="14" t="s">
        <v>41</v>
      </c>
      <c r="R211" s="14" t="s">
        <v>42</v>
      </c>
      <c r="S211" s="14">
        <v>45596</v>
      </c>
      <c r="T211" s="14">
        <v>3</v>
      </c>
    </row>
    <row r="212" spans="1:20" x14ac:dyDescent="0.3">
      <c r="A212" t="s">
        <v>594</v>
      </c>
      <c r="B212">
        <v>45725</v>
      </c>
      <c r="C212" t="s">
        <v>595</v>
      </c>
      <c r="D212" t="s">
        <v>596</v>
      </c>
      <c r="E212" t="s">
        <v>23</v>
      </c>
      <c r="F212">
        <v>23</v>
      </c>
      <c r="G212" t="s">
        <v>46</v>
      </c>
      <c r="H212" s="14" t="s">
        <v>25</v>
      </c>
      <c r="I212" s="14" t="s">
        <v>63</v>
      </c>
      <c r="J212" s="14" t="s">
        <v>64</v>
      </c>
      <c r="K212" s="14" t="s">
        <v>39</v>
      </c>
      <c r="L212" s="14" t="s">
        <v>40</v>
      </c>
      <c r="M212" s="14">
        <v>5</v>
      </c>
      <c r="N212" s="14">
        <v>1797</v>
      </c>
      <c r="O212" s="14">
        <v>1650</v>
      </c>
      <c r="P212" s="14">
        <v>40</v>
      </c>
      <c r="Q212" s="14" t="s">
        <v>50</v>
      </c>
      <c r="R212" s="14" t="s">
        <v>42</v>
      </c>
      <c r="S212" s="14">
        <v>45735</v>
      </c>
      <c r="T212" s="14">
        <v>5</v>
      </c>
    </row>
    <row r="213" spans="1:20" x14ac:dyDescent="0.3">
      <c r="A213" t="s">
        <v>597</v>
      </c>
      <c r="B213">
        <v>45848</v>
      </c>
      <c r="C213" t="s">
        <v>171</v>
      </c>
      <c r="D213" t="s">
        <v>172</v>
      </c>
      <c r="E213" t="s">
        <v>23</v>
      </c>
      <c r="F213">
        <v>36</v>
      </c>
      <c r="G213" t="s">
        <v>211</v>
      </c>
      <c r="H213" s="14" t="s">
        <v>127</v>
      </c>
      <c r="I213" s="14" t="s">
        <v>85</v>
      </c>
      <c r="J213" s="14" t="s">
        <v>86</v>
      </c>
      <c r="K213" s="14" t="s">
        <v>87</v>
      </c>
      <c r="L213" s="14" t="s">
        <v>88</v>
      </c>
      <c r="M213" s="14">
        <v>5</v>
      </c>
      <c r="N213" s="14">
        <v>6645.25</v>
      </c>
      <c r="O213" s="14">
        <v>3950</v>
      </c>
      <c r="P213" s="14">
        <v>5</v>
      </c>
      <c r="Q213" s="14" t="s">
        <v>73</v>
      </c>
      <c r="R213" s="14" t="s">
        <v>57</v>
      </c>
      <c r="S213" s="14">
        <v>45853</v>
      </c>
      <c r="T213" s="14">
        <v>4</v>
      </c>
    </row>
    <row r="214" spans="1:20" x14ac:dyDescent="0.3">
      <c r="A214" t="s">
        <v>598</v>
      </c>
      <c r="B214">
        <v>45462</v>
      </c>
      <c r="C214" t="s">
        <v>599</v>
      </c>
      <c r="D214" t="s">
        <v>600</v>
      </c>
      <c r="E214" t="s">
        <v>77</v>
      </c>
      <c r="F214">
        <v>32</v>
      </c>
      <c r="G214" t="s">
        <v>165</v>
      </c>
      <c r="H214" s="14" t="s">
        <v>166</v>
      </c>
      <c r="I214" s="14" t="s">
        <v>183</v>
      </c>
      <c r="J214" s="14" t="s">
        <v>184</v>
      </c>
      <c r="K214" s="14" t="s">
        <v>130</v>
      </c>
      <c r="L214" s="14" t="s">
        <v>185</v>
      </c>
      <c r="M214" s="14">
        <v>4</v>
      </c>
      <c r="N214" s="14">
        <v>15196.2</v>
      </c>
      <c r="O214" s="14">
        <v>12200</v>
      </c>
      <c r="P214" s="14">
        <v>5</v>
      </c>
      <c r="Q214" s="14" t="s">
        <v>73</v>
      </c>
      <c r="R214" s="14" t="s">
        <v>42</v>
      </c>
      <c r="S214" s="14">
        <v>45468</v>
      </c>
      <c r="T214" s="14">
        <v>4</v>
      </c>
    </row>
    <row r="215" spans="1:20" x14ac:dyDescent="0.3">
      <c r="A215" t="s">
        <v>601</v>
      </c>
      <c r="B215">
        <v>45814</v>
      </c>
      <c r="C215" t="s">
        <v>420</v>
      </c>
      <c r="D215" t="s">
        <v>76</v>
      </c>
      <c r="E215" t="s">
        <v>77</v>
      </c>
      <c r="F215">
        <v>27</v>
      </c>
      <c r="G215" t="s">
        <v>90</v>
      </c>
      <c r="H215" s="14" t="s">
        <v>91</v>
      </c>
      <c r="I215" s="14" t="s">
        <v>63</v>
      </c>
      <c r="J215" s="14" t="s">
        <v>64</v>
      </c>
      <c r="K215" s="14" t="s">
        <v>39</v>
      </c>
      <c r="L215" s="14" t="s">
        <v>40</v>
      </c>
      <c r="M215" s="14">
        <v>3</v>
      </c>
      <c r="N215" s="14">
        <v>1257.9000000000001</v>
      </c>
      <c r="O215" s="14">
        <v>990</v>
      </c>
      <c r="P215" s="14">
        <v>30</v>
      </c>
      <c r="Q215" s="14" t="s">
        <v>103</v>
      </c>
      <c r="R215" s="14" t="s">
        <v>57</v>
      </c>
      <c r="S215" s="14">
        <v>45826</v>
      </c>
      <c r="T215" s="14">
        <v>3</v>
      </c>
    </row>
    <row r="216" spans="1:20" x14ac:dyDescent="0.3">
      <c r="A216" t="s">
        <v>602</v>
      </c>
      <c r="B216">
        <v>45645</v>
      </c>
      <c r="C216" t="s">
        <v>603</v>
      </c>
      <c r="E216" t="s">
        <v>77</v>
      </c>
      <c r="F216">
        <v>27</v>
      </c>
      <c r="G216" t="s">
        <v>101</v>
      </c>
      <c r="H216" s="14" t="s">
        <v>102</v>
      </c>
      <c r="I216" s="14" t="s">
        <v>229</v>
      </c>
      <c r="J216" s="14" t="s">
        <v>230</v>
      </c>
      <c r="K216" s="14" t="s">
        <v>28</v>
      </c>
      <c r="L216" s="14" t="s">
        <v>231</v>
      </c>
      <c r="M216" s="14">
        <v>3</v>
      </c>
      <c r="N216" s="14">
        <v>4197.8999999999996</v>
      </c>
      <c r="O216" s="14">
        <v>3690</v>
      </c>
      <c r="P216" s="14">
        <v>30</v>
      </c>
      <c r="Q216" s="14" t="s">
        <v>73</v>
      </c>
      <c r="R216" s="14" t="s">
        <v>42</v>
      </c>
      <c r="S216" s="14">
        <v>45649</v>
      </c>
      <c r="T216" s="14">
        <v>4</v>
      </c>
    </row>
    <row r="217" spans="1:20" x14ac:dyDescent="0.3">
      <c r="A217" t="s">
        <v>604</v>
      </c>
      <c r="B217">
        <v>45611</v>
      </c>
      <c r="C217" t="s">
        <v>605</v>
      </c>
      <c r="D217" t="s">
        <v>442</v>
      </c>
      <c r="E217" t="s">
        <v>77</v>
      </c>
      <c r="F217">
        <v>22</v>
      </c>
      <c r="G217" t="s">
        <v>61</v>
      </c>
      <c r="H217" s="14" t="s">
        <v>62</v>
      </c>
      <c r="I217" s="14" t="s">
        <v>70</v>
      </c>
      <c r="J217" s="14" t="s">
        <v>71</v>
      </c>
      <c r="K217" s="14" t="s">
        <v>28</v>
      </c>
      <c r="L217" s="14" t="s">
        <v>72</v>
      </c>
      <c r="M217" s="14">
        <v>5</v>
      </c>
      <c r="N217" s="14">
        <v>4497</v>
      </c>
      <c r="O217" s="14">
        <v>4600</v>
      </c>
      <c r="P217" s="14">
        <v>40</v>
      </c>
      <c r="Q217" s="14" t="s">
        <v>41</v>
      </c>
      <c r="R217" s="14" t="s">
        <v>42</v>
      </c>
      <c r="S217" s="14">
        <v>45614</v>
      </c>
      <c r="T217" s="14">
        <v>5</v>
      </c>
    </row>
    <row r="218" spans="1:20" x14ac:dyDescent="0.3">
      <c r="A218" t="s">
        <v>606</v>
      </c>
      <c r="B218">
        <v>46005</v>
      </c>
      <c r="C218" t="s">
        <v>275</v>
      </c>
      <c r="D218" t="s">
        <v>276</v>
      </c>
      <c r="E218" t="s">
        <v>77</v>
      </c>
      <c r="F218">
        <v>43</v>
      </c>
      <c r="G218" t="s">
        <v>126</v>
      </c>
      <c r="H218" s="14" t="s">
        <v>127</v>
      </c>
      <c r="I218" s="14" t="s">
        <v>54</v>
      </c>
      <c r="J218" s="14" t="s">
        <v>55</v>
      </c>
      <c r="K218" s="14" t="s">
        <v>28</v>
      </c>
      <c r="L218" s="14" t="s">
        <v>56</v>
      </c>
      <c r="M218" s="14">
        <v>3</v>
      </c>
      <c r="N218" s="14">
        <v>2097</v>
      </c>
      <c r="O218" s="14">
        <v>1230</v>
      </c>
      <c r="P218" s="14">
        <v>0</v>
      </c>
      <c r="Q218" s="14" t="s">
        <v>73</v>
      </c>
      <c r="R218" s="14" t="s">
        <v>42</v>
      </c>
      <c r="S218" s="14">
        <v>46012</v>
      </c>
      <c r="T218" s="14">
        <v>3</v>
      </c>
    </row>
    <row r="219" spans="1:20" x14ac:dyDescent="0.3">
      <c r="A219" t="s">
        <v>607</v>
      </c>
      <c r="B219">
        <v>45985</v>
      </c>
      <c r="C219" t="s">
        <v>362</v>
      </c>
      <c r="D219" t="s">
        <v>363</v>
      </c>
      <c r="E219" t="s">
        <v>77</v>
      </c>
      <c r="F219">
        <v>30</v>
      </c>
      <c r="G219" t="s">
        <v>90</v>
      </c>
      <c r="H219" s="14" t="s">
        <v>91</v>
      </c>
      <c r="I219" s="14" t="s">
        <v>112</v>
      </c>
      <c r="J219" s="14" t="s">
        <v>113</v>
      </c>
      <c r="K219" s="14" t="s">
        <v>114</v>
      </c>
      <c r="L219" s="14" t="s">
        <v>115</v>
      </c>
      <c r="M219" s="14">
        <v>2</v>
      </c>
      <c r="N219" s="14">
        <v>1258.2</v>
      </c>
      <c r="O219" s="14">
        <v>740</v>
      </c>
      <c r="P219" s="14">
        <v>10</v>
      </c>
      <c r="Q219" s="14" t="s">
        <v>41</v>
      </c>
      <c r="R219" s="14" t="s">
        <v>65</v>
      </c>
    </row>
    <row r="220" spans="1:20" x14ac:dyDescent="0.3">
      <c r="A220" t="s">
        <v>608</v>
      </c>
      <c r="B220">
        <v>45728</v>
      </c>
      <c r="C220" t="s">
        <v>146</v>
      </c>
      <c r="D220" t="s">
        <v>147</v>
      </c>
      <c r="E220" t="s">
        <v>23</v>
      </c>
      <c r="F220">
        <v>45</v>
      </c>
      <c r="G220" t="s">
        <v>90</v>
      </c>
      <c r="H220" s="14" t="s">
        <v>91</v>
      </c>
      <c r="I220" s="14" t="s">
        <v>47</v>
      </c>
      <c r="J220" s="14" t="s">
        <v>48</v>
      </c>
      <c r="K220" s="14" t="s">
        <v>39</v>
      </c>
      <c r="L220" s="14" t="s">
        <v>49</v>
      </c>
      <c r="M220" s="14">
        <v>2</v>
      </c>
      <c r="N220" s="14">
        <v>718.2</v>
      </c>
      <c r="O220" s="14">
        <v>420</v>
      </c>
      <c r="P220" s="14">
        <v>10</v>
      </c>
      <c r="Q220" s="14" t="s">
        <v>103</v>
      </c>
      <c r="R220" s="14" t="s">
        <v>42</v>
      </c>
      <c r="S220" s="14">
        <v>45730</v>
      </c>
      <c r="T220" s="14">
        <v>4</v>
      </c>
    </row>
    <row r="221" spans="1:20" x14ac:dyDescent="0.3">
      <c r="A221" t="s">
        <v>609</v>
      </c>
      <c r="B221">
        <v>45752</v>
      </c>
      <c r="C221" t="s">
        <v>610</v>
      </c>
      <c r="D221" t="s">
        <v>34</v>
      </c>
      <c r="E221" t="s">
        <v>23</v>
      </c>
      <c r="F221">
        <v>31</v>
      </c>
      <c r="G221" t="s">
        <v>165</v>
      </c>
      <c r="H221" s="14" t="s">
        <v>166</v>
      </c>
      <c r="I221" s="14" t="s">
        <v>80</v>
      </c>
      <c r="J221" s="14" t="s">
        <v>81</v>
      </c>
      <c r="K221" s="14" t="s">
        <v>28</v>
      </c>
      <c r="L221" s="14" t="s">
        <v>29</v>
      </c>
      <c r="M221" s="14">
        <v>2</v>
      </c>
      <c r="N221" s="14">
        <v>1358.3</v>
      </c>
      <c r="O221" s="14">
        <v>940</v>
      </c>
      <c r="P221" s="14">
        <v>15</v>
      </c>
      <c r="Q221" s="14" t="s">
        <v>41</v>
      </c>
      <c r="R221" s="14" t="s">
        <v>57</v>
      </c>
      <c r="S221" s="14">
        <v>45755</v>
      </c>
      <c r="T221" s="14">
        <v>3</v>
      </c>
    </row>
    <row r="222" spans="1:20" x14ac:dyDescent="0.3">
      <c r="A222" t="s">
        <v>611</v>
      </c>
      <c r="B222">
        <v>45841</v>
      </c>
      <c r="C222" t="s">
        <v>390</v>
      </c>
      <c r="D222" t="s">
        <v>391</v>
      </c>
      <c r="E222" t="s">
        <v>23</v>
      </c>
      <c r="F222">
        <v>52</v>
      </c>
      <c r="G222" t="s">
        <v>211</v>
      </c>
      <c r="H222" s="14" t="s">
        <v>127</v>
      </c>
      <c r="I222" s="14" t="s">
        <v>183</v>
      </c>
      <c r="J222" s="14" t="s">
        <v>184</v>
      </c>
      <c r="K222" s="14" t="s">
        <v>130</v>
      </c>
      <c r="L222" s="14" t="s">
        <v>185</v>
      </c>
      <c r="M222" s="14">
        <v>2</v>
      </c>
      <c r="N222" s="14">
        <v>4798.8</v>
      </c>
      <c r="O222" s="14">
        <v>6100</v>
      </c>
      <c r="P222" s="14">
        <v>40</v>
      </c>
      <c r="Q222" s="14" t="s">
        <v>73</v>
      </c>
      <c r="R222" s="14" t="s">
        <v>42</v>
      </c>
      <c r="S222" s="14">
        <v>45853</v>
      </c>
      <c r="T222" s="14">
        <v>5</v>
      </c>
    </row>
    <row r="223" spans="1:20" x14ac:dyDescent="0.3">
      <c r="A223" t="s">
        <v>612</v>
      </c>
      <c r="B223">
        <v>45832</v>
      </c>
      <c r="C223" t="s">
        <v>278</v>
      </c>
      <c r="D223" t="s">
        <v>139</v>
      </c>
      <c r="E223" t="s">
        <v>77</v>
      </c>
      <c r="F223">
        <v>32</v>
      </c>
      <c r="G223" t="s">
        <v>165</v>
      </c>
      <c r="H223" s="14" t="s">
        <v>166</v>
      </c>
      <c r="I223" s="14" t="s">
        <v>155</v>
      </c>
      <c r="J223" s="14" t="s">
        <v>156</v>
      </c>
      <c r="K223" s="14" t="s">
        <v>114</v>
      </c>
      <c r="L223" s="14" t="s">
        <v>157</v>
      </c>
      <c r="M223" s="14">
        <v>4</v>
      </c>
      <c r="N223" s="14">
        <v>3796.2</v>
      </c>
      <c r="O223" s="14">
        <v>2440</v>
      </c>
      <c r="P223" s="14">
        <v>5</v>
      </c>
      <c r="Q223" s="14" t="s">
        <v>41</v>
      </c>
      <c r="R223" s="14" t="s">
        <v>42</v>
      </c>
      <c r="S223" s="14">
        <v>45841</v>
      </c>
      <c r="T223" s="14">
        <v>3</v>
      </c>
    </row>
    <row r="224" spans="1:20" x14ac:dyDescent="0.3">
      <c r="A224" t="s">
        <v>613</v>
      </c>
      <c r="B224">
        <v>45981</v>
      </c>
      <c r="C224" t="s">
        <v>487</v>
      </c>
      <c r="D224" t="s">
        <v>488</v>
      </c>
      <c r="E224" t="s">
        <v>77</v>
      </c>
      <c r="F224">
        <v>57</v>
      </c>
      <c r="G224" t="s">
        <v>46</v>
      </c>
      <c r="H224" s="14" t="s">
        <v>25</v>
      </c>
      <c r="I224" s="14" t="s">
        <v>107</v>
      </c>
      <c r="J224" s="14" t="s">
        <v>108</v>
      </c>
      <c r="K224" s="14" t="s">
        <v>87</v>
      </c>
      <c r="L224" s="14" t="s">
        <v>88</v>
      </c>
      <c r="M224" s="14">
        <v>2</v>
      </c>
      <c r="N224" s="14">
        <v>1198.5</v>
      </c>
      <c r="O224" s="14">
        <v>840</v>
      </c>
      <c r="P224" s="14">
        <v>25</v>
      </c>
      <c r="Q224" s="14" t="s">
        <v>73</v>
      </c>
      <c r="R224" s="14" t="s">
        <v>42</v>
      </c>
      <c r="S224" s="14">
        <v>45987</v>
      </c>
      <c r="T224" s="14">
        <v>3</v>
      </c>
    </row>
    <row r="225" spans="1:20" x14ac:dyDescent="0.3">
      <c r="A225" t="s">
        <v>614</v>
      </c>
      <c r="B225">
        <v>45479</v>
      </c>
      <c r="C225" t="s">
        <v>520</v>
      </c>
      <c r="D225" t="s">
        <v>506</v>
      </c>
      <c r="E225" t="s">
        <v>77</v>
      </c>
      <c r="F225">
        <v>36</v>
      </c>
      <c r="G225" t="s">
        <v>173</v>
      </c>
      <c r="H225" s="14" t="s">
        <v>79</v>
      </c>
      <c r="I225" s="14" t="s">
        <v>112</v>
      </c>
      <c r="J225" s="14" t="s">
        <v>113</v>
      </c>
      <c r="K225" s="14" t="s">
        <v>114</v>
      </c>
      <c r="L225" s="14" t="s">
        <v>115</v>
      </c>
      <c r="M225" s="14">
        <v>4</v>
      </c>
      <c r="N225" s="14">
        <v>1957.2</v>
      </c>
      <c r="O225" s="14">
        <v>1480</v>
      </c>
      <c r="P225" s="14">
        <v>30</v>
      </c>
      <c r="Q225" s="14" t="s">
        <v>50</v>
      </c>
      <c r="R225" s="14" t="s">
        <v>42</v>
      </c>
      <c r="S225" s="14">
        <v>45490</v>
      </c>
      <c r="T225" s="14">
        <v>5</v>
      </c>
    </row>
    <row r="226" spans="1:20" x14ac:dyDescent="0.3">
      <c r="A226" t="s">
        <v>615</v>
      </c>
      <c r="B226">
        <v>45725</v>
      </c>
      <c r="C226" t="s">
        <v>390</v>
      </c>
      <c r="D226" t="s">
        <v>391</v>
      </c>
      <c r="E226" t="s">
        <v>23</v>
      </c>
      <c r="F226">
        <v>52</v>
      </c>
      <c r="G226" t="s">
        <v>101</v>
      </c>
      <c r="H226" s="14" t="s">
        <v>102</v>
      </c>
      <c r="I226" s="14" t="s">
        <v>92</v>
      </c>
      <c r="J226" s="14" t="s">
        <v>93</v>
      </c>
      <c r="K226" s="14" t="s">
        <v>87</v>
      </c>
      <c r="L226" s="14" t="s">
        <v>94</v>
      </c>
      <c r="M226" s="14">
        <v>5</v>
      </c>
      <c r="N226" s="14">
        <v>7195.5</v>
      </c>
      <c r="O226" s="14">
        <v>4650</v>
      </c>
      <c r="P226" s="14">
        <v>10</v>
      </c>
      <c r="Q226" s="14" t="s">
        <v>50</v>
      </c>
      <c r="R226" s="14" t="s">
        <v>42</v>
      </c>
      <c r="S226" s="14">
        <v>45734</v>
      </c>
      <c r="T226" s="14">
        <v>4</v>
      </c>
    </row>
    <row r="227" spans="1:20" x14ac:dyDescent="0.3">
      <c r="A227" t="s">
        <v>616</v>
      </c>
      <c r="B227">
        <v>45435</v>
      </c>
      <c r="C227" t="s">
        <v>390</v>
      </c>
      <c r="D227" t="s">
        <v>391</v>
      </c>
      <c r="E227" t="s">
        <v>23</v>
      </c>
      <c r="F227">
        <v>52</v>
      </c>
      <c r="G227" t="s">
        <v>126</v>
      </c>
      <c r="H227" s="14" t="s">
        <v>127</v>
      </c>
      <c r="I227" s="14" t="s">
        <v>63</v>
      </c>
      <c r="J227" s="14" t="s">
        <v>64</v>
      </c>
      <c r="K227" s="14" t="s">
        <v>39</v>
      </c>
      <c r="L227" s="14" t="s">
        <v>40</v>
      </c>
      <c r="M227" s="14">
        <v>5</v>
      </c>
      <c r="N227" s="14">
        <v>2995</v>
      </c>
      <c r="O227" s="14">
        <v>1650</v>
      </c>
      <c r="P227" s="14">
        <v>0</v>
      </c>
      <c r="Q227" s="14" t="s">
        <v>41</v>
      </c>
      <c r="R227" s="14" t="s">
        <v>42</v>
      </c>
      <c r="S227" s="14">
        <v>45444</v>
      </c>
      <c r="T227" s="14">
        <v>3</v>
      </c>
    </row>
    <row r="228" spans="1:20" x14ac:dyDescent="0.3">
      <c r="A228" t="s">
        <v>617</v>
      </c>
      <c r="B228">
        <v>45491</v>
      </c>
      <c r="C228" t="s">
        <v>152</v>
      </c>
      <c r="D228" t="s">
        <v>153</v>
      </c>
      <c r="E228" t="s">
        <v>23</v>
      </c>
      <c r="F228">
        <v>33</v>
      </c>
      <c r="G228" t="s">
        <v>101</v>
      </c>
      <c r="H228" s="14" t="s">
        <v>102</v>
      </c>
      <c r="I228" s="14" t="s">
        <v>134</v>
      </c>
      <c r="J228" s="14" t="s">
        <v>135</v>
      </c>
      <c r="K228" s="14" t="s">
        <v>39</v>
      </c>
      <c r="L228" s="14" t="s">
        <v>136</v>
      </c>
      <c r="M228" s="14">
        <v>4</v>
      </c>
      <c r="N228" s="14">
        <v>557.20000000000005</v>
      </c>
      <c r="O228" s="14">
        <v>360</v>
      </c>
      <c r="P228" s="14">
        <v>30</v>
      </c>
      <c r="Q228" s="14" t="s">
        <v>103</v>
      </c>
      <c r="R228" s="14" t="s">
        <v>42</v>
      </c>
      <c r="S228" s="14">
        <v>45495</v>
      </c>
      <c r="T228" s="14">
        <v>3</v>
      </c>
    </row>
    <row r="229" spans="1:20" x14ac:dyDescent="0.3">
      <c r="A229" t="s">
        <v>618</v>
      </c>
      <c r="B229">
        <v>45870</v>
      </c>
      <c r="C229" t="s">
        <v>266</v>
      </c>
      <c r="D229" t="s">
        <v>267</v>
      </c>
      <c r="E229" t="s">
        <v>77</v>
      </c>
      <c r="F229">
        <v>56</v>
      </c>
      <c r="G229" t="s">
        <v>90</v>
      </c>
      <c r="H229" s="14" t="s">
        <v>91</v>
      </c>
      <c r="I229" s="14" t="s">
        <v>143</v>
      </c>
      <c r="J229" s="14" t="s">
        <v>144</v>
      </c>
      <c r="K229" s="14" t="s">
        <v>130</v>
      </c>
      <c r="L229" s="14" t="s">
        <v>131</v>
      </c>
      <c r="M229" s="14">
        <v>1</v>
      </c>
      <c r="N229" s="14">
        <v>4399.2</v>
      </c>
      <c r="O229" s="14">
        <v>4300</v>
      </c>
      <c r="P229" s="14">
        <v>20</v>
      </c>
      <c r="Q229" s="14" t="s">
        <v>30</v>
      </c>
      <c r="R229" s="14" t="s">
        <v>65</v>
      </c>
    </row>
    <row r="230" spans="1:20" x14ac:dyDescent="0.3">
      <c r="A230" t="s">
        <v>619</v>
      </c>
      <c r="B230">
        <v>45587</v>
      </c>
      <c r="C230" t="s">
        <v>441</v>
      </c>
      <c r="D230" t="s">
        <v>442</v>
      </c>
      <c r="E230" t="s">
        <v>77</v>
      </c>
      <c r="F230">
        <v>44</v>
      </c>
      <c r="G230" t="s">
        <v>61</v>
      </c>
      <c r="H230" s="14" t="s">
        <v>62</v>
      </c>
      <c r="I230" s="14" t="s">
        <v>198</v>
      </c>
      <c r="J230" s="14" t="s">
        <v>199</v>
      </c>
      <c r="K230" s="14" t="s">
        <v>114</v>
      </c>
      <c r="L230" s="14" t="s">
        <v>200</v>
      </c>
      <c r="M230" s="14">
        <v>4</v>
      </c>
      <c r="N230" s="14">
        <v>4936.2</v>
      </c>
      <c r="O230" s="14">
        <v>3040</v>
      </c>
      <c r="P230" s="14">
        <v>5</v>
      </c>
      <c r="Q230" s="14" t="s">
        <v>50</v>
      </c>
      <c r="R230" s="14" t="s">
        <v>42</v>
      </c>
      <c r="S230" s="14">
        <v>45593</v>
      </c>
      <c r="T230" s="14">
        <v>4</v>
      </c>
    </row>
    <row r="231" spans="1:20" x14ac:dyDescent="0.3">
      <c r="A231" t="s">
        <v>620</v>
      </c>
      <c r="B231">
        <v>45847</v>
      </c>
      <c r="C231" t="s">
        <v>621</v>
      </c>
      <c r="D231" t="s">
        <v>622</v>
      </c>
      <c r="E231" t="s">
        <v>23</v>
      </c>
      <c r="F231">
        <v>32</v>
      </c>
      <c r="G231" t="s">
        <v>61</v>
      </c>
      <c r="H231" s="14" t="s">
        <v>62</v>
      </c>
      <c r="I231" s="14" t="s">
        <v>222</v>
      </c>
      <c r="J231" s="14" t="s">
        <v>223</v>
      </c>
      <c r="K231" s="14" t="s">
        <v>114</v>
      </c>
      <c r="L231" s="14" t="s">
        <v>115</v>
      </c>
      <c r="M231" s="14">
        <v>2</v>
      </c>
      <c r="N231" s="14">
        <v>1258.5999999999999</v>
      </c>
      <c r="O231" s="14">
        <v>1020</v>
      </c>
      <c r="P231" s="14">
        <v>30</v>
      </c>
      <c r="Q231" s="14" t="s">
        <v>73</v>
      </c>
      <c r="R231" s="14" t="s">
        <v>31</v>
      </c>
      <c r="S231" s="14">
        <v>45859</v>
      </c>
      <c r="T231" s="14">
        <v>4</v>
      </c>
    </row>
    <row r="232" spans="1:20" x14ac:dyDescent="0.3">
      <c r="A232" t="s">
        <v>623</v>
      </c>
      <c r="B232">
        <v>45596</v>
      </c>
      <c r="C232" t="s">
        <v>624</v>
      </c>
      <c r="D232" t="s">
        <v>625</v>
      </c>
      <c r="E232" t="s">
        <v>77</v>
      </c>
      <c r="F232">
        <v>47</v>
      </c>
      <c r="G232" t="s">
        <v>61</v>
      </c>
      <c r="H232" s="14" t="s">
        <v>62</v>
      </c>
      <c r="I232" s="14" t="s">
        <v>128</v>
      </c>
      <c r="J232" s="14" t="s">
        <v>129</v>
      </c>
      <c r="K232" s="14" t="s">
        <v>130</v>
      </c>
      <c r="L232" s="14" t="s">
        <v>131</v>
      </c>
      <c r="M232" s="14">
        <v>3</v>
      </c>
      <c r="N232" s="14">
        <v>18522.150000000001</v>
      </c>
      <c r="O232" s="14">
        <v>15300</v>
      </c>
      <c r="P232" s="14">
        <v>5</v>
      </c>
      <c r="Q232" s="14" t="s">
        <v>103</v>
      </c>
      <c r="R232" s="14" t="s">
        <v>57</v>
      </c>
      <c r="S232" s="14">
        <v>45599</v>
      </c>
      <c r="T232" s="14">
        <v>4</v>
      </c>
    </row>
    <row r="233" spans="1:20" x14ac:dyDescent="0.3">
      <c r="A233" t="s">
        <v>626</v>
      </c>
      <c r="B233">
        <v>45506</v>
      </c>
      <c r="C233" t="s">
        <v>627</v>
      </c>
      <c r="D233" t="s">
        <v>628</v>
      </c>
      <c r="E233" t="s">
        <v>77</v>
      </c>
      <c r="F233">
        <v>44</v>
      </c>
      <c r="G233" t="s">
        <v>122</v>
      </c>
      <c r="H233" s="14" t="s">
        <v>123</v>
      </c>
      <c r="I233" s="14" t="s">
        <v>319</v>
      </c>
      <c r="J233" s="14" t="s">
        <v>320</v>
      </c>
      <c r="K233" s="14" t="s">
        <v>28</v>
      </c>
      <c r="L233" s="14" t="s">
        <v>29</v>
      </c>
      <c r="M233" s="14">
        <v>5</v>
      </c>
      <c r="N233" s="14">
        <v>5395.5</v>
      </c>
      <c r="O233" s="14">
        <v>3550</v>
      </c>
      <c r="P233" s="14">
        <v>10</v>
      </c>
      <c r="Q233" s="14" t="s">
        <v>30</v>
      </c>
      <c r="R233" s="14" t="s">
        <v>57</v>
      </c>
      <c r="S233" s="14">
        <v>45511</v>
      </c>
      <c r="T233" s="14">
        <v>2</v>
      </c>
    </row>
    <row r="234" spans="1:20" x14ac:dyDescent="0.3">
      <c r="A234" t="s">
        <v>629</v>
      </c>
      <c r="B234">
        <v>45875</v>
      </c>
      <c r="C234" t="s">
        <v>627</v>
      </c>
      <c r="D234" t="s">
        <v>628</v>
      </c>
      <c r="E234" t="s">
        <v>77</v>
      </c>
      <c r="F234">
        <v>44</v>
      </c>
      <c r="G234" t="s">
        <v>207</v>
      </c>
      <c r="H234" s="14" t="s">
        <v>36</v>
      </c>
      <c r="I234" s="14" t="s">
        <v>155</v>
      </c>
      <c r="J234" s="14" t="s">
        <v>156</v>
      </c>
      <c r="K234" s="14" t="s">
        <v>114</v>
      </c>
      <c r="L234" s="14" t="s">
        <v>157</v>
      </c>
      <c r="M234" s="14">
        <v>5</v>
      </c>
      <c r="N234" s="14">
        <v>4495.5</v>
      </c>
      <c r="O234" s="14">
        <v>3050</v>
      </c>
      <c r="P234" s="14">
        <v>10</v>
      </c>
      <c r="Q234" s="14" t="s">
        <v>41</v>
      </c>
      <c r="R234" s="14" t="s">
        <v>31</v>
      </c>
      <c r="S234" s="14">
        <v>45881</v>
      </c>
      <c r="T234" s="14">
        <v>4</v>
      </c>
    </row>
    <row r="235" spans="1:20" x14ac:dyDescent="0.3">
      <c r="A235" t="s">
        <v>630</v>
      </c>
      <c r="B235">
        <v>45878</v>
      </c>
      <c r="C235" t="s">
        <v>159</v>
      </c>
      <c r="D235" t="s">
        <v>160</v>
      </c>
      <c r="E235" t="s">
        <v>23</v>
      </c>
      <c r="F235">
        <v>58</v>
      </c>
      <c r="G235" t="s">
        <v>69</v>
      </c>
      <c r="H235" s="14" t="s">
        <v>69</v>
      </c>
      <c r="I235" s="14" t="s">
        <v>252</v>
      </c>
      <c r="J235" s="14" t="s">
        <v>253</v>
      </c>
      <c r="K235" s="14" t="s">
        <v>28</v>
      </c>
      <c r="L235" s="14" t="s">
        <v>254</v>
      </c>
      <c r="M235" s="14">
        <v>4</v>
      </c>
      <c r="N235" s="14">
        <v>11996</v>
      </c>
      <c r="O235" s="14">
        <v>7600</v>
      </c>
      <c r="P235" s="14">
        <v>0</v>
      </c>
      <c r="Q235" s="14" t="s">
        <v>41</v>
      </c>
      <c r="R235" s="14" t="s">
        <v>57</v>
      </c>
      <c r="S235" s="14">
        <v>45890</v>
      </c>
      <c r="T235" s="14">
        <v>3</v>
      </c>
    </row>
    <row r="236" spans="1:20" x14ac:dyDescent="0.3">
      <c r="A236" t="s">
        <v>631</v>
      </c>
      <c r="B236">
        <v>46010</v>
      </c>
      <c r="C236" t="s">
        <v>632</v>
      </c>
      <c r="D236" t="s">
        <v>372</v>
      </c>
      <c r="E236" t="s">
        <v>77</v>
      </c>
      <c r="F236">
        <v>34</v>
      </c>
      <c r="G236" t="s">
        <v>90</v>
      </c>
      <c r="H236" s="14" t="s">
        <v>91</v>
      </c>
      <c r="I236" s="14" t="s">
        <v>252</v>
      </c>
      <c r="J236" s="14" t="s">
        <v>253</v>
      </c>
      <c r="K236" s="14" t="s">
        <v>28</v>
      </c>
      <c r="L236" s="14" t="s">
        <v>254</v>
      </c>
      <c r="M236" s="14">
        <v>3</v>
      </c>
      <c r="N236" s="14">
        <v>7647.45</v>
      </c>
      <c r="O236" s="14">
        <v>5700</v>
      </c>
      <c r="P236" s="14">
        <v>15</v>
      </c>
      <c r="Q236" s="14" t="s">
        <v>103</v>
      </c>
      <c r="R236" s="14" t="s">
        <v>42</v>
      </c>
      <c r="S236" s="14">
        <v>46014</v>
      </c>
      <c r="T236" s="14">
        <v>4</v>
      </c>
    </row>
    <row r="237" spans="1:20" x14ac:dyDescent="0.3">
      <c r="A237" t="s">
        <v>633</v>
      </c>
      <c r="B237">
        <v>45934</v>
      </c>
      <c r="C237" t="s">
        <v>634</v>
      </c>
      <c r="D237" t="s">
        <v>635</v>
      </c>
      <c r="E237" t="s">
        <v>77</v>
      </c>
      <c r="F237">
        <v>51</v>
      </c>
      <c r="G237" t="s">
        <v>165</v>
      </c>
      <c r="H237" s="14" t="s">
        <v>166</v>
      </c>
      <c r="I237" s="14" t="s">
        <v>63</v>
      </c>
      <c r="J237" s="14" t="s">
        <v>64</v>
      </c>
      <c r="K237" s="14" t="s">
        <v>39</v>
      </c>
      <c r="L237" s="14" t="s">
        <v>40</v>
      </c>
      <c r="M237" s="14">
        <v>1</v>
      </c>
      <c r="N237" s="14">
        <v>569.04999999999995</v>
      </c>
      <c r="O237" s="14">
        <v>330</v>
      </c>
      <c r="P237" s="14">
        <v>5</v>
      </c>
      <c r="Q237" s="14" t="s">
        <v>103</v>
      </c>
      <c r="R237" s="14" t="s">
        <v>65</v>
      </c>
    </row>
    <row r="238" spans="1:20" x14ac:dyDescent="0.3">
      <c r="A238" t="s">
        <v>636</v>
      </c>
      <c r="B238">
        <v>45576</v>
      </c>
      <c r="C238" t="s">
        <v>637</v>
      </c>
      <c r="D238" t="s">
        <v>638</v>
      </c>
      <c r="E238" t="s">
        <v>77</v>
      </c>
      <c r="F238">
        <v>47</v>
      </c>
      <c r="G238" t="s">
        <v>61</v>
      </c>
      <c r="H238" s="14" t="s">
        <v>62</v>
      </c>
      <c r="I238" s="14" t="s">
        <v>37</v>
      </c>
      <c r="J238" s="14" t="s">
        <v>38</v>
      </c>
      <c r="K238" s="14" t="s">
        <v>39</v>
      </c>
      <c r="L238" s="14" t="s">
        <v>40</v>
      </c>
      <c r="M238" s="14">
        <v>3</v>
      </c>
      <c r="N238" s="14">
        <v>2697</v>
      </c>
      <c r="O238" s="14">
        <v>1560</v>
      </c>
      <c r="P238" s="14">
        <v>0</v>
      </c>
      <c r="Q238" s="14" t="s">
        <v>73</v>
      </c>
      <c r="R238" s="14" t="s">
        <v>31</v>
      </c>
      <c r="S238" s="14">
        <v>45585</v>
      </c>
      <c r="T238" s="14">
        <v>4</v>
      </c>
    </row>
    <row r="239" spans="1:20" x14ac:dyDescent="0.3">
      <c r="A239" t="s">
        <v>639</v>
      </c>
      <c r="B239">
        <v>45356</v>
      </c>
      <c r="C239" t="s">
        <v>640</v>
      </c>
      <c r="D239" t="s">
        <v>349</v>
      </c>
      <c r="E239" t="s">
        <v>23</v>
      </c>
      <c r="F239">
        <v>42</v>
      </c>
      <c r="G239" t="s">
        <v>165</v>
      </c>
      <c r="H239" s="14" t="s">
        <v>166</v>
      </c>
      <c r="I239" s="14" t="s">
        <v>70</v>
      </c>
      <c r="J239" s="14" t="s">
        <v>71</v>
      </c>
      <c r="K239" s="14" t="s">
        <v>28</v>
      </c>
      <c r="L239" s="14" t="s">
        <v>72</v>
      </c>
      <c r="M239" s="14">
        <v>4</v>
      </c>
      <c r="N239" s="14">
        <v>5096.6000000000004</v>
      </c>
      <c r="O239" s="14">
        <v>3680</v>
      </c>
      <c r="P239" s="14">
        <v>15</v>
      </c>
      <c r="Q239" s="14" t="s">
        <v>103</v>
      </c>
      <c r="R239" s="14" t="s">
        <v>42</v>
      </c>
      <c r="S239" s="14">
        <v>45363</v>
      </c>
      <c r="T239" s="14">
        <v>4</v>
      </c>
    </row>
    <row r="240" spans="1:20" x14ac:dyDescent="0.3">
      <c r="A240" t="s">
        <v>641</v>
      </c>
      <c r="B240">
        <v>45637</v>
      </c>
      <c r="C240" t="s">
        <v>382</v>
      </c>
      <c r="D240" t="s">
        <v>188</v>
      </c>
      <c r="E240" t="s">
        <v>23</v>
      </c>
      <c r="F240">
        <v>44</v>
      </c>
      <c r="G240" t="s">
        <v>173</v>
      </c>
      <c r="H240" s="14" t="s">
        <v>79</v>
      </c>
      <c r="I240" s="14" t="s">
        <v>198</v>
      </c>
      <c r="J240" s="14" t="s">
        <v>199</v>
      </c>
      <c r="K240" s="14" t="s">
        <v>114</v>
      </c>
      <c r="L240" s="14" t="s">
        <v>200</v>
      </c>
      <c r="M240" s="14">
        <v>4</v>
      </c>
      <c r="N240" s="14">
        <v>3897</v>
      </c>
      <c r="O240" s="14">
        <v>3040</v>
      </c>
      <c r="P240" s="14">
        <v>25</v>
      </c>
      <c r="Q240" s="14" t="s">
        <v>73</v>
      </c>
      <c r="R240" s="14" t="s">
        <v>42</v>
      </c>
      <c r="S240" s="14">
        <v>45640</v>
      </c>
      <c r="T240" s="14">
        <v>5</v>
      </c>
    </row>
    <row r="241" spans="1:20" x14ac:dyDescent="0.3">
      <c r="A241" t="s">
        <v>642</v>
      </c>
      <c r="B241">
        <v>45308</v>
      </c>
      <c r="C241" t="s">
        <v>404</v>
      </c>
      <c r="D241" t="s">
        <v>326</v>
      </c>
      <c r="E241" t="s">
        <v>23</v>
      </c>
      <c r="F241">
        <v>54</v>
      </c>
      <c r="G241" t="s">
        <v>78</v>
      </c>
      <c r="H241" s="14" t="s">
        <v>79</v>
      </c>
      <c r="I241" s="14" t="s">
        <v>63</v>
      </c>
      <c r="J241" s="14" t="s">
        <v>64</v>
      </c>
      <c r="K241" s="14" t="s">
        <v>39</v>
      </c>
      <c r="L241" s="14" t="s">
        <v>40</v>
      </c>
      <c r="M241" s="14">
        <v>4</v>
      </c>
      <c r="N241" s="14">
        <v>2396</v>
      </c>
      <c r="O241" s="14">
        <v>1320</v>
      </c>
      <c r="P241" s="14">
        <v>0</v>
      </c>
      <c r="Q241" s="14" t="s">
        <v>103</v>
      </c>
      <c r="R241" s="14" t="s">
        <v>42</v>
      </c>
      <c r="S241" s="14">
        <v>45312</v>
      </c>
      <c r="T241" s="14">
        <v>4</v>
      </c>
    </row>
    <row r="242" spans="1:20" x14ac:dyDescent="0.3">
      <c r="A242" t="s">
        <v>643</v>
      </c>
      <c r="B242">
        <v>45454</v>
      </c>
      <c r="C242" t="s">
        <v>21</v>
      </c>
      <c r="D242" t="s">
        <v>22</v>
      </c>
      <c r="E242" t="s">
        <v>23</v>
      </c>
      <c r="F242">
        <v>39</v>
      </c>
      <c r="G242" t="s">
        <v>46</v>
      </c>
      <c r="H242" s="14" t="s">
        <v>25</v>
      </c>
      <c r="I242" s="14" t="s">
        <v>92</v>
      </c>
      <c r="J242" s="14" t="s">
        <v>93</v>
      </c>
      <c r="K242" s="14" t="s">
        <v>87</v>
      </c>
      <c r="L242" s="14" t="s">
        <v>94</v>
      </c>
      <c r="M242" s="14">
        <v>3</v>
      </c>
      <c r="N242" s="14">
        <v>3837.6</v>
      </c>
      <c r="O242" s="14">
        <v>2790</v>
      </c>
      <c r="P242" s="14">
        <v>20</v>
      </c>
      <c r="Q242" s="14" t="s">
        <v>73</v>
      </c>
      <c r="R242" s="14" t="s">
        <v>42</v>
      </c>
      <c r="S242" s="14">
        <v>45466</v>
      </c>
      <c r="T242" s="14">
        <v>3</v>
      </c>
    </row>
    <row r="243" spans="1:20" x14ac:dyDescent="0.3">
      <c r="A243" t="s">
        <v>644</v>
      </c>
      <c r="B243">
        <v>45345</v>
      </c>
      <c r="C243" t="s">
        <v>226</v>
      </c>
      <c r="D243" t="s">
        <v>227</v>
      </c>
      <c r="E243" t="s">
        <v>23</v>
      </c>
      <c r="F243">
        <v>32</v>
      </c>
      <c r="G243" t="s">
        <v>35</v>
      </c>
      <c r="H243" s="14" t="s">
        <v>36</v>
      </c>
      <c r="I243" s="14" t="s">
        <v>177</v>
      </c>
      <c r="J243" s="14" t="s">
        <v>178</v>
      </c>
      <c r="K243" s="14" t="s">
        <v>87</v>
      </c>
      <c r="L243" s="14" t="s">
        <v>179</v>
      </c>
      <c r="M243" s="14">
        <v>2</v>
      </c>
      <c r="N243" s="14">
        <v>3498.6</v>
      </c>
      <c r="O243" s="14">
        <v>3240</v>
      </c>
      <c r="P243" s="14">
        <v>30</v>
      </c>
      <c r="Q243" s="14" t="s">
        <v>73</v>
      </c>
      <c r="R243" s="14" t="s">
        <v>31</v>
      </c>
      <c r="S243" s="14">
        <v>45348</v>
      </c>
      <c r="T243" s="14">
        <v>2</v>
      </c>
    </row>
    <row r="244" spans="1:20" x14ac:dyDescent="0.3">
      <c r="A244" t="s">
        <v>645</v>
      </c>
      <c r="B244">
        <v>45510</v>
      </c>
      <c r="C244" t="s">
        <v>646</v>
      </c>
      <c r="D244" t="s">
        <v>352</v>
      </c>
      <c r="E244" t="s">
        <v>77</v>
      </c>
      <c r="F244">
        <v>22</v>
      </c>
      <c r="G244" t="s">
        <v>46</v>
      </c>
      <c r="H244" s="14" t="s">
        <v>25</v>
      </c>
      <c r="I244" s="14" t="s">
        <v>252</v>
      </c>
      <c r="J244" s="14" t="s">
        <v>253</v>
      </c>
      <c r="K244" s="14" t="s">
        <v>28</v>
      </c>
      <c r="L244" s="14" t="s">
        <v>254</v>
      </c>
      <c r="M244" s="14">
        <v>5</v>
      </c>
      <c r="N244" s="14">
        <v>12745.75</v>
      </c>
      <c r="O244" s="14">
        <v>9500</v>
      </c>
      <c r="P244" s="14">
        <v>15</v>
      </c>
      <c r="Q244" s="14" t="s">
        <v>50</v>
      </c>
      <c r="R244" s="14" t="s">
        <v>31</v>
      </c>
      <c r="S244" s="14">
        <v>45519</v>
      </c>
      <c r="T244" s="14">
        <v>2</v>
      </c>
    </row>
    <row r="245" spans="1:20" x14ac:dyDescent="0.3">
      <c r="A245" t="s">
        <v>647</v>
      </c>
      <c r="B245">
        <v>45300</v>
      </c>
      <c r="C245" t="s">
        <v>605</v>
      </c>
      <c r="D245" t="s">
        <v>442</v>
      </c>
      <c r="E245" t="s">
        <v>77</v>
      </c>
      <c r="F245">
        <v>22</v>
      </c>
      <c r="G245" t="s">
        <v>69</v>
      </c>
      <c r="H245" s="14" t="s">
        <v>69</v>
      </c>
      <c r="I245" s="14" t="s">
        <v>134</v>
      </c>
      <c r="J245" s="14" t="s">
        <v>135</v>
      </c>
      <c r="K245" s="14" t="s">
        <v>39</v>
      </c>
      <c r="L245" s="14" t="s">
        <v>136</v>
      </c>
      <c r="M245" s="14">
        <v>2</v>
      </c>
      <c r="N245" s="14">
        <v>238.8</v>
      </c>
      <c r="O245" s="14">
        <v>180</v>
      </c>
      <c r="P245" s="14">
        <v>40</v>
      </c>
      <c r="Q245" s="14" t="s">
        <v>648</v>
      </c>
      <c r="R245" s="14" t="s">
        <v>42</v>
      </c>
      <c r="S245" s="14">
        <v>45308</v>
      </c>
      <c r="T245" s="14">
        <v>3</v>
      </c>
    </row>
    <row r="246" spans="1:20" x14ac:dyDescent="0.3">
      <c r="A246" t="s">
        <v>649</v>
      </c>
      <c r="B246">
        <v>45396</v>
      </c>
      <c r="C246" t="s">
        <v>650</v>
      </c>
      <c r="D246" t="s">
        <v>638</v>
      </c>
      <c r="E246" t="s">
        <v>77</v>
      </c>
      <c r="F246">
        <v>25</v>
      </c>
      <c r="G246" t="s">
        <v>126</v>
      </c>
      <c r="H246" s="14" t="s">
        <v>127</v>
      </c>
      <c r="I246" s="14" t="s">
        <v>245</v>
      </c>
      <c r="J246" s="14" t="s">
        <v>246</v>
      </c>
      <c r="K246" s="14" t="s">
        <v>130</v>
      </c>
      <c r="L246" s="14" t="s">
        <v>247</v>
      </c>
      <c r="M246" s="14">
        <v>3</v>
      </c>
      <c r="N246" s="14">
        <v>6747.3</v>
      </c>
      <c r="O246" s="14">
        <v>5610</v>
      </c>
      <c r="P246" s="14">
        <v>10</v>
      </c>
      <c r="Q246" s="14" t="s">
        <v>103</v>
      </c>
      <c r="R246" s="14" t="s">
        <v>57</v>
      </c>
      <c r="S246" s="14">
        <v>45400</v>
      </c>
      <c r="T246" s="14">
        <v>3</v>
      </c>
    </row>
    <row r="247" spans="1:20" x14ac:dyDescent="0.3">
      <c r="A247" t="s">
        <v>651</v>
      </c>
      <c r="B247">
        <v>45362</v>
      </c>
      <c r="C247" t="s">
        <v>272</v>
      </c>
      <c r="D247" t="s">
        <v>273</v>
      </c>
      <c r="E247" t="s">
        <v>23</v>
      </c>
      <c r="F247">
        <v>46</v>
      </c>
      <c r="G247" t="s">
        <v>161</v>
      </c>
      <c r="H247" s="14" t="s">
        <v>25</v>
      </c>
      <c r="I247" s="14" t="s">
        <v>155</v>
      </c>
      <c r="J247" s="14" t="s">
        <v>156</v>
      </c>
      <c r="K247" s="14" t="s">
        <v>114</v>
      </c>
      <c r="L247" s="14" t="s">
        <v>157</v>
      </c>
      <c r="M247" s="14">
        <v>2</v>
      </c>
      <c r="O247" s="14">
        <v>1220</v>
      </c>
      <c r="P247" s="14">
        <v>40</v>
      </c>
      <c r="Q247" s="14" t="s">
        <v>41</v>
      </c>
      <c r="R247" s="14" t="s">
        <v>31</v>
      </c>
      <c r="S247" s="14">
        <v>45367</v>
      </c>
      <c r="T247" s="14">
        <v>3</v>
      </c>
    </row>
    <row r="248" spans="1:20" x14ac:dyDescent="0.3">
      <c r="A248" t="s">
        <v>652</v>
      </c>
      <c r="B248">
        <v>45713</v>
      </c>
      <c r="C248" t="s">
        <v>138</v>
      </c>
      <c r="D248" t="s">
        <v>139</v>
      </c>
      <c r="E248" t="s">
        <v>77</v>
      </c>
      <c r="F248">
        <v>42</v>
      </c>
      <c r="G248" t="s">
        <v>154</v>
      </c>
      <c r="H248" s="14" t="s">
        <v>91</v>
      </c>
      <c r="I248" s="14" t="s">
        <v>54</v>
      </c>
      <c r="J248" s="14" t="s">
        <v>55</v>
      </c>
      <c r="K248" s="14" t="s">
        <v>28</v>
      </c>
      <c r="L248" s="14" t="s">
        <v>56</v>
      </c>
      <c r="M248" s="14">
        <v>1</v>
      </c>
      <c r="N248" s="14">
        <v>629.1</v>
      </c>
      <c r="O248" s="14">
        <v>410</v>
      </c>
      <c r="P248" s="14">
        <v>10</v>
      </c>
      <c r="Q248" s="14" t="s">
        <v>73</v>
      </c>
      <c r="R248" s="14" t="s">
        <v>65</v>
      </c>
    </row>
    <row r="249" spans="1:20" x14ac:dyDescent="0.3">
      <c r="A249" t="s">
        <v>653</v>
      </c>
      <c r="B249">
        <v>45685</v>
      </c>
      <c r="C249" t="s">
        <v>627</v>
      </c>
      <c r="D249" t="s">
        <v>628</v>
      </c>
      <c r="E249" t="s">
        <v>77</v>
      </c>
      <c r="F249">
        <v>44</v>
      </c>
      <c r="G249" t="s">
        <v>122</v>
      </c>
      <c r="H249" s="14" t="s">
        <v>123</v>
      </c>
      <c r="I249" s="14" t="s">
        <v>183</v>
      </c>
      <c r="J249" s="14" t="s">
        <v>184</v>
      </c>
      <c r="K249" s="14" t="s">
        <v>130</v>
      </c>
      <c r="L249" s="14" t="s">
        <v>185</v>
      </c>
      <c r="M249" s="14">
        <v>2</v>
      </c>
      <c r="N249" s="14">
        <v>6798.3</v>
      </c>
      <c r="O249" s="14">
        <v>6100</v>
      </c>
      <c r="P249" s="14">
        <v>15</v>
      </c>
      <c r="Q249" s="14" t="s">
        <v>41</v>
      </c>
      <c r="R249" s="14" t="s">
        <v>31</v>
      </c>
      <c r="S249" s="14">
        <v>45688</v>
      </c>
      <c r="T249" s="14">
        <v>4</v>
      </c>
    </row>
    <row r="250" spans="1:20" x14ac:dyDescent="0.3">
      <c r="A250" t="s">
        <v>654</v>
      </c>
      <c r="B250">
        <v>45858</v>
      </c>
      <c r="C250" t="s">
        <v>438</v>
      </c>
      <c r="D250" t="s">
        <v>439</v>
      </c>
      <c r="E250" t="s">
        <v>23</v>
      </c>
      <c r="F250">
        <v>27</v>
      </c>
      <c r="G250" t="s">
        <v>161</v>
      </c>
      <c r="H250" s="14" t="s">
        <v>25</v>
      </c>
      <c r="I250" s="14" t="s">
        <v>107</v>
      </c>
      <c r="J250" s="14" t="s">
        <v>108</v>
      </c>
      <c r="K250" s="14" t="s">
        <v>87</v>
      </c>
      <c r="L250" s="14" t="s">
        <v>88</v>
      </c>
      <c r="M250" s="14">
        <v>3</v>
      </c>
      <c r="N250" s="14">
        <v>2037.45</v>
      </c>
      <c r="O250" s="14">
        <v>1260</v>
      </c>
      <c r="P250" s="14">
        <v>15</v>
      </c>
      <c r="Q250" s="14" t="s">
        <v>50</v>
      </c>
      <c r="R250" s="14" t="s">
        <v>65</v>
      </c>
    </row>
    <row r="251" spans="1:20" x14ac:dyDescent="0.3">
      <c r="A251" t="s">
        <v>655</v>
      </c>
      <c r="B251">
        <v>45813</v>
      </c>
      <c r="C251" t="s">
        <v>550</v>
      </c>
      <c r="D251" t="s">
        <v>482</v>
      </c>
      <c r="E251" t="s">
        <v>23</v>
      </c>
      <c r="F251">
        <v>33</v>
      </c>
      <c r="G251" t="s">
        <v>165</v>
      </c>
      <c r="H251" s="14" t="s">
        <v>166</v>
      </c>
      <c r="I251" s="14" t="s">
        <v>143</v>
      </c>
      <c r="J251" s="14" t="s">
        <v>144</v>
      </c>
      <c r="K251" s="14" t="s">
        <v>130</v>
      </c>
      <c r="L251" s="14" t="s">
        <v>131</v>
      </c>
      <c r="M251" s="14">
        <v>1</v>
      </c>
      <c r="N251" s="14">
        <v>4674.1499999999996</v>
      </c>
      <c r="O251" s="14">
        <v>4300</v>
      </c>
      <c r="P251" s="14">
        <v>15</v>
      </c>
      <c r="Q251" s="14" t="s">
        <v>103</v>
      </c>
      <c r="R251" s="14" t="s">
        <v>42</v>
      </c>
      <c r="S251" s="14">
        <v>45816</v>
      </c>
      <c r="T251" s="14">
        <v>4</v>
      </c>
    </row>
    <row r="252" spans="1:20" x14ac:dyDescent="0.3">
      <c r="A252" t="s">
        <v>656</v>
      </c>
      <c r="B252">
        <v>45803</v>
      </c>
      <c r="C252" t="s">
        <v>657</v>
      </c>
      <c r="D252" t="s">
        <v>658</v>
      </c>
      <c r="E252" t="s">
        <v>23</v>
      </c>
      <c r="F252">
        <v>31</v>
      </c>
      <c r="G252" t="s">
        <v>161</v>
      </c>
      <c r="H252" s="14" t="s">
        <v>25</v>
      </c>
      <c r="I252" s="14" t="s">
        <v>245</v>
      </c>
      <c r="J252" s="14" t="s">
        <v>246</v>
      </c>
      <c r="K252" s="14" t="s">
        <v>130</v>
      </c>
      <c r="L252" s="14" t="s">
        <v>247</v>
      </c>
      <c r="M252" s="14">
        <v>3</v>
      </c>
      <c r="N252" s="14">
        <v>6747.3</v>
      </c>
      <c r="O252" s="14">
        <v>5610</v>
      </c>
      <c r="P252" s="14">
        <v>10</v>
      </c>
      <c r="Q252" s="14" t="s">
        <v>103</v>
      </c>
      <c r="R252" s="14" t="s">
        <v>57</v>
      </c>
      <c r="S252" s="14">
        <v>45814</v>
      </c>
      <c r="T252" s="14">
        <v>5</v>
      </c>
    </row>
    <row r="253" spans="1:20" x14ac:dyDescent="0.3">
      <c r="A253" t="s">
        <v>659</v>
      </c>
      <c r="B253">
        <v>45666</v>
      </c>
      <c r="C253" t="s">
        <v>446</v>
      </c>
      <c r="D253" t="s">
        <v>447</v>
      </c>
      <c r="E253" t="s">
        <v>23</v>
      </c>
      <c r="F253">
        <v>30</v>
      </c>
      <c r="G253" t="s">
        <v>78</v>
      </c>
      <c r="H253" s="14" t="s">
        <v>79</v>
      </c>
      <c r="I253" s="14" t="s">
        <v>37</v>
      </c>
      <c r="J253" s="14" t="s">
        <v>38</v>
      </c>
      <c r="K253" s="14" t="s">
        <v>39</v>
      </c>
      <c r="L253" s="14" t="s">
        <v>40</v>
      </c>
      <c r="M253" s="14">
        <v>1</v>
      </c>
      <c r="N253" s="14">
        <v>899</v>
      </c>
      <c r="O253" s="14">
        <v>520</v>
      </c>
      <c r="P253" s="14">
        <v>0</v>
      </c>
      <c r="Q253" s="14" t="s">
        <v>50</v>
      </c>
      <c r="R253" s="14" t="s">
        <v>42</v>
      </c>
      <c r="S253" s="14">
        <v>45668</v>
      </c>
      <c r="T253" s="14">
        <v>4</v>
      </c>
    </row>
    <row r="254" spans="1:20" x14ac:dyDescent="0.3">
      <c r="A254" t="s">
        <v>660</v>
      </c>
      <c r="B254">
        <v>45512</v>
      </c>
      <c r="C254" t="s">
        <v>465</v>
      </c>
      <c r="D254" t="s">
        <v>53</v>
      </c>
      <c r="E254" t="s">
        <v>23</v>
      </c>
      <c r="F254">
        <v>22</v>
      </c>
      <c r="G254" t="s">
        <v>24</v>
      </c>
      <c r="H254" s="14" t="s">
        <v>25</v>
      </c>
      <c r="I254" s="14" t="s">
        <v>47</v>
      </c>
      <c r="J254" s="14" t="s">
        <v>48</v>
      </c>
      <c r="K254" s="14" t="s">
        <v>39</v>
      </c>
      <c r="L254" s="14" t="s">
        <v>49</v>
      </c>
      <c r="M254" s="14">
        <v>5</v>
      </c>
      <c r="N254" s="14">
        <v>1596</v>
      </c>
      <c r="O254" s="14">
        <v>1050</v>
      </c>
      <c r="P254" s="14">
        <v>20</v>
      </c>
      <c r="Q254" s="14" t="s">
        <v>50</v>
      </c>
      <c r="R254" s="14" t="s">
        <v>57</v>
      </c>
      <c r="S254" s="14">
        <v>45520</v>
      </c>
      <c r="T254" s="14">
        <v>5</v>
      </c>
    </row>
    <row r="255" spans="1:20" x14ac:dyDescent="0.3">
      <c r="A255" t="s">
        <v>661</v>
      </c>
      <c r="B255">
        <v>46010</v>
      </c>
      <c r="C255" t="s">
        <v>662</v>
      </c>
      <c r="D255" t="s">
        <v>97</v>
      </c>
      <c r="E255" t="s">
        <v>23</v>
      </c>
      <c r="F255">
        <v>47</v>
      </c>
      <c r="G255" t="s">
        <v>46</v>
      </c>
      <c r="H255" s="14" t="s">
        <v>25</v>
      </c>
      <c r="I255" s="14" t="s">
        <v>92</v>
      </c>
      <c r="J255" s="14" t="s">
        <v>93</v>
      </c>
      <c r="K255" s="14" t="s">
        <v>87</v>
      </c>
      <c r="L255" s="14" t="s">
        <v>94</v>
      </c>
      <c r="M255" s="14">
        <v>5</v>
      </c>
      <c r="N255" s="14">
        <v>7195.5</v>
      </c>
      <c r="O255" s="14">
        <v>4650</v>
      </c>
      <c r="P255" s="14">
        <v>10</v>
      </c>
      <c r="Q255" s="14" t="s">
        <v>41</v>
      </c>
      <c r="R255" s="14" t="s">
        <v>42</v>
      </c>
      <c r="S255" s="14">
        <v>46016</v>
      </c>
      <c r="T255" s="14">
        <v>3</v>
      </c>
    </row>
    <row r="256" spans="1:20" x14ac:dyDescent="0.3">
      <c r="A256" t="s">
        <v>663</v>
      </c>
      <c r="B256">
        <v>45815</v>
      </c>
      <c r="C256" t="s">
        <v>478</v>
      </c>
      <c r="D256" t="s">
        <v>479</v>
      </c>
      <c r="E256" t="s">
        <v>23</v>
      </c>
      <c r="F256">
        <v>36</v>
      </c>
      <c r="G256" t="s">
        <v>173</v>
      </c>
      <c r="H256" s="14" t="s">
        <v>79</v>
      </c>
      <c r="I256" s="14" t="s">
        <v>222</v>
      </c>
      <c r="J256" s="14" t="s">
        <v>223</v>
      </c>
      <c r="K256" s="14" t="s">
        <v>114</v>
      </c>
      <c r="L256" s="14" t="s">
        <v>115</v>
      </c>
      <c r="M256" s="14">
        <v>3</v>
      </c>
      <c r="N256" s="14">
        <v>1887.9</v>
      </c>
      <c r="O256" s="14">
        <v>1530</v>
      </c>
      <c r="P256" s="14">
        <v>30</v>
      </c>
      <c r="Q256" s="14" t="s">
        <v>50</v>
      </c>
      <c r="R256" s="14" t="s">
        <v>31</v>
      </c>
      <c r="S256" s="14">
        <v>45827</v>
      </c>
      <c r="T256" s="14">
        <v>3</v>
      </c>
    </row>
    <row r="257" spans="1:20" x14ac:dyDescent="0.3">
      <c r="A257" t="s">
        <v>664</v>
      </c>
      <c r="B257">
        <v>45609</v>
      </c>
      <c r="C257" t="s">
        <v>665</v>
      </c>
      <c r="D257" t="s">
        <v>666</v>
      </c>
      <c r="E257" t="s">
        <v>77</v>
      </c>
      <c r="F257">
        <v>55</v>
      </c>
      <c r="G257" t="s">
        <v>90</v>
      </c>
      <c r="H257" s="14" t="s">
        <v>91</v>
      </c>
      <c r="I257" s="14" t="s">
        <v>26</v>
      </c>
      <c r="J257" s="14" t="s">
        <v>27</v>
      </c>
      <c r="K257" s="14" t="s">
        <v>28</v>
      </c>
      <c r="L257" s="14" t="s">
        <v>29</v>
      </c>
      <c r="M257" s="14">
        <v>2</v>
      </c>
      <c r="N257" s="14">
        <v>2468.1</v>
      </c>
      <c r="O257" s="14">
        <v>1580</v>
      </c>
      <c r="P257" s="14">
        <v>5</v>
      </c>
      <c r="Q257" s="14" t="s">
        <v>103</v>
      </c>
      <c r="R257" s="14" t="s">
        <v>42</v>
      </c>
      <c r="S257" s="14">
        <v>45618</v>
      </c>
      <c r="T257" s="14">
        <v>2</v>
      </c>
    </row>
    <row r="258" spans="1:20" x14ac:dyDescent="0.3">
      <c r="A258" t="s">
        <v>667</v>
      </c>
      <c r="B258">
        <v>45608</v>
      </c>
      <c r="C258" t="s">
        <v>110</v>
      </c>
      <c r="D258" t="s">
        <v>111</v>
      </c>
      <c r="E258" t="s">
        <v>23</v>
      </c>
      <c r="F258">
        <v>39</v>
      </c>
      <c r="G258" t="s">
        <v>69</v>
      </c>
      <c r="H258" s="14" t="s">
        <v>69</v>
      </c>
      <c r="I258" s="14" t="s">
        <v>80</v>
      </c>
      <c r="J258" s="14" t="s">
        <v>81</v>
      </c>
      <c r="K258" s="14" t="s">
        <v>28</v>
      </c>
      <c r="L258" s="14" t="s">
        <v>29</v>
      </c>
      <c r="M258" s="14">
        <v>2</v>
      </c>
      <c r="N258" s="14">
        <v>1598</v>
      </c>
      <c r="O258" s="14">
        <v>940</v>
      </c>
      <c r="P258" s="14">
        <v>0</v>
      </c>
      <c r="Q258" s="14" t="s">
        <v>30</v>
      </c>
      <c r="R258" s="14" t="s">
        <v>42</v>
      </c>
      <c r="S258" s="14">
        <v>45615</v>
      </c>
      <c r="T258" s="14">
        <v>4</v>
      </c>
    </row>
    <row r="259" spans="1:20" x14ac:dyDescent="0.3">
      <c r="A259" t="s">
        <v>668</v>
      </c>
      <c r="B259">
        <v>45462</v>
      </c>
      <c r="C259" t="s">
        <v>669</v>
      </c>
      <c r="D259" t="s">
        <v>509</v>
      </c>
      <c r="E259" t="s">
        <v>77</v>
      </c>
      <c r="F259">
        <v>28</v>
      </c>
      <c r="G259" t="s">
        <v>173</v>
      </c>
      <c r="H259" s="14" t="s">
        <v>79</v>
      </c>
      <c r="I259" s="14" t="s">
        <v>177</v>
      </c>
      <c r="J259" s="14" t="s">
        <v>178</v>
      </c>
      <c r="K259" s="14" t="s">
        <v>87</v>
      </c>
      <c r="L259" s="14" t="s">
        <v>179</v>
      </c>
      <c r="M259" s="14">
        <v>3</v>
      </c>
      <c r="N259" s="14">
        <v>7122.15</v>
      </c>
      <c r="O259" s="14">
        <v>4860</v>
      </c>
      <c r="P259" s="14">
        <v>5</v>
      </c>
      <c r="Q259" s="14" t="s">
        <v>73</v>
      </c>
      <c r="R259" s="14" t="s">
        <v>42</v>
      </c>
      <c r="S259" s="14">
        <v>45470</v>
      </c>
      <c r="T259" s="14">
        <v>4</v>
      </c>
    </row>
    <row r="260" spans="1:20" x14ac:dyDescent="0.3">
      <c r="A260" t="s">
        <v>670</v>
      </c>
      <c r="B260">
        <v>45828</v>
      </c>
      <c r="C260" t="s">
        <v>671</v>
      </c>
      <c r="D260" t="s">
        <v>60</v>
      </c>
      <c r="E260" t="s">
        <v>23</v>
      </c>
      <c r="F260">
        <v>38</v>
      </c>
      <c r="G260" t="s">
        <v>207</v>
      </c>
      <c r="H260" s="14" t="s">
        <v>36</v>
      </c>
      <c r="I260" s="14" t="s">
        <v>85</v>
      </c>
      <c r="J260" s="14" t="s">
        <v>86</v>
      </c>
      <c r="K260" s="14" t="s">
        <v>87</v>
      </c>
      <c r="L260" s="14" t="s">
        <v>88</v>
      </c>
      <c r="M260" s="14">
        <v>5</v>
      </c>
      <c r="N260" s="14">
        <v>6645.25</v>
      </c>
      <c r="O260" s="14">
        <v>3950</v>
      </c>
      <c r="P260" s="14">
        <v>5</v>
      </c>
      <c r="Q260" s="14" t="s">
        <v>103</v>
      </c>
      <c r="R260" s="14" t="s">
        <v>42</v>
      </c>
      <c r="S260" s="14">
        <v>45838</v>
      </c>
      <c r="T260" s="14">
        <v>4</v>
      </c>
    </row>
    <row r="261" spans="1:20" x14ac:dyDescent="0.3">
      <c r="A261" t="s">
        <v>672</v>
      </c>
      <c r="B261">
        <v>45348</v>
      </c>
      <c r="C261" t="s">
        <v>455</v>
      </c>
      <c r="D261" t="s">
        <v>311</v>
      </c>
      <c r="E261" t="s">
        <v>23</v>
      </c>
      <c r="F261">
        <v>42</v>
      </c>
      <c r="G261" t="s">
        <v>78</v>
      </c>
      <c r="H261" s="14" t="s">
        <v>79</v>
      </c>
      <c r="I261" s="14" t="s">
        <v>245</v>
      </c>
      <c r="J261" s="14" t="s">
        <v>246</v>
      </c>
      <c r="K261" s="14" t="s">
        <v>130</v>
      </c>
      <c r="L261" s="14" t="s">
        <v>247</v>
      </c>
      <c r="M261" s="14">
        <v>2</v>
      </c>
      <c r="N261" s="14">
        <v>3998.4</v>
      </c>
      <c r="O261" s="14">
        <v>3740</v>
      </c>
      <c r="P261" s="14">
        <v>20</v>
      </c>
      <c r="Q261" s="14" t="s">
        <v>73</v>
      </c>
      <c r="R261" s="14" t="s">
        <v>65</v>
      </c>
    </row>
    <row r="262" spans="1:20" x14ac:dyDescent="0.3">
      <c r="A262" t="s">
        <v>673</v>
      </c>
      <c r="B262">
        <v>45982</v>
      </c>
      <c r="C262" t="s">
        <v>674</v>
      </c>
      <c r="D262" t="s">
        <v>675</v>
      </c>
      <c r="E262" t="s">
        <v>23</v>
      </c>
      <c r="F262">
        <v>51</v>
      </c>
      <c r="G262" t="s">
        <v>90</v>
      </c>
      <c r="H262" s="14" t="s">
        <v>91</v>
      </c>
      <c r="I262" s="14" t="s">
        <v>177</v>
      </c>
      <c r="J262" s="14" t="s">
        <v>178</v>
      </c>
      <c r="K262" s="14" t="s">
        <v>87</v>
      </c>
      <c r="L262" s="14" t="s">
        <v>179</v>
      </c>
      <c r="M262" s="14">
        <v>5</v>
      </c>
      <c r="N262" s="14">
        <v>12495</v>
      </c>
      <c r="O262" s="14">
        <v>8100</v>
      </c>
      <c r="P262" s="14">
        <v>0</v>
      </c>
      <c r="Q262" s="14" t="s">
        <v>73</v>
      </c>
      <c r="R262" s="14" t="s">
        <v>57</v>
      </c>
      <c r="S262" s="14">
        <v>45984</v>
      </c>
      <c r="T262" s="14">
        <v>4</v>
      </c>
    </row>
    <row r="263" spans="1:20" x14ac:dyDescent="0.3">
      <c r="A263" t="s">
        <v>676</v>
      </c>
      <c r="B263">
        <v>45339</v>
      </c>
      <c r="C263" t="s">
        <v>677</v>
      </c>
      <c r="D263" t="s">
        <v>678</v>
      </c>
      <c r="E263" t="s">
        <v>77</v>
      </c>
      <c r="F263">
        <v>34</v>
      </c>
      <c r="G263" t="s">
        <v>211</v>
      </c>
      <c r="H263" s="14" t="s">
        <v>127</v>
      </c>
      <c r="I263" s="14" t="s">
        <v>47</v>
      </c>
      <c r="J263" s="14" t="s">
        <v>48</v>
      </c>
      <c r="K263" s="14" t="s">
        <v>39</v>
      </c>
      <c r="L263" s="14" t="s">
        <v>49</v>
      </c>
      <c r="M263" s="14">
        <v>2</v>
      </c>
      <c r="N263" s="14">
        <v>718.2</v>
      </c>
      <c r="O263" s="14">
        <v>420</v>
      </c>
      <c r="P263" s="14">
        <v>10</v>
      </c>
      <c r="Q263" s="14" t="s">
        <v>73</v>
      </c>
      <c r="R263" s="14" t="s">
        <v>65</v>
      </c>
    </row>
    <row r="264" spans="1:20" x14ac:dyDescent="0.3">
      <c r="A264" t="s">
        <v>679</v>
      </c>
      <c r="B264">
        <v>45963</v>
      </c>
      <c r="C264" t="s">
        <v>535</v>
      </c>
      <c r="D264" t="s">
        <v>536</v>
      </c>
      <c r="E264" t="s">
        <v>77</v>
      </c>
      <c r="F264">
        <v>22</v>
      </c>
      <c r="G264" t="s">
        <v>90</v>
      </c>
      <c r="H264" s="14" t="s">
        <v>91</v>
      </c>
      <c r="I264" s="14" t="s">
        <v>183</v>
      </c>
      <c r="J264" s="14" t="s">
        <v>184</v>
      </c>
      <c r="K264" s="14" t="s">
        <v>130</v>
      </c>
      <c r="L264" s="14" t="s">
        <v>185</v>
      </c>
      <c r="M264" s="14">
        <v>2</v>
      </c>
      <c r="N264" s="14">
        <v>5598.6</v>
      </c>
      <c r="O264" s="14">
        <v>6100</v>
      </c>
      <c r="P264" s="14">
        <v>30</v>
      </c>
      <c r="Q264" s="14" t="s">
        <v>41</v>
      </c>
      <c r="R264" s="14" t="s">
        <v>42</v>
      </c>
      <c r="S264" s="14">
        <v>45966</v>
      </c>
      <c r="T264" s="14">
        <v>4</v>
      </c>
    </row>
    <row r="265" spans="1:20" x14ac:dyDescent="0.3">
      <c r="A265" t="s">
        <v>680</v>
      </c>
      <c r="B265">
        <v>45414</v>
      </c>
      <c r="C265" t="s">
        <v>681</v>
      </c>
      <c r="D265" t="s">
        <v>203</v>
      </c>
      <c r="E265" t="s">
        <v>23</v>
      </c>
      <c r="F265">
        <v>58</v>
      </c>
      <c r="G265" t="s">
        <v>24</v>
      </c>
      <c r="H265" s="14" t="s">
        <v>25</v>
      </c>
      <c r="I265" s="14" t="s">
        <v>319</v>
      </c>
      <c r="J265" s="14" t="s">
        <v>320</v>
      </c>
      <c r="K265" s="14" t="s">
        <v>28</v>
      </c>
      <c r="L265" s="14" t="s">
        <v>29</v>
      </c>
      <c r="M265" s="14">
        <v>2</v>
      </c>
      <c r="N265" s="14">
        <v>2398</v>
      </c>
      <c r="O265" s="14">
        <v>1420</v>
      </c>
      <c r="P265" s="14">
        <v>0</v>
      </c>
      <c r="Q265" s="14" t="s">
        <v>103</v>
      </c>
      <c r="R265" s="14" t="s">
        <v>42</v>
      </c>
      <c r="S265" s="14">
        <v>45423</v>
      </c>
      <c r="T265" s="14">
        <v>4</v>
      </c>
    </row>
    <row r="266" spans="1:20" x14ac:dyDescent="0.3">
      <c r="A266" t="s">
        <v>682</v>
      </c>
      <c r="B266">
        <v>45610</v>
      </c>
      <c r="C266" t="s">
        <v>233</v>
      </c>
      <c r="D266" t="s">
        <v>118</v>
      </c>
      <c r="E266" t="s">
        <v>23</v>
      </c>
      <c r="F266">
        <v>34</v>
      </c>
      <c r="G266" t="s">
        <v>46</v>
      </c>
      <c r="H266" s="14" t="s">
        <v>25</v>
      </c>
      <c r="I266" s="14" t="s">
        <v>222</v>
      </c>
      <c r="J266" s="14" t="s">
        <v>223</v>
      </c>
      <c r="K266" s="14" t="s">
        <v>114</v>
      </c>
      <c r="L266" s="14" t="s">
        <v>115</v>
      </c>
      <c r="M266" s="14">
        <v>4</v>
      </c>
      <c r="N266" s="14">
        <v>3596</v>
      </c>
      <c r="O266" s="14">
        <v>2040</v>
      </c>
      <c r="P266" s="14">
        <v>0</v>
      </c>
      <c r="Q266" s="14" t="s">
        <v>41</v>
      </c>
      <c r="R266" s="14" t="s">
        <v>42</v>
      </c>
      <c r="S266" s="14">
        <v>45616</v>
      </c>
      <c r="T266" s="14">
        <v>4</v>
      </c>
    </row>
    <row r="267" spans="1:20" x14ac:dyDescent="0.3">
      <c r="A267" t="s">
        <v>683</v>
      </c>
      <c r="B267">
        <v>45929</v>
      </c>
      <c r="C267" t="s">
        <v>567</v>
      </c>
      <c r="D267" t="s">
        <v>568</v>
      </c>
      <c r="E267" t="s">
        <v>77</v>
      </c>
      <c r="F267">
        <v>50</v>
      </c>
      <c r="G267" t="s">
        <v>61</v>
      </c>
      <c r="H267" s="14" t="s">
        <v>62</v>
      </c>
      <c r="I267" s="14" t="s">
        <v>245</v>
      </c>
      <c r="J267" s="14" t="s">
        <v>246</v>
      </c>
      <c r="K267" s="14" t="s">
        <v>130</v>
      </c>
      <c r="L267" s="14" t="s">
        <v>247</v>
      </c>
      <c r="M267" s="14">
        <v>5</v>
      </c>
      <c r="N267" s="14">
        <v>7497</v>
      </c>
      <c r="O267" s="14">
        <v>9350</v>
      </c>
      <c r="P267" s="14">
        <v>40</v>
      </c>
      <c r="Q267" s="14" t="s">
        <v>30</v>
      </c>
      <c r="R267" s="14" t="s">
        <v>31</v>
      </c>
      <c r="S267" s="14">
        <v>45939</v>
      </c>
      <c r="T267" s="14">
        <v>4</v>
      </c>
    </row>
    <row r="268" spans="1:20" x14ac:dyDescent="0.3">
      <c r="A268" t="s">
        <v>684</v>
      </c>
      <c r="B268">
        <v>45446</v>
      </c>
      <c r="C268" t="s">
        <v>685</v>
      </c>
      <c r="D268" t="s">
        <v>399</v>
      </c>
      <c r="E268" t="s">
        <v>77</v>
      </c>
      <c r="F268">
        <v>52</v>
      </c>
      <c r="G268" t="s">
        <v>122</v>
      </c>
      <c r="H268" s="14" t="s">
        <v>123</v>
      </c>
      <c r="I268" s="14" t="s">
        <v>80</v>
      </c>
      <c r="J268" s="14" t="s">
        <v>81</v>
      </c>
      <c r="K268" s="14" t="s">
        <v>28</v>
      </c>
      <c r="L268" s="14" t="s">
        <v>29</v>
      </c>
      <c r="M268" s="14">
        <v>2</v>
      </c>
      <c r="N268" s="14">
        <v>1198.5</v>
      </c>
      <c r="O268" s="14">
        <v>940</v>
      </c>
      <c r="P268" s="14">
        <v>25</v>
      </c>
      <c r="Q268" s="14" t="s">
        <v>73</v>
      </c>
      <c r="R268" s="14" t="s">
        <v>42</v>
      </c>
      <c r="S268" s="14">
        <v>45448</v>
      </c>
      <c r="T268" s="14">
        <v>5</v>
      </c>
    </row>
    <row r="269" spans="1:20" x14ac:dyDescent="0.3">
      <c r="A269" t="s">
        <v>686</v>
      </c>
      <c r="B269">
        <v>45606</v>
      </c>
      <c r="C269" t="s">
        <v>284</v>
      </c>
      <c r="D269" t="s">
        <v>285</v>
      </c>
      <c r="E269" t="s">
        <v>77</v>
      </c>
      <c r="F269">
        <v>28</v>
      </c>
      <c r="G269" t="s">
        <v>154</v>
      </c>
      <c r="H269" s="14" t="s">
        <v>91</v>
      </c>
      <c r="I269" s="14" t="s">
        <v>112</v>
      </c>
      <c r="J269" s="14" t="s">
        <v>113</v>
      </c>
      <c r="K269" s="14" t="s">
        <v>114</v>
      </c>
      <c r="L269" s="14" t="s">
        <v>115</v>
      </c>
      <c r="M269" s="14">
        <v>2</v>
      </c>
      <c r="N269" s="14">
        <v>978.6</v>
      </c>
      <c r="O269" s="14">
        <v>740</v>
      </c>
      <c r="P269" s="14">
        <v>30</v>
      </c>
      <c r="Q269" s="14" t="s">
        <v>103</v>
      </c>
      <c r="R269" s="14" t="s">
        <v>42</v>
      </c>
      <c r="S269" s="14">
        <v>45610</v>
      </c>
      <c r="T269" s="14">
        <v>4</v>
      </c>
    </row>
    <row r="270" spans="1:20" x14ac:dyDescent="0.3">
      <c r="A270" t="s">
        <v>687</v>
      </c>
      <c r="B270">
        <v>45387</v>
      </c>
      <c r="C270" t="s">
        <v>599</v>
      </c>
      <c r="D270" t="s">
        <v>600</v>
      </c>
      <c r="E270" t="s">
        <v>77</v>
      </c>
      <c r="F270">
        <v>32</v>
      </c>
      <c r="G270" t="s">
        <v>90</v>
      </c>
      <c r="H270" s="14" t="s">
        <v>91</v>
      </c>
      <c r="I270" s="14" t="s">
        <v>112</v>
      </c>
      <c r="J270" s="14" t="s">
        <v>113</v>
      </c>
      <c r="K270" s="14" t="s">
        <v>114</v>
      </c>
      <c r="L270" s="14" t="s">
        <v>115</v>
      </c>
      <c r="M270" s="14">
        <v>4</v>
      </c>
      <c r="N270" s="14">
        <v>2097</v>
      </c>
      <c r="O270" s="14">
        <v>1480</v>
      </c>
      <c r="P270" s="14">
        <v>25</v>
      </c>
      <c r="Q270" s="14" t="s">
        <v>103</v>
      </c>
      <c r="R270" s="14" t="s">
        <v>31</v>
      </c>
      <c r="S270" s="14">
        <v>45390</v>
      </c>
      <c r="T270" s="14">
        <v>3</v>
      </c>
    </row>
    <row r="271" spans="1:20" x14ac:dyDescent="0.3">
      <c r="A271" t="s">
        <v>688</v>
      </c>
      <c r="B271">
        <v>45809</v>
      </c>
      <c r="C271" t="s">
        <v>689</v>
      </c>
      <c r="D271" t="s">
        <v>690</v>
      </c>
      <c r="E271" t="s">
        <v>77</v>
      </c>
      <c r="F271">
        <v>45</v>
      </c>
      <c r="G271" t="s">
        <v>165</v>
      </c>
      <c r="H271" s="14" t="s">
        <v>166</v>
      </c>
      <c r="I271" s="14" t="s">
        <v>54</v>
      </c>
      <c r="J271" s="14" t="s">
        <v>55</v>
      </c>
      <c r="K271" s="14" t="s">
        <v>28</v>
      </c>
      <c r="L271" s="14" t="s">
        <v>56</v>
      </c>
      <c r="M271" s="14">
        <v>5</v>
      </c>
      <c r="N271" s="14">
        <v>3495</v>
      </c>
      <c r="O271" s="14">
        <v>2050</v>
      </c>
      <c r="P271" s="14">
        <v>0</v>
      </c>
      <c r="Q271" s="14" t="s">
        <v>103</v>
      </c>
      <c r="R271" s="14" t="s">
        <v>31</v>
      </c>
      <c r="S271" s="14">
        <v>45813</v>
      </c>
      <c r="T271" s="14">
        <v>4</v>
      </c>
    </row>
    <row r="272" spans="1:20" x14ac:dyDescent="0.3">
      <c r="A272" t="s">
        <v>691</v>
      </c>
      <c r="B272">
        <v>45590</v>
      </c>
      <c r="C272" t="s">
        <v>511</v>
      </c>
      <c r="D272" t="s">
        <v>512</v>
      </c>
      <c r="E272" t="s">
        <v>23</v>
      </c>
      <c r="F272">
        <v>53</v>
      </c>
      <c r="G272" t="s">
        <v>126</v>
      </c>
      <c r="H272" s="14" t="s">
        <v>127</v>
      </c>
      <c r="I272" s="14" t="s">
        <v>47</v>
      </c>
      <c r="J272" s="14" t="s">
        <v>48</v>
      </c>
      <c r="K272" s="14" t="s">
        <v>39</v>
      </c>
      <c r="L272" s="14" t="s">
        <v>49</v>
      </c>
      <c r="M272" s="14">
        <v>3</v>
      </c>
      <c r="N272" s="14">
        <v>897.75</v>
      </c>
      <c r="O272" s="14">
        <v>630</v>
      </c>
      <c r="P272" s="14">
        <v>25</v>
      </c>
      <c r="Q272" s="14" t="s">
        <v>103</v>
      </c>
      <c r="R272" s="14" t="s">
        <v>42</v>
      </c>
      <c r="S272" s="14">
        <v>45595</v>
      </c>
      <c r="T272" s="14">
        <v>3</v>
      </c>
    </row>
    <row r="273" spans="1:20" x14ac:dyDescent="0.3">
      <c r="A273" t="s">
        <v>692</v>
      </c>
      <c r="B273">
        <v>45499</v>
      </c>
      <c r="C273" t="s">
        <v>693</v>
      </c>
      <c r="D273" t="s">
        <v>694</v>
      </c>
      <c r="E273" t="s">
        <v>23</v>
      </c>
      <c r="F273">
        <v>30</v>
      </c>
      <c r="G273" t="s">
        <v>69</v>
      </c>
      <c r="H273" s="14" t="s">
        <v>69</v>
      </c>
      <c r="I273" s="14" t="s">
        <v>252</v>
      </c>
      <c r="J273" s="14" t="s">
        <v>253</v>
      </c>
      <c r="K273" s="14" t="s">
        <v>28</v>
      </c>
      <c r="L273" s="14" t="s">
        <v>254</v>
      </c>
      <c r="M273" s="14">
        <v>1</v>
      </c>
      <c r="N273" s="14">
        <v>2699.1</v>
      </c>
      <c r="O273" s="14">
        <v>1900</v>
      </c>
      <c r="P273" s="14">
        <v>10</v>
      </c>
      <c r="Q273" s="14" t="s">
        <v>103</v>
      </c>
      <c r="R273" s="14" t="s">
        <v>42</v>
      </c>
      <c r="S273" s="14">
        <v>45506</v>
      </c>
      <c r="T273" s="14">
        <v>5</v>
      </c>
    </row>
    <row r="274" spans="1:20" x14ac:dyDescent="0.3">
      <c r="A274" t="s">
        <v>695</v>
      </c>
      <c r="B274">
        <v>45415</v>
      </c>
      <c r="C274" t="s">
        <v>523</v>
      </c>
      <c r="D274" t="s">
        <v>524</v>
      </c>
      <c r="E274" t="s">
        <v>77</v>
      </c>
      <c r="F274">
        <v>49</v>
      </c>
      <c r="G274" t="s">
        <v>211</v>
      </c>
      <c r="H274" s="14" t="s">
        <v>127</v>
      </c>
      <c r="I274" s="14" t="s">
        <v>70</v>
      </c>
      <c r="J274" s="14" t="s">
        <v>71</v>
      </c>
      <c r="K274" s="14" t="s">
        <v>28</v>
      </c>
      <c r="L274" s="14" t="s">
        <v>72</v>
      </c>
      <c r="M274" s="14">
        <v>4</v>
      </c>
      <c r="N274" s="14">
        <v>4796.8</v>
      </c>
      <c r="O274" s="14">
        <v>3680</v>
      </c>
      <c r="P274" s="14">
        <v>20</v>
      </c>
      <c r="Q274" s="14" t="s">
        <v>103</v>
      </c>
      <c r="R274" s="14" t="s">
        <v>42</v>
      </c>
      <c r="S274" s="14">
        <v>45418</v>
      </c>
      <c r="T274" s="14">
        <v>3</v>
      </c>
    </row>
    <row r="275" spans="1:20" x14ac:dyDescent="0.3">
      <c r="A275" t="s">
        <v>696</v>
      </c>
      <c r="B275">
        <v>45453</v>
      </c>
      <c r="C275" t="s">
        <v>331</v>
      </c>
      <c r="D275" t="s">
        <v>332</v>
      </c>
      <c r="E275" t="s">
        <v>23</v>
      </c>
      <c r="F275">
        <v>39</v>
      </c>
      <c r="G275" t="s">
        <v>24</v>
      </c>
      <c r="H275" s="14" t="s">
        <v>25</v>
      </c>
      <c r="I275" s="14" t="s">
        <v>70</v>
      </c>
      <c r="J275" s="14" t="s">
        <v>71</v>
      </c>
      <c r="K275" s="14" t="s">
        <v>28</v>
      </c>
      <c r="L275" s="14" t="s">
        <v>72</v>
      </c>
      <c r="M275" s="14">
        <v>3</v>
      </c>
      <c r="N275" s="14">
        <v>4047.3</v>
      </c>
      <c r="O275" s="14">
        <v>2760</v>
      </c>
      <c r="P275" s="14">
        <v>10</v>
      </c>
      <c r="Q275" s="14" t="s">
        <v>73</v>
      </c>
      <c r="R275" s="14" t="s">
        <v>31</v>
      </c>
      <c r="S275" s="14">
        <v>45458</v>
      </c>
      <c r="T275" s="14">
        <v>4</v>
      </c>
    </row>
    <row r="276" spans="1:20" x14ac:dyDescent="0.3">
      <c r="A276" t="s">
        <v>697</v>
      </c>
      <c r="B276">
        <v>45697</v>
      </c>
      <c r="C276" t="s">
        <v>300</v>
      </c>
      <c r="D276" t="s">
        <v>172</v>
      </c>
      <c r="E276" t="s">
        <v>23</v>
      </c>
      <c r="F276">
        <v>39</v>
      </c>
      <c r="G276" t="s">
        <v>24</v>
      </c>
      <c r="H276" s="14" t="s">
        <v>25</v>
      </c>
      <c r="I276" s="14" t="s">
        <v>107</v>
      </c>
      <c r="J276" s="14" t="s">
        <v>108</v>
      </c>
      <c r="K276" s="14" t="s">
        <v>87</v>
      </c>
      <c r="L276" s="14" t="s">
        <v>88</v>
      </c>
      <c r="M276" s="14">
        <v>3</v>
      </c>
      <c r="N276" s="14">
        <v>1917.6</v>
      </c>
      <c r="O276" s="14">
        <v>1260</v>
      </c>
      <c r="P276" s="14">
        <v>20</v>
      </c>
      <c r="Q276" s="14" t="s">
        <v>30</v>
      </c>
      <c r="R276" s="14" t="s">
        <v>42</v>
      </c>
      <c r="S276" s="14">
        <v>45705</v>
      </c>
      <c r="T276" s="14">
        <v>5</v>
      </c>
    </row>
    <row r="277" spans="1:20" x14ac:dyDescent="0.3">
      <c r="A277" t="s">
        <v>698</v>
      </c>
      <c r="B277">
        <v>45861</v>
      </c>
      <c r="C277" t="s">
        <v>495</v>
      </c>
      <c r="D277" t="s">
        <v>496</v>
      </c>
      <c r="E277" t="s">
        <v>77</v>
      </c>
      <c r="F277">
        <v>33</v>
      </c>
      <c r="G277" t="s">
        <v>90</v>
      </c>
      <c r="H277" s="14" t="s">
        <v>91</v>
      </c>
      <c r="I277" s="14" t="s">
        <v>229</v>
      </c>
      <c r="J277" s="14" t="s">
        <v>230</v>
      </c>
      <c r="K277" s="14" t="s">
        <v>28</v>
      </c>
      <c r="L277" s="14" t="s">
        <v>231</v>
      </c>
      <c r="M277" s="14">
        <v>4</v>
      </c>
      <c r="N277" s="14">
        <v>7596.2</v>
      </c>
      <c r="O277" s="14">
        <v>4920</v>
      </c>
      <c r="P277" s="14">
        <v>5</v>
      </c>
      <c r="Q277" s="14" t="s">
        <v>30</v>
      </c>
      <c r="R277" s="14" t="s">
        <v>42</v>
      </c>
      <c r="S277" s="14">
        <v>45863</v>
      </c>
      <c r="T277" s="14">
        <v>2</v>
      </c>
    </row>
    <row r="278" spans="1:20" x14ac:dyDescent="0.3">
      <c r="A278" t="s">
        <v>699</v>
      </c>
      <c r="B278">
        <v>45519</v>
      </c>
      <c r="C278" t="s">
        <v>700</v>
      </c>
      <c r="D278" t="s">
        <v>250</v>
      </c>
      <c r="E278" t="s">
        <v>23</v>
      </c>
      <c r="F278">
        <v>48</v>
      </c>
      <c r="G278" t="s">
        <v>154</v>
      </c>
      <c r="H278" s="14" t="s">
        <v>91</v>
      </c>
      <c r="I278" s="14" t="s">
        <v>47</v>
      </c>
      <c r="J278" s="14" t="s">
        <v>48</v>
      </c>
      <c r="K278" s="14" t="s">
        <v>39</v>
      </c>
      <c r="L278" s="14" t="s">
        <v>49</v>
      </c>
      <c r="M278" s="14">
        <v>3</v>
      </c>
      <c r="N278" s="14">
        <v>1137.1500000000001</v>
      </c>
      <c r="O278" s="14">
        <v>630</v>
      </c>
      <c r="P278" s="14">
        <v>5</v>
      </c>
      <c r="Q278" s="14" t="s">
        <v>50</v>
      </c>
      <c r="R278" s="14" t="s">
        <v>65</v>
      </c>
    </row>
    <row r="279" spans="1:20" x14ac:dyDescent="0.3">
      <c r="A279" t="s">
        <v>701</v>
      </c>
      <c r="B279">
        <v>45557</v>
      </c>
      <c r="C279" t="s">
        <v>75</v>
      </c>
      <c r="D279" t="s">
        <v>76</v>
      </c>
      <c r="E279" t="s">
        <v>77</v>
      </c>
      <c r="F279">
        <v>27</v>
      </c>
      <c r="G279" t="s">
        <v>161</v>
      </c>
      <c r="H279" s="14" t="s">
        <v>25</v>
      </c>
      <c r="I279" s="14" t="s">
        <v>54</v>
      </c>
      <c r="J279" s="14" t="s">
        <v>55</v>
      </c>
      <c r="K279" s="14" t="s">
        <v>28</v>
      </c>
      <c r="L279" s="14" t="s">
        <v>56</v>
      </c>
      <c r="M279" s="14">
        <v>2</v>
      </c>
      <c r="N279" s="14">
        <v>838.8</v>
      </c>
      <c r="O279" s="14">
        <v>820</v>
      </c>
      <c r="P279" s="14">
        <v>40</v>
      </c>
      <c r="Q279" s="14" t="s">
        <v>30</v>
      </c>
      <c r="R279" s="14" t="s">
        <v>42</v>
      </c>
      <c r="S279" s="14">
        <v>45564</v>
      </c>
      <c r="T279" s="14">
        <v>3</v>
      </c>
    </row>
    <row r="280" spans="1:20" x14ac:dyDescent="0.3">
      <c r="A280" t="s">
        <v>702</v>
      </c>
      <c r="B280">
        <v>45335</v>
      </c>
      <c r="C280" t="s">
        <v>146</v>
      </c>
      <c r="D280" t="s">
        <v>147</v>
      </c>
      <c r="E280" t="s">
        <v>23</v>
      </c>
      <c r="F280">
        <v>45</v>
      </c>
      <c r="G280" t="s">
        <v>24</v>
      </c>
      <c r="H280" s="14" t="s">
        <v>25</v>
      </c>
      <c r="I280" s="14" t="s">
        <v>319</v>
      </c>
      <c r="J280" s="14" t="s">
        <v>320</v>
      </c>
      <c r="K280" s="14" t="s">
        <v>28</v>
      </c>
      <c r="L280" s="14" t="s">
        <v>29</v>
      </c>
      <c r="M280" s="14">
        <v>5</v>
      </c>
      <c r="N280" s="14">
        <v>4196.5</v>
      </c>
      <c r="O280" s="14">
        <v>3550</v>
      </c>
      <c r="P280" s="14">
        <v>30</v>
      </c>
      <c r="Q280" s="14" t="s">
        <v>103</v>
      </c>
      <c r="R280" s="14" t="s">
        <v>42</v>
      </c>
      <c r="S280" s="14">
        <v>45337</v>
      </c>
      <c r="T280" s="14">
        <v>5</v>
      </c>
    </row>
    <row r="281" spans="1:20" x14ac:dyDescent="0.3">
      <c r="A281" t="s">
        <v>703</v>
      </c>
      <c r="B281">
        <v>45991</v>
      </c>
      <c r="C281" t="s">
        <v>704</v>
      </c>
      <c r="D281" t="s">
        <v>479</v>
      </c>
      <c r="E281" t="s">
        <v>23</v>
      </c>
      <c r="F281">
        <v>42</v>
      </c>
      <c r="G281" t="s">
        <v>78</v>
      </c>
      <c r="H281" s="14" t="s">
        <v>79</v>
      </c>
      <c r="I281" s="14" t="s">
        <v>245</v>
      </c>
      <c r="J281" s="14" t="s">
        <v>246</v>
      </c>
      <c r="K281" s="14" t="s">
        <v>130</v>
      </c>
      <c r="L281" s="14" t="s">
        <v>247</v>
      </c>
      <c r="M281" s="14">
        <v>2</v>
      </c>
      <c r="N281" s="14">
        <v>4498.2</v>
      </c>
      <c r="O281" s="14">
        <v>3740</v>
      </c>
      <c r="P281" s="14">
        <v>10</v>
      </c>
      <c r="Q281" s="14" t="s">
        <v>41</v>
      </c>
      <c r="R281" s="14" t="s">
        <v>42</v>
      </c>
      <c r="S281" s="14">
        <v>46000</v>
      </c>
      <c r="T281" s="14">
        <v>3</v>
      </c>
    </row>
    <row r="282" spans="1:20" x14ac:dyDescent="0.3">
      <c r="A282" t="s">
        <v>705</v>
      </c>
      <c r="B282">
        <v>45327</v>
      </c>
      <c r="C282" t="s">
        <v>706</v>
      </c>
      <c r="D282" t="s">
        <v>303</v>
      </c>
      <c r="E282" t="s">
        <v>77</v>
      </c>
      <c r="F282">
        <v>40</v>
      </c>
      <c r="G282" t="s">
        <v>35</v>
      </c>
      <c r="H282" s="14" t="s">
        <v>36</v>
      </c>
      <c r="I282" s="14" t="s">
        <v>37</v>
      </c>
      <c r="J282" s="14" t="s">
        <v>38</v>
      </c>
      <c r="K282" s="14" t="s">
        <v>39</v>
      </c>
      <c r="L282" s="14" t="s">
        <v>40</v>
      </c>
      <c r="M282" s="14">
        <v>4</v>
      </c>
      <c r="N282" s="14">
        <v>2157.6</v>
      </c>
      <c r="O282" s="14">
        <v>2080</v>
      </c>
      <c r="P282" s="14">
        <v>40</v>
      </c>
      <c r="Q282" s="14" t="s">
        <v>73</v>
      </c>
      <c r="R282" s="14" t="s">
        <v>42</v>
      </c>
      <c r="S282" s="14">
        <v>45333</v>
      </c>
      <c r="T282" s="14">
        <v>5</v>
      </c>
    </row>
    <row r="283" spans="1:20" x14ac:dyDescent="0.3">
      <c r="A283" t="s">
        <v>707</v>
      </c>
      <c r="B283">
        <v>45432</v>
      </c>
      <c r="C283" t="s">
        <v>535</v>
      </c>
      <c r="D283" t="s">
        <v>536</v>
      </c>
      <c r="E283" t="s">
        <v>77</v>
      </c>
      <c r="F283">
        <v>75</v>
      </c>
      <c r="G283" t="s">
        <v>154</v>
      </c>
      <c r="H283" s="14" t="s">
        <v>91</v>
      </c>
      <c r="I283" s="14" t="s">
        <v>92</v>
      </c>
      <c r="J283" s="14" t="s">
        <v>93</v>
      </c>
      <c r="K283" s="14" t="s">
        <v>87</v>
      </c>
      <c r="L283" s="14" t="s">
        <v>94</v>
      </c>
      <c r="M283" s="14">
        <v>5</v>
      </c>
      <c r="N283" s="14">
        <v>6795.75</v>
      </c>
      <c r="O283" s="14">
        <v>4650</v>
      </c>
      <c r="P283" s="14">
        <v>15</v>
      </c>
      <c r="Q283" s="14" t="s">
        <v>50</v>
      </c>
      <c r="R283" s="14" t="s">
        <v>57</v>
      </c>
      <c r="S283" s="14">
        <v>45434</v>
      </c>
      <c r="T283" s="14">
        <v>5</v>
      </c>
    </row>
    <row r="284" spans="1:20" x14ac:dyDescent="0.3">
      <c r="A284" t="s">
        <v>708</v>
      </c>
      <c r="B284">
        <v>46022</v>
      </c>
      <c r="C284" t="s">
        <v>709</v>
      </c>
      <c r="D284" t="s">
        <v>399</v>
      </c>
      <c r="E284" t="s">
        <v>77</v>
      </c>
      <c r="F284">
        <v>29</v>
      </c>
      <c r="G284" t="s">
        <v>101</v>
      </c>
      <c r="H284" s="14" t="s">
        <v>102</v>
      </c>
      <c r="I284" s="14" t="s">
        <v>222</v>
      </c>
      <c r="J284" s="14" t="s">
        <v>223</v>
      </c>
      <c r="K284" s="14" t="s">
        <v>114</v>
      </c>
      <c r="L284" s="14" t="s">
        <v>115</v>
      </c>
      <c r="M284" s="14">
        <v>4</v>
      </c>
      <c r="N284" s="14">
        <v>2697</v>
      </c>
      <c r="O284" s="14">
        <v>2040</v>
      </c>
      <c r="P284" s="14">
        <v>25</v>
      </c>
      <c r="Q284" s="14" t="s">
        <v>50</v>
      </c>
      <c r="R284" s="14" t="s">
        <v>65</v>
      </c>
    </row>
    <row r="285" spans="1:20" x14ac:dyDescent="0.3">
      <c r="A285" t="s">
        <v>710</v>
      </c>
      <c r="B285">
        <v>45621</v>
      </c>
      <c r="C285" t="s">
        <v>711</v>
      </c>
      <c r="D285" t="s">
        <v>712</v>
      </c>
      <c r="E285" t="s">
        <v>77</v>
      </c>
      <c r="F285">
        <v>58</v>
      </c>
      <c r="G285" t="s">
        <v>207</v>
      </c>
      <c r="H285" s="14" t="s">
        <v>36</v>
      </c>
      <c r="I285" s="14" t="s">
        <v>319</v>
      </c>
      <c r="J285" s="14" t="s">
        <v>320</v>
      </c>
      <c r="K285" s="14" t="s">
        <v>28</v>
      </c>
      <c r="L285" s="14" t="s">
        <v>29</v>
      </c>
      <c r="M285" s="14">
        <v>1</v>
      </c>
      <c r="N285" s="14">
        <v>899.25</v>
      </c>
      <c r="O285" s="14">
        <v>710</v>
      </c>
      <c r="P285" s="14">
        <v>25</v>
      </c>
      <c r="Q285" s="14" t="s">
        <v>50</v>
      </c>
      <c r="R285" s="14" t="s">
        <v>42</v>
      </c>
      <c r="S285" s="14">
        <v>45623</v>
      </c>
      <c r="T285" s="14">
        <v>4</v>
      </c>
    </row>
    <row r="286" spans="1:20" x14ac:dyDescent="0.3">
      <c r="A286" t="s">
        <v>713</v>
      </c>
      <c r="B286">
        <v>45351</v>
      </c>
      <c r="C286" t="s">
        <v>677</v>
      </c>
      <c r="D286" t="s">
        <v>678</v>
      </c>
      <c r="E286" t="s">
        <v>77</v>
      </c>
      <c r="F286">
        <v>34</v>
      </c>
      <c r="G286" t="s">
        <v>211</v>
      </c>
      <c r="H286" s="14" t="s">
        <v>127</v>
      </c>
      <c r="I286" s="14" t="s">
        <v>198</v>
      </c>
      <c r="J286" s="14" t="s">
        <v>199</v>
      </c>
      <c r="K286" s="14" t="s">
        <v>114</v>
      </c>
      <c r="L286" s="14" t="s">
        <v>200</v>
      </c>
      <c r="M286" s="14">
        <v>2</v>
      </c>
      <c r="N286" s="14">
        <v>2338.1999999999998</v>
      </c>
      <c r="O286" s="14">
        <v>1520</v>
      </c>
      <c r="P286" s="14">
        <v>10</v>
      </c>
      <c r="Q286" s="14" t="s">
        <v>73</v>
      </c>
      <c r="R286" s="14" t="s">
        <v>42</v>
      </c>
      <c r="S286" s="14">
        <v>45363</v>
      </c>
      <c r="T286" s="14">
        <v>4</v>
      </c>
    </row>
    <row r="287" spans="1:20" x14ac:dyDescent="0.3">
      <c r="A287" t="s">
        <v>714</v>
      </c>
      <c r="B287">
        <v>45564</v>
      </c>
      <c r="C287" t="s">
        <v>640</v>
      </c>
      <c r="D287" t="s">
        <v>349</v>
      </c>
      <c r="E287" t="s">
        <v>23</v>
      </c>
      <c r="F287">
        <v>42</v>
      </c>
      <c r="G287" t="s">
        <v>24</v>
      </c>
      <c r="H287" s="14" t="s">
        <v>25</v>
      </c>
      <c r="I287" s="14" t="s">
        <v>304</v>
      </c>
      <c r="J287" s="14" t="s">
        <v>305</v>
      </c>
      <c r="K287" s="14" t="s">
        <v>28</v>
      </c>
      <c r="L287" s="14" t="s">
        <v>231</v>
      </c>
      <c r="M287" s="14">
        <v>5</v>
      </c>
      <c r="N287" s="14">
        <v>6296.5</v>
      </c>
      <c r="O287" s="14">
        <v>5400</v>
      </c>
      <c r="P287" s="14">
        <v>30</v>
      </c>
      <c r="Q287" s="14" t="s">
        <v>41</v>
      </c>
      <c r="R287" s="14" t="s">
        <v>57</v>
      </c>
      <c r="S287" s="14">
        <v>45568</v>
      </c>
      <c r="T287" s="14">
        <v>3</v>
      </c>
    </row>
    <row r="288" spans="1:20" x14ac:dyDescent="0.3">
      <c r="A288" t="s">
        <v>715</v>
      </c>
      <c r="B288">
        <v>45534</v>
      </c>
      <c r="C288" t="s">
        <v>716</v>
      </c>
      <c r="D288" t="s">
        <v>717</v>
      </c>
      <c r="E288" t="s">
        <v>77</v>
      </c>
      <c r="F288">
        <v>35</v>
      </c>
      <c r="G288" t="s">
        <v>211</v>
      </c>
      <c r="H288" s="14" t="s">
        <v>127</v>
      </c>
      <c r="I288" s="14" t="s">
        <v>198</v>
      </c>
      <c r="J288" s="14" t="s">
        <v>199</v>
      </c>
      <c r="K288" s="14" t="s">
        <v>114</v>
      </c>
      <c r="L288" s="14" t="s">
        <v>200</v>
      </c>
      <c r="M288" s="14">
        <v>1</v>
      </c>
      <c r="N288" s="14">
        <v>974.25</v>
      </c>
      <c r="O288" s="14">
        <v>760</v>
      </c>
      <c r="P288" s="14">
        <v>25</v>
      </c>
      <c r="Q288" s="14" t="s">
        <v>50</v>
      </c>
      <c r="R288" s="14" t="s">
        <v>65</v>
      </c>
    </row>
    <row r="289" spans="1:20" x14ac:dyDescent="0.3">
      <c r="A289" t="s">
        <v>718</v>
      </c>
      <c r="B289">
        <v>45437</v>
      </c>
      <c r="C289" t="s">
        <v>574</v>
      </c>
      <c r="D289" t="s">
        <v>442</v>
      </c>
      <c r="E289" t="s">
        <v>77</v>
      </c>
      <c r="F289">
        <v>53</v>
      </c>
      <c r="G289" t="s">
        <v>154</v>
      </c>
      <c r="H289" s="14" t="s">
        <v>91</v>
      </c>
      <c r="I289" s="14" t="s">
        <v>37</v>
      </c>
      <c r="J289" s="14" t="s">
        <v>38</v>
      </c>
      <c r="K289" s="14" t="s">
        <v>39</v>
      </c>
      <c r="L289" s="14" t="s">
        <v>40</v>
      </c>
      <c r="M289" s="14">
        <v>5</v>
      </c>
      <c r="N289" s="14">
        <v>3596</v>
      </c>
      <c r="O289" s="14">
        <v>2600</v>
      </c>
      <c r="P289" s="14">
        <v>20</v>
      </c>
      <c r="Q289" s="14" t="s">
        <v>30</v>
      </c>
      <c r="R289" s="14" t="s">
        <v>42</v>
      </c>
      <c r="S289" s="14">
        <v>45439</v>
      </c>
      <c r="T289" s="14">
        <v>3</v>
      </c>
    </row>
    <row r="290" spans="1:20" x14ac:dyDescent="0.3">
      <c r="A290" t="s">
        <v>719</v>
      </c>
      <c r="B290">
        <v>45349</v>
      </c>
      <c r="C290" t="s">
        <v>168</v>
      </c>
      <c r="D290" t="s">
        <v>169</v>
      </c>
      <c r="E290" t="s">
        <v>23</v>
      </c>
      <c r="F290">
        <v>43</v>
      </c>
      <c r="H290" s="14" t="s">
        <v>91</v>
      </c>
      <c r="I290" s="14" t="s">
        <v>80</v>
      </c>
      <c r="J290" s="14" t="s">
        <v>81</v>
      </c>
      <c r="K290" s="14" t="s">
        <v>28</v>
      </c>
      <c r="L290" s="14" t="s">
        <v>29</v>
      </c>
      <c r="M290" s="14">
        <v>5</v>
      </c>
      <c r="N290" s="14">
        <v>2397</v>
      </c>
      <c r="O290" s="14">
        <v>2350</v>
      </c>
      <c r="P290" s="14">
        <v>40</v>
      </c>
      <c r="Q290" s="14" t="s">
        <v>73</v>
      </c>
      <c r="R290" s="14" t="s">
        <v>42</v>
      </c>
      <c r="S290" s="14">
        <v>45360</v>
      </c>
      <c r="T290" s="14">
        <v>4</v>
      </c>
    </row>
    <row r="291" spans="1:20" x14ac:dyDescent="0.3">
      <c r="A291" t="s">
        <v>720</v>
      </c>
      <c r="B291">
        <v>45425</v>
      </c>
      <c r="C291" t="s">
        <v>450</v>
      </c>
      <c r="D291" t="s">
        <v>451</v>
      </c>
      <c r="E291" t="s">
        <v>77</v>
      </c>
      <c r="F291">
        <v>30</v>
      </c>
      <c r="G291" t="s">
        <v>78</v>
      </c>
      <c r="H291" s="14" t="s">
        <v>79</v>
      </c>
      <c r="I291" s="14" t="s">
        <v>183</v>
      </c>
      <c r="J291" s="14" t="s">
        <v>184</v>
      </c>
      <c r="K291" s="14" t="s">
        <v>130</v>
      </c>
      <c r="L291" s="14" t="s">
        <v>185</v>
      </c>
      <c r="M291" s="14">
        <v>1</v>
      </c>
      <c r="N291" s="14">
        <v>3999</v>
      </c>
      <c r="O291" s="14">
        <v>3050</v>
      </c>
      <c r="P291" s="14">
        <v>0</v>
      </c>
      <c r="Q291" s="14" t="s">
        <v>30</v>
      </c>
      <c r="R291" s="14" t="s">
        <v>65</v>
      </c>
    </row>
    <row r="292" spans="1:20" x14ac:dyDescent="0.3">
      <c r="A292" t="s">
        <v>721</v>
      </c>
      <c r="B292">
        <v>46013</v>
      </c>
      <c r="C292" t="s">
        <v>291</v>
      </c>
      <c r="D292" t="s">
        <v>292</v>
      </c>
      <c r="E292" t="s">
        <v>77</v>
      </c>
      <c r="F292">
        <v>46</v>
      </c>
      <c r="G292" t="s">
        <v>69</v>
      </c>
      <c r="H292" s="14" t="s">
        <v>69</v>
      </c>
      <c r="I292" s="14" t="s">
        <v>112</v>
      </c>
      <c r="J292" s="14" t="s">
        <v>113</v>
      </c>
      <c r="K292" s="14" t="s">
        <v>114</v>
      </c>
      <c r="L292" s="14" t="s">
        <v>115</v>
      </c>
      <c r="M292" s="14">
        <v>3</v>
      </c>
      <c r="N292" s="14">
        <v>1992.15</v>
      </c>
      <c r="O292" s="14">
        <v>1110</v>
      </c>
      <c r="P292" s="14">
        <v>5</v>
      </c>
      <c r="Q292" s="14" t="s">
        <v>41</v>
      </c>
      <c r="R292" s="14" t="s">
        <v>31</v>
      </c>
      <c r="S292" s="14">
        <v>46025</v>
      </c>
      <c r="T292" s="14">
        <v>5</v>
      </c>
    </row>
    <row r="293" spans="1:20" x14ac:dyDescent="0.3">
      <c r="A293" t="s">
        <v>722</v>
      </c>
      <c r="B293">
        <v>45892</v>
      </c>
      <c r="C293" t="s">
        <v>723</v>
      </c>
      <c r="D293" t="s">
        <v>724</v>
      </c>
      <c r="E293" t="s">
        <v>77</v>
      </c>
      <c r="F293">
        <v>35</v>
      </c>
      <c r="G293" t="s">
        <v>126</v>
      </c>
      <c r="H293" s="14" t="s">
        <v>127</v>
      </c>
      <c r="I293" s="14" t="s">
        <v>143</v>
      </c>
      <c r="J293" s="14" t="s">
        <v>144</v>
      </c>
      <c r="K293" s="14" t="s">
        <v>130</v>
      </c>
      <c r="L293" s="14" t="s">
        <v>131</v>
      </c>
      <c r="M293" s="14">
        <v>3</v>
      </c>
      <c r="N293" s="14">
        <v>14847.3</v>
      </c>
      <c r="O293" s="14">
        <v>12900</v>
      </c>
      <c r="P293" s="14">
        <v>10</v>
      </c>
      <c r="Q293" s="14" t="s">
        <v>30</v>
      </c>
      <c r="R293" s="14" t="s">
        <v>31</v>
      </c>
      <c r="S293" s="14">
        <v>45900</v>
      </c>
      <c r="T293" s="14">
        <v>5</v>
      </c>
    </row>
    <row r="294" spans="1:20" x14ac:dyDescent="0.3">
      <c r="A294" t="s">
        <v>725</v>
      </c>
      <c r="B294">
        <v>45956</v>
      </c>
      <c r="C294" t="s">
        <v>716</v>
      </c>
      <c r="D294" t="s">
        <v>717</v>
      </c>
      <c r="E294" t="s">
        <v>77</v>
      </c>
      <c r="F294">
        <v>35</v>
      </c>
      <c r="G294" t="s">
        <v>78</v>
      </c>
      <c r="H294" s="14" t="s">
        <v>79</v>
      </c>
      <c r="I294" s="14" t="s">
        <v>85</v>
      </c>
      <c r="J294" s="14" t="s">
        <v>86</v>
      </c>
      <c r="K294" s="14" t="s">
        <v>87</v>
      </c>
      <c r="L294" s="14" t="s">
        <v>88</v>
      </c>
      <c r="M294" s="14">
        <v>5</v>
      </c>
      <c r="N294" s="14">
        <v>5246.25</v>
      </c>
      <c r="O294" s="14">
        <v>3950</v>
      </c>
      <c r="P294" s="14">
        <v>25</v>
      </c>
      <c r="Q294" s="14" t="s">
        <v>30</v>
      </c>
      <c r="R294" s="14" t="s">
        <v>31</v>
      </c>
      <c r="S294" s="14">
        <v>45967</v>
      </c>
      <c r="T294" s="14">
        <v>3</v>
      </c>
    </row>
    <row r="295" spans="1:20" x14ac:dyDescent="0.3">
      <c r="A295" t="s">
        <v>726</v>
      </c>
      <c r="B295">
        <v>45679</v>
      </c>
      <c r="C295" t="s">
        <v>302</v>
      </c>
      <c r="D295" t="s">
        <v>303</v>
      </c>
      <c r="E295" t="s">
        <v>77</v>
      </c>
      <c r="F295">
        <v>24</v>
      </c>
      <c r="G295" t="s">
        <v>35</v>
      </c>
      <c r="H295" s="14" t="s">
        <v>36</v>
      </c>
      <c r="I295" s="14" t="s">
        <v>252</v>
      </c>
      <c r="J295" s="14" t="s">
        <v>253</v>
      </c>
      <c r="K295" s="14" t="s">
        <v>28</v>
      </c>
      <c r="L295" s="14" t="s">
        <v>254</v>
      </c>
      <c r="M295" s="14">
        <v>2</v>
      </c>
      <c r="N295" s="14">
        <v>5998</v>
      </c>
      <c r="O295" s="14">
        <v>3800</v>
      </c>
      <c r="P295" s="14">
        <v>0</v>
      </c>
      <c r="Q295" s="14" t="s">
        <v>50</v>
      </c>
      <c r="R295" s="14" t="s">
        <v>42</v>
      </c>
      <c r="S295" s="14">
        <v>45690</v>
      </c>
      <c r="T295" s="14">
        <v>2</v>
      </c>
    </row>
    <row r="296" spans="1:20" x14ac:dyDescent="0.3">
      <c r="A296" t="s">
        <v>727</v>
      </c>
      <c r="B296">
        <v>45478</v>
      </c>
      <c r="C296" t="s">
        <v>716</v>
      </c>
      <c r="D296" t="s">
        <v>717</v>
      </c>
      <c r="E296" t="s">
        <v>77</v>
      </c>
      <c r="F296">
        <v>35</v>
      </c>
      <c r="G296" t="s">
        <v>90</v>
      </c>
      <c r="H296" s="14" t="s">
        <v>91</v>
      </c>
      <c r="I296" s="14" t="s">
        <v>92</v>
      </c>
      <c r="J296" s="14" t="s">
        <v>93</v>
      </c>
      <c r="K296" s="14" t="s">
        <v>87</v>
      </c>
      <c r="L296" s="14" t="s">
        <v>94</v>
      </c>
      <c r="M296" s="14">
        <v>5</v>
      </c>
      <c r="N296" s="14">
        <v>7595.25</v>
      </c>
      <c r="O296" s="14">
        <v>4650</v>
      </c>
      <c r="P296" s="14">
        <v>5</v>
      </c>
      <c r="Q296" s="14" t="s">
        <v>103</v>
      </c>
      <c r="R296" s="14" t="s">
        <v>42</v>
      </c>
      <c r="S296" s="14">
        <v>45485</v>
      </c>
      <c r="T296" s="14">
        <v>3</v>
      </c>
    </row>
    <row r="297" spans="1:20" x14ac:dyDescent="0.3">
      <c r="A297" t="s">
        <v>728</v>
      </c>
      <c r="B297">
        <v>45535</v>
      </c>
      <c r="C297" t="s">
        <v>729</v>
      </c>
      <c r="D297" t="s">
        <v>276</v>
      </c>
      <c r="E297" t="s">
        <v>77</v>
      </c>
      <c r="F297">
        <v>25</v>
      </c>
      <c r="G297" t="s">
        <v>126</v>
      </c>
      <c r="H297" s="14" t="s">
        <v>127</v>
      </c>
      <c r="I297" s="14" t="s">
        <v>319</v>
      </c>
      <c r="J297" s="14" t="s">
        <v>320</v>
      </c>
      <c r="K297" s="14" t="s">
        <v>28</v>
      </c>
      <c r="L297" s="14" t="s">
        <v>29</v>
      </c>
      <c r="M297" s="14">
        <v>1</v>
      </c>
      <c r="N297" s="14">
        <v>899.25</v>
      </c>
      <c r="O297" s="14">
        <v>710</v>
      </c>
      <c r="P297" s="14">
        <v>25</v>
      </c>
      <c r="Q297" s="14" t="s">
        <v>103</v>
      </c>
      <c r="R297" s="14" t="s">
        <v>42</v>
      </c>
      <c r="S297" s="14">
        <v>45541</v>
      </c>
      <c r="T297" s="14">
        <v>4</v>
      </c>
    </row>
    <row r="298" spans="1:20" x14ac:dyDescent="0.3">
      <c r="A298" t="s">
        <v>730</v>
      </c>
      <c r="B298">
        <v>45547</v>
      </c>
      <c r="C298" t="s">
        <v>394</v>
      </c>
      <c r="D298" t="s">
        <v>395</v>
      </c>
      <c r="E298" t="s">
        <v>77</v>
      </c>
      <c r="F298">
        <v>35</v>
      </c>
      <c r="G298" t="s">
        <v>211</v>
      </c>
      <c r="H298" s="14" t="s">
        <v>127</v>
      </c>
      <c r="I298" s="14" t="s">
        <v>128</v>
      </c>
      <c r="J298" s="14" t="s">
        <v>129</v>
      </c>
      <c r="K298" s="14" t="s">
        <v>130</v>
      </c>
      <c r="L298" s="14" t="s">
        <v>131</v>
      </c>
      <c r="M298" s="14">
        <v>1</v>
      </c>
      <c r="N298" s="14">
        <v>6499</v>
      </c>
      <c r="O298" s="14">
        <v>5100</v>
      </c>
      <c r="P298" s="14">
        <v>0</v>
      </c>
      <c r="Q298" s="14" t="s">
        <v>73</v>
      </c>
      <c r="R298" s="14" t="s">
        <v>42</v>
      </c>
      <c r="S298" s="14">
        <v>45556</v>
      </c>
      <c r="T298" s="14">
        <v>5</v>
      </c>
    </row>
    <row r="299" spans="1:20" x14ac:dyDescent="0.3">
      <c r="A299" t="s">
        <v>731</v>
      </c>
      <c r="B299">
        <v>45462</v>
      </c>
      <c r="C299" t="s">
        <v>732</v>
      </c>
      <c r="D299" t="s">
        <v>733</v>
      </c>
      <c r="E299" t="s">
        <v>77</v>
      </c>
      <c r="F299">
        <v>33</v>
      </c>
      <c r="G299" t="s">
        <v>101</v>
      </c>
      <c r="H299" s="14" t="s">
        <v>102</v>
      </c>
      <c r="I299" s="14" t="s">
        <v>47</v>
      </c>
      <c r="J299" s="14" t="s">
        <v>48</v>
      </c>
      <c r="K299" s="14" t="s">
        <v>39</v>
      </c>
      <c r="L299" s="14" t="s">
        <v>49</v>
      </c>
      <c r="M299" s="14">
        <v>3</v>
      </c>
      <c r="N299" s="14">
        <v>837.9</v>
      </c>
      <c r="O299" s="14">
        <v>630</v>
      </c>
      <c r="P299" s="14">
        <v>30</v>
      </c>
      <c r="Q299" s="14" t="s">
        <v>73</v>
      </c>
      <c r="R299" s="14" t="s">
        <v>57</v>
      </c>
      <c r="S299" s="14">
        <v>45471</v>
      </c>
      <c r="T299" s="14">
        <v>4</v>
      </c>
    </row>
    <row r="300" spans="1:20" x14ac:dyDescent="0.3">
      <c r="A300" t="s">
        <v>734</v>
      </c>
      <c r="B300">
        <v>45458</v>
      </c>
      <c r="C300" t="s">
        <v>275</v>
      </c>
      <c r="D300" t="s">
        <v>276</v>
      </c>
      <c r="E300" t="s">
        <v>77</v>
      </c>
      <c r="F300">
        <v>43</v>
      </c>
      <c r="G300" t="s">
        <v>46</v>
      </c>
      <c r="H300" s="14" t="s">
        <v>25</v>
      </c>
      <c r="I300" s="14" t="s">
        <v>26</v>
      </c>
      <c r="J300" s="14" t="s">
        <v>27</v>
      </c>
      <c r="K300" s="14" t="s">
        <v>28</v>
      </c>
      <c r="L300" s="14" t="s">
        <v>29</v>
      </c>
      <c r="M300" s="14">
        <v>3</v>
      </c>
      <c r="N300" s="14">
        <v>3897</v>
      </c>
      <c r="O300" s="14">
        <v>2370</v>
      </c>
      <c r="P300" s="14">
        <v>0</v>
      </c>
      <c r="Q300" s="14" t="s">
        <v>41</v>
      </c>
      <c r="R300" s="14" t="s">
        <v>42</v>
      </c>
      <c r="S300" s="14">
        <v>45461</v>
      </c>
      <c r="T300" s="14">
        <v>3</v>
      </c>
    </row>
    <row r="301" spans="1:20" x14ac:dyDescent="0.3">
      <c r="A301" t="s">
        <v>735</v>
      </c>
      <c r="B301">
        <v>45642</v>
      </c>
      <c r="C301" t="s">
        <v>736</v>
      </c>
      <c r="D301" t="s">
        <v>737</v>
      </c>
      <c r="E301" t="s">
        <v>77</v>
      </c>
      <c r="F301">
        <v>21</v>
      </c>
      <c r="G301" t="s">
        <v>165</v>
      </c>
      <c r="H301" s="14" t="s">
        <v>166</v>
      </c>
      <c r="I301" s="14" t="s">
        <v>319</v>
      </c>
      <c r="J301" s="14" t="s">
        <v>320</v>
      </c>
      <c r="K301" s="14" t="s">
        <v>28</v>
      </c>
      <c r="L301" s="14" t="s">
        <v>29</v>
      </c>
      <c r="M301" s="14">
        <v>1</v>
      </c>
      <c r="N301" s="14">
        <v>1139.05</v>
      </c>
      <c r="O301" s="14">
        <v>710</v>
      </c>
      <c r="P301" s="14">
        <v>5</v>
      </c>
      <c r="Q301" s="14" t="s">
        <v>41</v>
      </c>
      <c r="R301" s="14" t="s">
        <v>65</v>
      </c>
    </row>
    <row r="302" spans="1:20" x14ac:dyDescent="0.3">
      <c r="A302" t="s">
        <v>738</v>
      </c>
      <c r="B302">
        <v>45920</v>
      </c>
      <c r="C302" t="s">
        <v>739</v>
      </c>
      <c r="D302" t="s">
        <v>740</v>
      </c>
      <c r="E302" t="s">
        <v>23</v>
      </c>
      <c r="F302">
        <v>33</v>
      </c>
      <c r="G302" t="s">
        <v>161</v>
      </c>
      <c r="H302" s="14" t="s">
        <v>25</v>
      </c>
      <c r="I302" s="14" t="s">
        <v>134</v>
      </c>
      <c r="J302" s="14" t="s">
        <v>135</v>
      </c>
      <c r="K302" s="14" t="s">
        <v>39</v>
      </c>
      <c r="L302" s="14" t="s">
        <v>136</v>
      </c>
      <c r="M302" s="14">
        <v>2</v>
      </c>
      <c r="N302" s="14">
        <v>278.60000000000002</v>
      </c>
      <c r="O302" s="14">
        <v>180</v>
      </c>
      <c r="P302" s="14">
        <v>30</v>
      </c>
      <c r="Q302" s="14" t="s">
        <v>30</v>
      </c>
      <c r="R302" s="14" t="s">
        <v>42</v>
      </c>
      <c r="S302" s="14">
        <v>45923</v>
      </c>
      <c r="T302" s="14">
        <v>4</v>
      </c>
    </row>
    <row r="303" spans="1:20" x14ac:dyDescent="0.3">
      <c r="A303" t="s">
        <v>741</v>
      </c>
      <c r="B303">
        <v>45502</v>
      </c>
      <c r="C303" t="s">
        <v>742</v>
      </c>
      <c r="D303" t="s">
        <v>743</v>
      </c>
      <c r="E303" t="s">
        <v>23</v>
      </c>
      <c r="F303">
        <v>49</v>
      </c>
      <c r="G303" t="s">
        <v>122</v>
      </c>
      <c r="H303" s="14" t="s">
        <v>123</v>
      </c>
      <c r="I303" s="14" t="s">
        <v>85</v>
      </c>
      <c r="J303" s="14" t="s">
        <v>86</v>
      </c>
      <c r="K303" s="14" t="s">
        <v>87</v>
      </c>
      <c r="L303" s="14" t="s">
        <v>88</v>
      </c>
      <c r="M303" s="14">
        <v>5</v>
      </c>
      <c r="N303" s="14">
        <v>5596</v>
      </c>
      <c r="O303" s="14">
        <v>3950</v>
      </c>
      <c r="P303" s="14">
        <v>20</v>
      </c>
      <c r="Q303" s="14" t="s">
        <v>41</v>
      </c>
      <c r="R303" s="14" t="s">
        <v>42</v>
      </c>
      <c r="S303" s="14">
        <v>45507</v>
      </c>
      <c r="T303" s="14">
        <v>3</v>
      </c>
    </row>
    <row r="304" spans="1:20" x14ac:dyDescent="0.3">
      <c r="A304" t="s">
        <v>744</v>
      </c>
      <c r="B304">
        <v>45342</v>
      </c>
      <c r="C304" t="s">
        <v>745</v>
      </c>
      <c r="D304" t="s">
        <v>250</v>
      </c>
      <c r="E304" t="s">
        <v>23</v>
      </c>
      <c r="F304">
        <v>18</v>
      </c>
      <c r="G304" t="s">
        <v>101</v>
      </c>
      <c r="H304" s="14" t="s">
        <v>102</v>
      </c>
      <c r="I304" s="14" t="s">
        <v>252</v>
      </c>
      <c r="J304" s="14" t="s">
        <v>253</v>
      </c>
      <c r="K304" s="14" t="s">
        <v>28</v>
      </c>
      <c r="L304" s="14" t="s">
        <v>254</v>
      </c>
      <c r="M304" s="14">
        <v>1</v>
      </c>
      <c r="N304" s="14">
        <v>2249.25</v>
      </c>
      <c r="O304" s="14">
        <v>1900</v>
      </c>
      <c r="P304" s="14">
        <v>25</v>
      </c>
      <c r="Q304" s="14" t="s">
        <v>73</v>
      </c>
      <c r="R304" s="14" t="s">
        <v>42</v>
      </c>
      <c r="S304" s="14">
        <v>45345</v>
      </c>
      <c r="T304" s="14">
        <v>4</v>
      </c>
    </row>
    <row r="305" spans="1:20" x14ac:dyDescent="0.3">
      <c r="A305" t="s">
        <v>746</v>
      </c>
      <c r="B305">
        <v>45969</v>
      </c>
      <c r="C305" t="s">
        <v>431</v>
      </c>
      <c r="D305" t="s">
        <v>432</v>
      </c>
      <c r="E305" t="s">
        <v>77</v>
      </c>
      <c r="F305">
        <v>19</v>
      </c>
      <c r="G305" t="s">
        <v>154</v>
      </c>
      <c r="H305" s="14" t="s">
        <v>91</v>
      </c>
      <c r="I305" s="14" t="s">
        <v>229</v>
      </c>
      <c r="J305" s="14" t="s">
        <v>230</v>
      </c>
      <c r="K305" s="14" t="s">
        <v>28</v>
      </c>
      <c r="L305" s="14" t="s">
        <v>231</v>
      </c>
      <c r="M305" s="14">
        <v>1</v>
      </c>
      <c r="N305" s="14">
        <v>1699.15</v>
      </c>
      <c r="O305" s="14">
        <v>1230</v>
      </c>
      <c r="P305" s="14">
        <v>15</v>
      </c>
      <c r="Q305" s="14" t="s">
        <v>30</v>
      </c>
      <c r="R305" s="14" t="s">
        <v>31</v>
      </c>
      <c r="S305" s="14">
        <v>45975</v>
      </c>
      <c r="T305" s="14">
        <v>3</v>
      </c>
    </row>
    <row r="306" spans="1:20" x14ac:dyDescent="0.3">
      <c r="A306" t="s">
        <v>747</v>
      </c>
      <c r="B306">
        <v>45776</v>
      </c>
      <c r="C306" t="s">
        <v>674</v>
      </c>
      <c r="D306" t="s">
        <v>675</v>
      </c>
      <c r="E306" t="s">
        <v>23</v>
      </c>
      <c r="F306">
        <v>51</v>
      </c>
      <c r="G306" t="s">
        <v>35</v>
      </c>
      <c r="H306" s="14" t="s">
        <v>36</v>
      </c>
      <c r="I306" s="14" t="s">
        <v>47</v>
      </c>
      <c r="J306" s="14" t="s">
        <v>48</v>
      </c>
      <c r="K306" s="14" t="s">
        <v>39</v>
      </c>
      <c r="L306" s="14" t="s">
        <v>49</v>
      </c>
      <c r="M306" s="14">
        <v>4</v>
      </c>
      <c r="N306" s="14">
        <v>957.6</v>
      </c>
      <c r="O306" s="14">
        <v>840</v>
      </c>
      <c r="P306" s="14">
        <v>40</v>
      </c>
      <c r="Q306" s="14" t="s">
        <v>41</v>
      </c>
      <c r="R306" s="14" t="s">
        <v>42</v>
      </c>
      <c r="S306" s="14">
        <v>45788</v>
      </c>
      <c r="T306" s="14">
        <v>5</v>
      </c>
    </row>
    <row r="307" spans="1:20" x14ac:dyDescent="0.3">
      <c r="A307" t="s">
        <v>748</v>
      </c>
      <c r="B307">
        <v>45481</v>
      </c>
      <c r="C307" t="s">
        <v>294</v>
      </c>
      <c r="D307" t="s">
        <v>295</v>
      </c>
      <c r="E307" t="s">
        <v>77</v>
      </c>
      <c r="F307">
        <v>31</v>
      </c>
      <c r="G307" t="s">
        <v>165</v>
      </c>
      <c r="H307" s="14" t="s">
        <v>166</v>
      </c>
      <c r="I307" s="14" t="s">
        <v>245</v>
      </c>
      <c r="J307" s="14" t="s">
        <v>246</v>
      </c>
      <c r="K307" s="14" t="s">
        <v>130</v>
      </c>
      <c r="L307" s="14" t="s">
        <v>247</v>
      </c>
      <c r="M307" s="14">
        <v>2</v>
      </c>
      <c r="N307" s="14">
        <v>2998.8</v>
      </c>
      <c r="O307" s="14">
        <v>3740</v>
      </c>
      <c r="P307" s="14">
        <v>40</v>
      </c>
      <c r="Q307" s="14" t="s">
        <v>73</v>
      </c>
      <c r="R307" s="14" t="s">
        <v>42</v>
      </c>
      <c r="S307" s="14">
        <v>45490</v>
      </c>
      <c r="T307" s="14">
        <v>5</v>
      </c>
    </row>
    <row r="308" spans="1:20" x14ac:dyDescent="0.3">
      <c r="A308" t="s">
        <v>749</v>
      </c>
      <c r="B308">
        <v>45561</v>
      </c>
      <c r="C308" t="s">
        <v>357</v>
      </c>
      <c r="D308" t="s">
        <v>358</v>
      </c>
      <c r="E308" t="s">
        <v>23</v>
      </c>
      <c r="F308">
        <v>23</v>
      </c>
      <c r="G308" t="s">
        <v>207</v>
      </c>
      <c r="H308" s="14" t="s">
        <v>36</v>
      </c>
      <c r="I308" s="14" t="s">
        <v>198</v>
      </c>
      <c r="J308" s="14" t="s">
        <v>199</v>
      </c>
      <c r="K308" s="14" t="s">
        <v>114</v>
      </c>
      <c r="L308" s="14" t="s">
        <v>200</v>
      </c>
      <c r="M308" s="14">
        <v>1</v>
      </c>
      <c r="N308" s="14">
        <v>1169.0999999999999</v>
      </c>
      <c r="O308" s="14">
        <v>760</v>
      </c>
      <c r="P308" s="14">
        <v>10</v>
      </c>
      <c r="Q308" s="14" t="s">
        <v>73</v>
      </c>
      <c r="R308" s="14" t="s">
        <v>42</v>
      </c>
      <c r="S308" s="14">
        <v>45573</v>
      </c>
      <c r="T308" s="14">
        <v>4</v>
      </c>
    </row>
    <row r="309" spans="1:20" x14ac:dyDescent="0.3">
      <c r="A309" t="s">
        <v>750</v>
      </c>
      <c r="B309">
        <v>45846</v>
      </c>
      <c r="C309" t="s">
        <v>732</v>
      </c>
      <c r="D309" t="s">
        <v>733</v>
      </c>
      <c r="E309" t="s">
        <v>77</v>
      </c>
      <c r="F309">
        <v>33</v>
      </c>
      <c r="G309" t="s">
        <v>90</v>
      </c>
      <c r="H309" s="14" t="s">
        <v>91</v>
      </c>
      <c r="I309" s="14" t="s">
        <v>222</v>
      </c>
      <c r="J309" s="14" t="s">
        <v>223</v>
      </c>
      <c r="K309" s="14" t="s">
        <v>114</v>
      </c>
      <c r="L309" s="14" t="s">
        <v>115</v>
      </c>
      <c r="M309" s="14">
        <v>1</v>
      </c>
      <c r="N309" s="14">
        <v>629.29999999999995</v>
      </c>
      <c r="O309" s="14">
        <v>510</v>
      </c>
      <c r="P309" s="14">
        <v>30</v>
      </c>
      <c r="Q309" s="14" t="s">
        <v>50</v>
      </c>
      <c r="R309" s="14" t="s">
        <v>42</v>
      </c>
      <c r="S309" s="14">
        <v>45856</v>
      </c>
      <c r="T309" s="14">
        <v>5</v>
      </c>
    </row>
    <row r="310" spans="1:20" x14ac:dyDescent="0.3">
      <c r="A310" t="s">
        <v>751</v>
      </c>
      <c r="B310">
        <v>45878</v>
      </c>
      <c r="C310" t="s">
        <v>752</v>
      </c>
      <c r="D310" t="s">
        <v>250</v>
      </c>
      <c r="E310" t="s">
        <v>23</v>
      </c>
      <c r="F310">
        <v>37</v>
      </c>
      <c r="G310" t="s">
        <v>101</v>
      </c>
      <c r="H310" s="14" t="s">
        <v>102</v>
      </c>
      <c r="I310" s="14" t="s">
        <v>143</v>
      </c>
      <c r="J310" s="14" t="s">
        <v>144</v>
      </c>
      <c r="K310" s="14" t="s">
        <v>130</v>
      </c>
      <c r="L310" s="14" t="s">
        <v>131</v>
      </c>
      <c r="M310" s="14">
        <v>1</v>
      </c>
      <c r="N310" s="14">
        <v>3849.3</v>
      </c>
      <c r="O310" s="14">
        <v>4300</v>
      </c>
      <c r="P310" s="14">
        <v>30</v>
      </c>
      <c r="Q310" s="14" t="s">
        <v>73</v>
      </c>
      <c r="R310" s="14" t="s">
        <v>65</v>
      </c>
    </row>
    <row r="311" spans="1:20" x14ac:dyDescent="0.3">
      <c r="A311" t="s">
        <v>753</v>
      </c>
      <c r="B311">
        <v>45876</v>
      </c>
      <c r="C311" t="s">
        <v>754</v>
      </c>
      <c r="D311" t="s">
        <v>227</v>
      </c>
      <c r="E311" t="s">
        <v>23</v>
      </c>
      <c r="F311">
        <v>41</v>
      </c>
      <c r="G311" t="s">
        <v>173</v>
      </c>
      <c r="H311" s="14" t="s">
        <v>79</v>
      </c>
      <c r="I311" s="14" t="s">
        <v>229</v>
      </c>
      <c r="J311" s="14" t="s">
        <v>230</v>
      </c>
      <c r="K311" s="14" t="s">
        <v>28</v>
      </c>
      <c r="L311" s="14" t="s">
        <v>231</v>
      </c>
      <c r="M311" s="14">
        <v>4</v>
      </c>
      <c r="N311" s="14">
        <v>7196.4</v>
      </c>
      <c r="O311" s="14">
        <v>4920</v>
      </c>
      <c r="P311" s="14">
        <v>10</v>
      </c>
      <c r="Q311" s="14" t="s">
        <v>30</v>
      </c>
      <c r="R311" s="14" t="s">
        <v>42</v>
      </c>
      <c r="S311" s="14">
        <v>45881</v>
      </c>
      <c r="T311" s="14">
        <v>3</v>
      </c>
    </row>
    <row r="312" spans="1:20" x14ac:dyDescent="0.3">
      <c r="A312" t="s">
        <v>755</v>
      </c>
      <c r="B312">
        <v>45335</v>
      </c>
      <c r="C312" t="s">
        <v>354</v>
      </c>
      <c r="D312" t="s">
        <v>355</v>
      </c>
      <c r="E312" t="s">
        <v>77</v>
      </c>
      <c r="F312">
        <v>38</v>
      </c>
      <c r="G312" t="s">
        <v>46</v>
      </c>
      <c r="H312" s="14" t="s">
        <v>25</v>
      </c>
      <c r="I312" s="14" t="s">
        <v>107</v>
      </c>
      <c r="J312" s="14" t="s">
        <v>108</v>
      </c>
      <c r="K312" s="14" t="s">
        <v>87</v>
      </c>
      <c r="L312" s="14" t="s">
        <v>88</v>
      </c>
      <c r="M312" s="14">
        <v>4</v>
      </c>
      <c r="N312" s="14">
        <v>2716.6</v>
      </c>
      <c r="O312" s="14">
        <v>1680</v>
      </c>
      <c r="P312" s="14">
        <v>15</v>
      </c>
      <c r="Q312" s="14" t="s">
        <v>30</v>
      </c>
      <c r="R312" s="14" t="s">
        <v>57</v>
      </c>
      <c r="S312" s="14">
        <v>45346</v>
      </c>
      <c r="T312" s="14">
        <v>4</v>
      </c>
    </row>
    <row r="313" spans="1:20" x14ac:dyDescent="0.3">
      <c r="A313" t="s">
        <v>756</v>
      </c>
      <c r="B313">
        <v>45619</v>
      </c>
      <c r="C313" t="s">
        <v>394</v>
      </c>
      <c r="D313" t="s">
        <v>395</v>
      </c>
      <c r="E313" t="s">
        <v>77</v>
      </c>
      <c r="F313">
        <v>35</v>
      </c>
      <c r="G313" t="s">
        <v>46</v>
      </c>
      <c r="H313" s="14" t="s">
        <v>25</v>
      </c>
      <c r="I313" s="14" t="s">
        <v>47</v>
      </c>
      <c r="J313" s="14" t="s">
        <v>48</v>
      </c>
      <c r="K313" s="14" t="s">
        <v>39</v>
      </c>
      <c r="L313" s="14" t="s">
        <v>49</v>
      </c>
      <c r="M313" s="14">
        <v>5</v>
      </c>
      <c r="N313" s="14">
        <v>1396.5</v>
      </c>
      <c r="O313" s="14">
        <v>1050</v>
      </c>
      <c r="P313" s="14">
        <v>30</v>
      </c>
      <c r="Q313" s="14" t="s">
        <v>50</v>
      </c>
      <c r="R313" s="14" t="s">
        <v>42</v>
      </c>
      <c r="S313" s="14">
        <v>45625</v>
      </c>
      <c r="T313" s="14">
        <v>5</v>
      </c>
    </row>
    <row r="314" spans="1:20" x14ac:dyDescent="0.3">
      <c r="A314" t="s">
        <v>757</v>
      </c>
      <c r="B314">
        <v>45304</v>
      </c>
      <c r="C314" t="s">
        <v>758</v>
      </c>
      <c r="D314" t="s">
        <v>635</v>
      </c>
      <c r="E314" t="s">
        <v>77</v>
      </c>
      <c r="F314">
        <v>57</v>
      </c>
      <c r="G314" t="s">
        <v>122</v>
      </c>
      <c r="H314" s="14" t="s">
        <v>123</v>
      </c>
      <c r="I314" s="14" t="s">
        <v>229</v>
      </c>
      <c r="J314" s="14" t="s">
        <v>230</v>
      </c>
      <c r="K314" s="14" t="s">
        <v>28</v>
      </c>
      <c r="L314" s="14" t="s">
        <v>231</v>
      </c>
      <c r="M314" s="14">
        <v>4</v>
      </c>
      <c r="N314" s="14">
        <v>7196.4</v>
      </c>
      <c r="O314" s="14">
        <v>4920</v>
      </c>
      <c r="P314" s="14">
        <v>10</v>
      </c>
      <c r="Q314" s="14" t="s">
        <v>30</v>
      </c>
      <c r="R314" s="14" t="s">
        <v>65</v>
      </c>
    </row>
    <row r="315" spans="1:20" x14ac:dyDescent="0.3">
      <c r="A315" t="s">
        <v>759</v>
      </c>
      <c r="B315">
        <v>45894</v>
      </c>
      <c r="C315" t="s">
        <v>474</v>
      </c>
      <c r="D315" t="s">
        <v>475</v>
      </c>
      <c r="E315" t="s">
        <v>23</v>
      </c>
      <c r="F315">
        <v>29</v>
      </c>
      <c r="G315" t="s">
        <v>69</v>
      </c>
      <c r="H315" s="14" t="s">
        <v>69</v>
      </c>
      <c r="I315" s="14" t="s">
        <v>229</v>
      </c>
      <c r="J315" s="14" t="s">
        <v>230</v>
      </c>
      <c r="K315" s="14" t="s">
        <v>28</v>
      </c>
      <c r="L315" s="14" t="s">
        <v>231</v>
      </c>
      <c r="M315" s="14">
        <v>5</v>
      </c>
      <c r="N315" s="14">
        <v>9495.25</v>
      </c>
      <c r="O315" s="14">
        <v>6150</v>
      </c>
      <c r="P315" s="14">
        <v>5</v>
      </c>
      <c r="Q315" s="14" t="s">
        <v>41</v>
      </c>
      <c r="R315" s="14" t="s">
        <v>57</v>
      </c>
      <c r="S315" s="14">
        <v>45904</v>
      </c>
      <c r="T315" s="14">
        <v>4</v>
      </c>
    </row>
    <row r="316" spans="1:20" x14ac:dyDescent="0.3">
      <c r="A316" t="s">
        <v>760</v>
      </c>
      <c r="B316">
        <v>45712</v>
      </c>
      <c r="C316" t="s">
        <v>761</v>
      </c>
      <c r="D316" t="s">
        <v>539</v>
      </c>
      <c r="E316" t="s">
        <v>23</v>
      </c>
      <c r="F316">
        <v>39</v>
      </c>
      <c r="G316" t="s">
        <v>165</v>
      </c>
      <c r="H316" s="14" t="s">
        <v>166</v>
      </c>
      <c r="I316" s="14" t="s">
        <v>92</v>
      </c>
      <c r="J316" s="14" t="s">
        <v>93</v>
      </c>
      <c r="K316" s="14" t="s">
        <v>87</v>
      </c>
      <c r="L316" s="14" t="s">
        <v>94</v>
      </c>
      <c r="M316" s="14">
        <v>4</v>
      </c>
      <c r="N316" s="14">
        <v>3837.6</v>
      </c>
      <c r="O316" s="14">
        <v>3720</v>
      </c>
      <c r="P316" s="14">
        <v>40</v>
      </c>
      <c r="Q316" s="14" t="s">
        <v>73</v>
      </c>
      <c r="R316" s="14" t="s">
        <v>42</v>
      </c>
      <c r="S316" s="14">
        <v>45718</v>
      </c>
      <c r="T316" s="14">
        <v>5</v>
      </c>
    </row>
    <row r="317" spans="1:20" x14ac:dyDescent="0.3">
      <c r="A317" t="s">
        <v>762</v>
      </c>
      <c r="B317">
        <v>45439</v>
      </c>
      <c r="C317" t="s">
        <v>662</v>
      </c>
      <c r="D317" t="s">
        <v>97</v>
      </c>
      <c r="E317" t="s">
        <v>23</v>
      </c>
      <c r="F317">
        <v>47</v>
      </c>
      <c r="G317" t="s">
        <v>24</v>
      </c>
      <c r="H317" s="14" t="s">
        <v>25</v>
      </c>
      <c r="I317" s="14" t="s">
        <v>47</v>
      </c>
      <c r="J317" s="14" t="s">
        <v>48</v>
      </c>
      <c r="K317" s="14" t="s">
        <v>39</v>
      </c>
      <c r="L317" s="14" t="s">
        <v>49</v>
      </c>
      <c r="M317" s="14">
        <v>3</v>
      </c>
      <c r="N317" s="14">
        <v>1017.45</v>
      </c>
      <c r="O317" s="14">
        <v>630</v>
      </c>
      <c r="P317" s="14">
        <v>15</v>
      </c>
      <c r="Q317" s="14" t="s">
        <v>73</v>
      </c>
      <c r="R317" s="14" t="s">
        <v>31</v>
      </c>
      <c r="S317" s="14">
        <v>45448</v>
      </c>
      <c r="T317" s="14">
        <v>4</v>
      </c>
    </row>
    <row r="318" spans="1:20" x14ac:dyDescent="0.3">
      <c r="A318" t="s">
        <v>763</v>
      </c>
      <c r="B318">
        <v>45673</v>
      </c>
      <c r="C318" t="s">
        <v>764</v>
      </c>
      <c r="D318" t="s">
        <v>765</v>
      </c>
      <c r="E318" t="s">
        <v>23</v>
      </c>
      <c r="F318">
        <v>18</v>
      </c>
      <c r="G318" t="s">
        <v>126</v>
      </c>
      <c r="H318" s="14" t="s">
        <v>127</v>
      </c>
      <c r="I318" s="14" t="s">
        <v>143</v>
      </c>
      <c r="J318" s="14" t="s">
        <v>144</v>
      </c>
      <c r="K318" s="14" t="s">
        <v>130</v>
      </c>
      <c r="L318" s="14" t="s">
        <v>131</v>
      </c>
      <c r="M318" s="14">
        <v>3</v>
      </c>
      <c r="N318" s="14">
        <v>13197.6</v>
      </c>
      <c r="O318" s="14">
        <v>12900</v>
      </c>
      <c r="P318" s="14">
        <v>20</v>
      </c>
      <c r="Q318" s="14" t="s">
        <v>103</v>
      </c>
      <c r="R318" s="14" t="s">
        <v>57</v>
      </c>
      <c r="S318" s="14">
        <v>45685</v>
      </c>
      <c r="T318" s="14">
        <v>3</v>
      </c>
    </row>
    <row r="319" spans="1:20" x14ac:dyDescent="0.3">
      <c r="A319" t="s">
        <v>766</v>
      </c>
      <c r="B319">
        <v>45525</v>
      </c>
      <c r="C319" t="s">
        <v>689</v>
      </c>
      <c r="D319" t="s">
        <v>690</v>
      </c>
      <c r="E319" t="s">
        <v>77</v>
      </c>
      <c r="F319">
        <v>45</v>
      </c>
      <c r="G319" t="s">
        <v>35</v>
      </c>
      <c r="H319" s="14" t="s">
        <v>36</v>
      </c>
      <c r="I319" s="14" t="s">
        <v>177</v>
      </c>
      <c r="J319" s="14" t="s">
        <v>178</v>
      </c>
      <c r="K319" s="14" t="s">
        <v>87</v>
      </c>
      <c r="L319" s="14" t="s">
        <v>179</v>
      </c>
      <c r="M319" s="14">
        <v>4</v>
      </c>
      <c r="N319" s="14">
        <v>7497</v>
      </c>
      <c r="O319" s="14">
        <v>6480</v>
      </c>
      <c r="P319" s="14">
        <v>25</v>
      </c>
      <c r="Q319" s="14" t="s">
        <v>41</v>
      </c>
      <c r="R319" s="14" t="s">
        <v>31</v>
      </c>
      <c r="S319" s="14">
        <v>45533</v>
      </c>
      <c r="T319" s="14">
        <v>3</v>
      </c>
    </row>
    <row r="320" spans="1:20" x14ac:dyDescent="0.3">
      <c r="A320" t="s">
        <v>767</v>
      </c>
      <c r="B320">
        <v>45484</v>
      </c>
      <c r="C320" t="s">
        <v>138</v>
      </c>
      <c r="D320" t="s">
        <v>139</v>
      </c>
      <c r="E320" t="s">
        <v>77</v>
      </c>
      <c r="F320">
        <v>42</v>
      </c>
      <c r="G320" t="s">
        <v>154</v>
      </c>
      <c r="H320" s="14" t="s">
        <v>91</v>
      </c>
      <c r="I320" s="14" t="s">
        <v>134</v>
      </c>
      <c r="J320" s="14" t="s">
        <v>135</v>
      </c>
      <c r="K320" s="14" t="s">
        <v>39</v>
      </c>
      <c r="L320" s="14" t="s">
        <v>136</v>
      </c>
      <c r="M320" s="14">
        <v>4</v>
      </c>
      <c r="N320" s="14">
        <v>597</v>
      </c>
      <c r="O320" s="14">
        <v>360</v>
      </c>
      <c r="P320" s="14">
        <v>25</v>
      </c>
      <c r="Q320" s="14" t="s">
        <v>73</v>
      </c>
      <c r="R320" s="14" t="s">
        <v>65</v>
      </c>
    </row>
    <row r="321" spans="1:20" x14ac:dyDescent="0.3">
      <c r="A321" t="s">
        <v>768</v>
      </c>
      <c r="B321">
        <v>45454</v>
      </c>
      <c r="C321" t="s">
        <v>769</v>
      </c>
      <c r="D321" t="s">
        <v>326</v>
      </c>
      <c r="E321" t="s">
        <v>23</v>
      </c>
      <c r="F321">
        <v>20</v>
      </c>
      <c r="G321" t="s">
        <v>35</v>
      </c>
      <c r="H321" s="14" t="s">
        <v>36</v>
      </c>
      <c r="I321" s="14" t="s">
        <v>85</v>
      </c>
      <c r="J321" s="14" t="s">
        <v>86</v>
      </c>
      <c r="K321" s="14" t="s">
        <v>87</v>
      </c>
      <c r="L321" s="14" t="s">
        <v>88</v>
      </c>
      <c r="M321" s="14">
        <v>5</v>
      </c>
      <c r="N321" s="14">
        <v>4896.5</v>
      </c>
      <c r="O321" s="14">
        <v>3950</v>
      </c>
      <c r="P321" s="14">
        <v>30</v>
      </c>
      <c r="Q321" s="14" t="s">
        <v>30</v>
      </c>
      <c r="R321" s="14" t="s">
        <v>57</v>
      </c>
      <c r="S321" s="14">
        <v>45464</v>
      </c>
      <c r="T321" s="14">
        <v>2</v>
      </c>
    </row>
    <row r="322" spans="1:20" x14ac:dyDescent="0.3">
      <c r="A322" t="s">
        <v>770</v>
      </c>
      <c r="B322">
        <v>45469</v>
      </c>
      <c r="C322" t="s">
        <v>502</v>
      </c>
      <c r="D322" t="s">
        <v>503</v>
      </c>
      <c r="E322" t="s">
        <v>77</v>
      </c>
      <c r="F322">
        <v>43</v>
      </c>
      <c r="G322" t="s">
        <v>154</v>
      </c>
      <c r="H322" s="14" t="s">
        <v>91</v>
      </c>
      <c r="I322" s="14" t="s">
        <v>26</v>
      </c>
      <c r="J322" s="14" t="s">
        <v>27</v>
      </c>
      <c r="K322" s="14" t="s">
        <v>28</v>
      </c>
      <c r="L322" s="14" t="s">
        <v>29</v>
      </c>
      <c r="M322" s="14">
        <v>2</v>
      </c>
      <c r="N322" s="14">
        <v>2598</v>
      </c>
      <c r="O322" s="14">
        <v>1580</v>
      </c>
      <c r="P322" s="14">
        <v>0</v>
      </c>
      <c r="Q322" s="14" t="s">
        <v>103</v>
      </c>
      <c r="R322" s="14" t="s">
        <v>42</v>
      </c>
      <c r="S322" s="14">
        <v>45476</v>
      </c>
      <c r="T322" s="14">
        <v>4</v>
      </c>
    </row>
    <row r="323" spans="1:20" x14ac:dyDescent="0.3">
      <c r="A323" t="s">
        <v>771</v>
      </c>
      <c r="B323">
        <v>45572</v>
      </c>
      <c r="C323" t="s">
        <v>637</v>
      </c>
      <c r="D323" t="s">
        <v>638</v>
      </c>
      <c r="E323" t="s">
        <v>77</v>
      </c>
      <c r="F323">
        <v>47</v>
      </c>
      <c r="G323" t="s">
        <v>61</v>
      </c>
      <c r="H323" s="14" t="s">
        <v>62</v>
      </c>
      <c r="I323" s="14" t="s">
        <v>112</v>
      </c>
      <c r="J323" s="14" t="s">
        <v>113</v>
      </c>
      <c r="K323" s="14" t="s">
        <v>114</v>
      </c>
      <c r="L323" s="14" t="s">
        <v>115</v>
      </c>
      <c r="M323" s="14">
        <v>4</v>
      </c>
      <c r="N323" s="14">
        <v>2656.2</v>
      </c>
      <c r="O323" s="14">
        <v>1480</v>
      </c>
      <c r="P323" s="14">
        <v>5</v>
      </c>
      <c r="Q323" s="14" t="s">
        <v>73</v>
      </c>
      <c r="R323" s="14" t="s">
        <v>42</v>
      </c>
      <c r="S323" s="14">
        <v>45579</v>
      </c>
      <c r="T323" s="14">
        <v>5</v>
      </c>
    </row>
    <row r="324" spans="1:20" x14ac:dyDescent="0.3">
      <c r="A324" t="s">
        <v>772</v>
      </c>
      <c r="B324">
        <v>45900</v>
      </c>
      <c r="C324" t="s">
        <v>538</v>
      </c>
      <c r="D324" t="s">
        <v>539</v>
      </c>
      <c r="E324" t="s">
        <v>23</v>
      </c>
      <c r="F324">
        <v>49</v>
      </c>
      <c r="G324" t="s">
        <v>78</v>
      </c>
      <c r="H324" s="14" t="s">
        <v>79</v>
      </c>
      <c r="I324" s="14" t="s">
        <v>37</v>
      </c>
      <c r="J324" s="14" t="s">
        <v>38</v>
      </c>
      <c r="K324" s="14" t="s">
        <v>39</v>
      </c>
      <c r="L324" s="14" t="s">
        <v>40</v>
      </c>
      <c r="M324" s="14">
        <v>5</v>
      </c>
      <c r="N324" s="14">
        <v>3371.25</v>
      </c>
      <c r="O324" s="14">
        <v>2600</v>
      </c>
      <c r="P324" s="14">
        <v>25</v>
      </c>
      <c r="Q324" s="14" t="s">
        <v>41</v>
      </c>
      <c r="R324" s="14" t="s">
        <v>42</v>
      </c>
      <c r="S324" s="14">
        <v>45906</v>
      </c>
      <c r="T324" s="14">
        <v>3</v>
      </c>
    </row>
    <row r="325" spans="1:20" x14ac:dyDescent="0.3">
      <c r="A325" t="s">
        <v>773</v>
      </c>
      <c r="B325">
        <v>45583</v>
      </c>
      <c r="C325" t="s">
        <v>376</v>
      </c>
      <c r="D325" t="s">
        <v>377</v>
      </c>
      <c r="E325" t="s">
        <v>23</v>
      </c>
      <c r="F325">
        <v>24</v>
      </c>
      <c r="G325" t="s">
        <v>165</v>
      </c>
      <c r="H325" s="14" t="s">
        <v>166</v>
      </c>
      <c r="I325" s="14" t="s">
        <v>26</v>
      </c>
      <c r="J325" s="14" t="s">
        <v>27</v>
      </c>
      <c r="K325" s="14" t="s">
        <v>28</v>
      </c>
      <c r="L325" s="14" t="s">
        <v>29</v>
      </c>
      <c r="M325" s="14">
        <v>2</v>
      </c>
      <c r="N325" s="14">
        <v>2208.3000000000002</v>
      </c>
      <c r="O325" s="14">
        <v>1580</v>
      </c>
      <c r="P325" s="14">
        <v>15</v>
      </c>
      <c r="Q325" s="14" t="s">
        <v>30</v>
      </c>
      <c r="R325" s="14" t="s">
        <v>31</v>
      </c>
      <c r="S325" s="14">
        <v>45588</v>
      </c>
      <c r="T325" s="14">
        <v>4</v>
      </c>
    </row>
    <row r="326" spans="1:20" x14ac:dyDescent="0.3">
      <c r="A326" t="s">
        <v>774</v>
      </c>
      <c r="B326">
        <v>45567</v>
      </c>
      <c r="C326" t="s">
        <v>775</v>
      </c>
      <c r="D326" t="s">
        <v>244</v>
      </c>
      <c r="E326" t="s">
        <v>77</v>
      </c>
      <c r="F326">
        <v>46</v>
      </c>
      <c r="G326" t="s">
        <v>161</v>
      </c>
      <c r="H326" s="14" t="s">
        <v>25</v>
      </c>
      <c r="I326" s="14" t="s">
        <v>107</v>
      </c>
      <c r="J326" s="14" t="s">
        <v>108</v>
      </c>
      <c r="K326" s="14" t="s">
        <v>87</v>
      </c>
      <c r="L326" s="14" t="s">
        <v>88</v>
      </c>
      <c r="M326" s="14">
        <v>1</v>
      </c>
      <c r="N326" s="14">
        <v>479.4</v>
      </c>
      <c r="O326" s="14">
        <v>420</v>
      </c>
      <c r="P326" s="14">
        <v>40</v>
      </c>
      <c r="Q326" s="14" t="s">
        <v>30</v>
      </c>
      <c r="R326" s="14" t="s">
        <v>31</v>
      </c>
      <c r="S326" s="14">
        <v>45571</v>
      </c>
      <c r="T326" s="14">
        <v>2</v>
      </c>
    </row>
    <row r="327" spans="1:20" x14ac:dyDescent="0.3">
      <c r="A327" t="s">
        <v>776</v>
      </c>
      <c r="B327">
        <v>45521</v>
      </c>
      <c r="C327" t="s">
        <v>348</v>
      </c>
      <c r="D327" t="s">
        <v>349</v>
      </c>
      <c r="E327" t="s">
        <v>23</v>
      </c>
      <c r="F327">
        <v>51</v>
      </c>
      <c r="G327" t="s">
        <v>35</v>
      </c>
      <c r="H327" s="14" t="s">
        <v>36</v>
      </c>
      <c r="I327" s="14" t="s">
        <v>85</v>
      </c>
      <c r="J327" s="14" t="s">
        <v>86</v>
      </c>
      <c r="K327" s="14" t="s">
        <v>87</v>
      </c>
      <c r="L327" s="14" t="s">
        <v>88</v>
      </c>
      <c r="M327" s="14">
        <v>3</v>
      </c>
      <c r="N327" s="14">
        <v>2937.9</v>
      </c>
      <c r="O327" s="14">
        <v>2370</v>
      </c>
      <c r="P327" s="14">
        <v>30</v>
      </c>
      <c r="Q327" s="14" t="s">
        <v>103</v>
      </c>
      <c r="R327" s="14" t="s">
        <v>57</v>
      </c>
      <c r="S327" s="14">
        <v>45528</v>
      </c>
      <c r="T327" s="14">
        <v>5</v>
      </c>
    </row>
    <row r="328" spans="1:20" x14ac:dyDescent="0.3">
      <c r="A328" t="s">
        <v>777</v>
      </c>
      <c r="B328">
        <v>45550</v>
      </c>
      <c r="C328" t="s">
        <v>778</v>
      </c>
      <c r="D328" t="s">
        <v>779</v>
      </c>
      <c r="E328" t="s">
        <v>23</v>
      </c>
      <c r="F328">
        <v>56</v>
      </c>
      <c r="G328" t="s">
        <v>61</v>
      </c>
      <c r="H328" s="14" t="s">
        <v>62</v>
      </c>
      <c r="I328" s="14" t="s">
        <v>143</v>
      </c>
      <c r="J328" s="14" t="s">
        <v>144</v>
      </c>
      <c r="K328" s="14" t="s">
        <v>130</v>
      </c>
      <c r="L328" s="14" t="s">
        <v>131</v>
      </c>
      <c r="M328" s="14">
        <v>5</v>
      </c>
      <c r="N328" s="14">
        <v>19246.5</v>
      </c>
      <c r="O328" s="14">
        <v>21500</v>
      </c>
      <c r="P328" s="14">
        <v>30</v>
      </c>
      <c r="Q328" s="14" t="s">
        <v>50</v>
      </c>
      <c r="R328" s="14" t="s">
        <v>42</v>
      </c>
      <c r="S328" s="14">
        <v>45552</v>
      </c>
      <c r="T328" s="14">
        <v>4</v>
      </c>
    </row>
    <row r="329" spans="1:20" x14ac:dyDescent="0.3">
      <c r="A329" t="s">
        <v>780</v>
      </c>
      <c r="B329">
        <v>45866</v>
      </c>
      <c r="C329" t="s">
        <v>366</v>
      </c>
      <c r="D329" t="s">
        <v>367</v>
      </c>
      <c r="E329" t="s">
        <v>77</v>
      </c>
      <c r="F329">
        <v>25</v>
      </c>
      <c r="G329" t="s">
        <v>35</v>
      </c>
      <c r="H329" s="14" t="s">
        <v>36</v>
      </c>
      <c r="I329" s="14" t="s">
        <v>107</v>
      </c>
      <c r="J329" s="14" t="s">
        <v>108</v>
      </c>
      <c r="K329" s="14" t="s">
        <v>87</v>
      </c>
      <c r="L329" s="14" t="s">
        <v>88</v>
      </c>
      <c r="M329" s="14">
        <v>1</v>
      </c>
      <c r="N329" s="14">
        <v>479.4</v>
      </c>
      <c r="O329" s="14">
        <v>420</v>
      </c>
      <c r="P329" s="14">
        <v>40</v>
      </c>
      <c r="Q329" s="14" t="s">
        <v>73</v>
      </c>
      <c r="R329" s="14" t="s">
        <v>42</v>
      </c>
      <c r="S329" s="14">
        <v>45872</v>
      </c>
      <c r="T329" s="14">
        <v>4</v>
      </c>
    </row>
    <row r="330" spans="1:20" x14ac:dyDescent="0.3">
      <c r="A330" t="s">
        <v>781</v>
      </c>
      <c r="B330">
        <v>45575</v>
      </c>
      <c r="C330" t="s">
        <v>511</v>
      </c>
      <c r="D330" t="s">
        <v>512</v>
      </c>
      <c r="E330" t="s">
        <v>23</v>
      </c>
      <c r="F330">
        <v>53</v>
      </c>
      <c r="G330" t="s">
        <v>35</v>
      </c>
      <c r="H330" s="14" t="s">
        <v>36</v>
      </c>
      <c r="I330" s="14" t="s">
        <v>70</v>
      </c>
      <c r="J330" s="14" t="s">
        <v>71</v>
      </c>
      <c r="K330" s="14" t="s">
        <v>28</v>
      </c>
      <c r="L330" s="14" t="s">
        <v>72</v>
      </c>
      <c r="M330" s="14">
        <v>2</v>
      </c>
      <c r="N330" s="14">
        <v>2548.3000000000002</v>
      </c>
      <c r="O330" s="14">
        <v>1840</v>
      </c>
      <c r="P330" s="14">
        <v>15</v>
      </c>
      <c r="Q330" s="14" t="s">
        <v>73</v>
      </c>
      <c r="R330" s="14" t="s">
        <v>57</v>
      </c>
      <c r="S330" s="14">
        <v>45586</v>
      </c>
      <c r="T330" s="14">
        <v>5</v>
      </c>
    </row>
    <row r="331" spans="1:20" x14ac:dyDescent="0.3">
      <c r="A331" t="s">
        <v>782</v>
      </c>
      <c r="B331">
        <v>45968</v>
      </c>
      <c r="C331" t="s">
        <v>424</v>
      </c>
      <c r="D331" t="s">
        <v>273</v>
      </c>
      <c r="E331" t="s">
        <v>23</v>
      </c>
      <c r="F331">
        <v>40</v>
      </c>
      <c r="G331" t="s">
        <v>173</v>
      </c>
      <c r="H331" s="14" t="s">
        <v>79</v>
      </c>
      <c r="I331" s="14" t="s">
        <v>177</v>
      </c>
      <c r="J331" s="14" t="s">
        <v>178</v>
      </c>
      <c r="K331" s="14" t="s">
        <v>87</v>
      </c>
      <c r="L331" s="14" t="s">
        <v>179</v>
      </c>
      <c r="M331" s="14">
        <v>1</v>
      </c>
      <c r="N331" s="14">
        <v>1499.4</v>
      </c>
      <c r="O331" s="14">
        <v>1620</v>
      </c>
      <c r="P331" s="14">
        <v>40</v>
      </c>
      <c r="Q331" s="14" t="s">
        <v>41</v>
      </c>
      <c r="R331" s="14" t="s">
        <v>42</v>
      </c>
      <c r="S331" s="14">
        <v>45976</v>
      </c>
      <c r="T331" s="14">
        <v>5</v>
      </c>
    </row>
    <row r="332" spans="1:20" x14ac:dyDescent="0.3">
      <c r="A332" t="s">
        <v>783</v>
      </c>
      <c r="B332">
        <v>45689</v>
      </c>
      <c r="C332" t="s">
        <v>171</v>
      </c>
      <c r="D332" t="s">
        <v>172</v>
      </c>
      <c r="E332" t="s">
        <v>23</v>
      </c>
      <c r="F332">
        <v>36</v>
      </c>
      <c r="G332" t="s">
        <v>154</v>
      </c>
      <c r="H332" s="14" t="s">
        <v>91</v>
      </c>
      <c r="I332" s="14" t="s">
        <v>183</v>
      </c>
      <c r="J332" s="14" t="s">
        <v>184</v>
      </c>
      <c r="K332" s="14" t="s">
        <v>130</v>
      </c>
      <c r="L332" s="14" t="s">
        <v>185</v>
      </c>
      <c r="M332" s="14">
        <v>2</v>
      </c>
      <c r="N332" s="14">
        <v>4798.8</v>
      </c>
      <c r="O332" s="14">
        <v>6100</v>
      </c>
      <c r="P332" s="14">
        <v>40</v>
      </c>
      <c r="Q332" s="14" t="s">
        <v>41</v>
      </c>
      <c r="R332" s="14" t="s">
        <v>65</v>
      </c>
    </row>
    <row r="333" spans="1:20" x14ac:dyDescent="0.3">
      <c r="A333" t="s">
        <v>784</v>
      </c>
      <c r="B333">
        <v>45599</v>
      </c>
      <c r="C333" t="s">
        <v>736</v>
      </c>
      <c r="D333" t="s">
        <v>737</v>
      </c>
      <c r="E333" t="s">
        <v>77</v>
      </c>
      <c r="F333">
        <v>21</v>
      </c>
      <c r="G333" t="s">
        <v>78</v>
      </c>
      <c r="H333" s="14" t="s">
        <v>79</v>
      </c>
      <c r="I333" s="14" t="s">
        <v>143</v>
      </c>
      <c r="J333" s="14" t="s">
        <v>144</v>
      </c>
      <c r="K333" s="14" t="s">
        <v>130</v>
      </c>
      <c r="L333" s="14" t="s">
        <v>131</v>
      </c>
      <c r="M333" s="14">
        <v>1</v>
      </c>
      <c r="N333" s="14">
        <v>3299.4</v>
      </c>
      <c r="O333" s="14">
        <v>4300</v>
      </c>
      <c r="P333" s="14">
        <v>40</v>
      </c>
      <c r="Q333" s="14" t="s">
        <v>30</v>
      </c>
      <c r="R333" s="14" t="s">
        <v>31</v>
      </c>
      <c r="S333" s="14">
        <v>45605</v>
      </c>
      <c r="T333" s="14">
        <v>3</v>
      </c>
    </row>
    <row r="334" spans="1:20" x14ac:dyDescent="0.3">
      <c r="A334" t="s">
        <v>785</v>
      </c>
      <c r="B334">
        <v>45988</v>
      </c>
      <c r="C334" t="s">
        <v>786</v>
      </c>
      <c r="D334" t="s">
        <v>227</v>
      </c>
      <c r="E334" t="s">
        <v>23</v>
      </c>
      <c r="F334">
        <v>54</v>
      </c>
      <c r="G334" t="s">
        <v>46</v>
      </c>
      <c r="H334" s="14" t="s">
        <v>25</v>
      </c>
      <c r="I334" s="14" t="s">
        <v>304</v>
      </c>
      <c r="J334" s="14" t="s">
        <v>305</v>
      </c>
      <c r="K334" s="14" t="s">
        <v>28</v>
      </c>
      <c r="L334" s="14" t="s">
        <v>231</v>
      </c>
      <c r="M334" s="14">
        <v>3</v>
      </c>
      <c r="N334" s="14">
        <v>4587.45</v>
      </c>
      <c r="O334" s="14">
        <v>3240</v>
      </c>
      <c r="P334" s="14">
        <v>15</v>
      </c>
      <c r="Q334" s="14" t="s">
        <v>41</v>
      </c>
      <c r="R334" s="14" t="s">
        <v>42</v>
      </c>
      <c r="S334" s="14">
        <v>45995</v>
      </c>
      <c r="T334" s="14">
        <v>4</v>
      </c>
    </row>
    <row r="335" spans="1:20" x14ac:dyDescent="0.3">
      <c r="A335" t="s">
        <v>787</v>
      </c>
      <c r="B335">
        <v>45558</v>
      </c>
      <c r="C335" t="s">
        <v>788</v>
      </c>
      <c r="D335" t="s">
        <v>789</v>
      </c>
      <c r="E335" t="s">
        <v>77</v>
      </c>
      <c r="F335">
        <v>52</v>
      </c>
      <c r="G335" t="s">
        <v>35</v>
      </c>
      <c r="H335" s="14" t="s">
        <v>36</v>
      </c>
      <c r="I335" s="14" t="s">
        <v>63</v>
      </c>
      <c r="J335" s="14" t="s">
        <v>64</v>
      </c>
      <c r="K335" s="14" t="s">
        <v>39</v>
      </c>
      <c r="L335" s="14" t="s">
        <v>40</v>
      </c>
      <c r="M335" s="14">
        <v>1</v>
      </c>
      <c r="N335" s="14">
        <v>359.4</v>
      </c>
      <c r="O335" s="14">
        <v>330</v>
      </c>
      <c r="P335" s="14">
        <v>40</v>
      </c>
      <c r="Q335" s="14" t="s">
        <v>73</v>
      </c>
      <c r="R335" s="14" t="s">
        <v>57</v>
      </c>
      <c r="S335" s="14">
        <v>45570</v>
      </c>
      <c r="T335" s="14">
        <v>3</v>
      </c>
    </row>
    <row r="336" spans="1:20" x14ac:dyDescent="0.3">
      <c r="A336" t="s">
        <v>790</v>
      </c>
      <c r="B336">
        <v>45775</v>
      </c>
      <c r="C336" t="s">
        <v>791</v>
      </c>
      <c r="D336" t="s">
        <v>792</v>
      </c>
      <c r="E336" t="s">
        <v>23</v>
      </c>
      <c r="F336">
        <v>42</v>
      </c>
      <c r="G336" t="s">
        <v>69</v>
      </c>
      <c r="H336" s="14" t="s">
        <v>69</v>
      </c>
      <c r="I336" s="14" t="s">
        <v>107</v>
      </c>
      <c r="J336" s="14" t="s">
        <v>108</v>
      </c>
      <c r="K336" s="14" t="s">
        <v>87</v>
      </c>
      <c r="L336" s="14" t="s">
        <v>88</v>
      </c>
      <c r="M336" s="14">
        <v>4</v>
      </c>
      <c r="N336" s="14">
        <v>2556.8000000000002</v>
      </c>
      <c r="O336" s="14">
        <v>1680</v>
      </c>
      <c r="P336" s="14">
        <v>20</v>
      </c>
      <c r="Q336" s="14" t="s">
        <v>103</v>
      </c>
      <c r="R336" s="14" t="s">
        <v>42</v>
      </c>
      <c r="S336" s="14">
        <v>45779</v>
      </c>
      <c r="T336" s="14">
        <v>3</v>
      </c>
    </row>
    <row r="337" spans="1:20" x14ac:dyDescent="0.3">
      <c r="A337" t="s">
        <v>793</v>
      </c>
      <c r="B337">
        <v>45497</v>
      </c>
      <c r="C337" t="s">
        <v>605</v>
      </c>
      <c r="D337" t="s">
        <v>442</v>
      </c>
      <c r="E337" t="s">
        <v>77</v>
      </c>
      <c r="F337">
        <v>22</v>
      </c>
      <c r="G337" t="s">
        <v>122</v>
      </c>
      <c r="H337" s="14" t="s">
        <v>123</v>
      </c>
      <c r="I337" s="14" t="s">
        <v>198</v>
      </c>
      <c r="J337" s="14" t="s">
        <v>199</v>
      </c>
      <c r="K337" s="14" t="s">
        <v>114</v>
      </c>
      <c r="L337" s="14" t="s">
        <v>200</v>
      </c>
      <c r="M337" s="14">
        <v>4</v>
      </c>
      <c r="N337" s="14">
        <v>4676.3999999999996</v>
      </c>
      <c r="O337" s="14">
        <v>3040</v>
      </c>
      <c r="P337" s="14">
        <v>10</v>
      </c>
      <c r="Q337" s="14" t="s">
        <v>41</v>
      </c>
      <c r="R337" s="14" t="s">
        <v>57</v>
      </c>
      <c r="S337" s="14">
        <v>45501</v>
      </c>
      <c r="T337" s="14">
        <v>3</v>
      </c>
    </row>
    <row r="338" spans="1:20" x14ac:dyDescent="0.3">
      <c r="A338" t="s">
        <v>794</v>
      </c>
      <c r="B338">
        <v>45791</v>
      </c>
      <c r="C338" t="s">
        <v>163</v>
      </c>
      <c r="D338" t="s">
        <v>164</v>
      </c>
      <c r="E338" t="s">
        <v>77</v>
      </c>
      <c r="F338">
        <v>50</v>
      </c>
      <c r="G338" t="s">
        <v>78</v>
      </c>
      <c r="H338" s="14" t="s">
        <v>79</v>
      </c>
      <c r="I338" s="14" t="s">
        <v>183</v>
      </c>
      <c r="J338" s="14" t="s">
        <v>184</v>
      </c>
      <c r="K338" s="14" t="s">
        <v>130</v>
      </c>
      <c r="L338" s="14" t="s">
        <v>185</v>
      </c>
      <c r="M338" s="14">
        <v>1</v>
      </c>
      <c r="N338" s="14">
        <v>3999</v>
      </c>
      <c r="O338" s="14">
        <v>3050</v>
      </c>
      <c r="P338" s="14">
        <v>0</v>
      </c>
      <c r="Q338" s="14" t="s">
        <v>103</v>
      </c>
      <c r="R338" s="14" t="s">
        <v>42</v>
      </c>
      <c r="S338" s="14">
        <v>45796</v>
      </c>
      <c r="T338" s="14">
        <v>3</v>
      </c>
    </row>
    <row r="339" spans="1:20" x14ac:dyDescent="0.3">
      <c r="A339" t="s">
        <v>795</v>
      </c>
      <c r="B339">
        <v>45882</v>
      </c>
      <c r="C339" t="s">
        <v>796</v>
      </c>
      <c r="D339" t="s">
        <v>797</v>
      </c>
      <c r="E339" t="s">
        <v>77</v>
      </c>
      <c r="F339">
        <v>31</v>
      </c>
      <c r="G339" t="s">
        <v>101</v>
      </c>
      <c r="H339" s="14" t="s">
        <v>102</v>
      </c>
      <c r="I339" s="14" t="s">
        <v>54</v>
      </c>
      <c r="J339" s="14" t="s">
        <v>55</v>
      </c>
      <c r="K339" s="14" t="s">
        <v>28</v>
      </c>
      <c r="L339" s="14" t="s">
        <v>56</v>
      </c>
      <c r="M339" s="14">
        <v>2</v>
      </c>
      <c r="N339" s="14">
        <v>978.6</v>
      </c>
      <c r="O339" s="14">
        <v>820</v>
      </c>
      <c r="P339" s="14">
        <v>30</v>
      </c>
      <c r="Q339" s="14" t="s">
        <v>103</v>
      </c>
      <c r="R339" s="14" t="s">
        <v>42</v>
      </c>
      <c r="S339" s="14">
        <v>45890</v>
      </c>
      <c r="T339" s="14">
        <v>5</v>
      </c>
    </row>
    <row r="340" spans="1:20" x14ac:dyDescent="0.3">
      <c r="A340" t="s">
        <v>798</v>
      </c>
      <c r="B340">
        <v>45684</v>
      </c>
      <c r="C340" t="s">
        <v>799</v>
      </c>
      <c r="D340" t="s">
        <v>800</v>
      </c>
      <c r="E340" t="s">
        <v>23</v>
      </c>
      <c r="F340">
        <v>24</v>
      </c>
      <c r="G340" t="s">
        <v>24</v>
      </c>
      <c r="H340" s="14" t="s">
        <v>25</v>
      </c>
      <c r="I340" s="14" t="s">
        <v>222</v>
      </c>
      <c r="J340" s="14" t="s">
        <v>223</v>
      </c>
      <c r="K340" s="14" t="s">
        <v>114</v>
      </c>
      <c r="L340" s="14" t="s">
        <v>115</v>
      </c>
      <c r="M340" s="14">
        <v>2</v>
      </c>
      <c r="N340" s="14">
        <v>1348.5</v>
      </c>
      <c r="O340" s="14">
        <v>1020</v>
      </c>
      <c r="P340" s="14">
        <v>25</v>
      </c>
      <c r="Q340" s="14" t="s">
        <v>73</v>
      </c>
      <c r="R340" s="14" t="s">
        <v>42</v>
      </c>
      <c r="S340" s="14">
        <v>45694</v>
      </c>
      <c r="T340" s="14">
        <v>4</v>
      </c>
    </row>
    <row r="341" spans="1:20" x14ac:dyDescent="0.3">
      <c r="A341" t="s">
        <v>801</v>
      </c>
      <c r="B341">
        <v>45310</v>
      </c>
      <c r="C341" t="s">
        <v>799</v>
      </c>
      <c r="D341" t="s">
        <v>800</v>
      </c>
      <c r="E341" t="s">
        <v>23</v>
      </c>
      <c r="F341">
        <v>24</v>
      </c>
      <c r="G341" t="s">
        <v>90</v>
      </c>
      <c r="H341" s="14" t="s">
        <v>91</v>
      </c>
      <c r="I341" s="14" t="s">
        <v>304</v>
      </c>
      <c r="J341" s="14" t="s">
        <v>305</v>
      </c>
      <c r="K341" s="14" t="s">
        <v>28</v>
      </c>
      <c r="L341" s="14" t="s">
        <v>231</v>
      </c>
      <c r="M341" s="14">
        <v>3</v>
      </c>
      <c r="N341" s="14">
        <v>4317.6000000000004</v>
      </c>
      <c r="O341" s="14">
        <v>3240</v>
      </c>
      <c r="P341" s="14">
        <v>20</v>
      </c>
      <c r="Q341" s="14" t="s">
        <v>30</v>
      </c>
      <c r="R341" s="14" t="s">
        <v>42</v>
      </c>
      <c r="S341" s="14">
        <v>45318</v>
      </c>
      <c r="T341" s="14">
        <v>4</v>
      </c>
    </row>
    <row r="342" spans="1:20" x14ac:dyDescent="0.3">
      <c r="A342" t="s">
        <v>802</v>
      </c>
      <c r="B342">
        <v>45463</v>
      </c>
      <c r="C342" t="s">
        <v>769</v>
      </c>
      <c r="D342" t="s">
        <v>326</v>
      </c>
      <c r="E342" t="s">
        <v>23</v>
      </c>
      <c r="F342">
        <v>20</v>
      </c>
      <c r="G342" t="s">
        <v>24</v>
      </c>
      <c r="H342" s="14" t="s">
        <v>25</v>
      </c>
      <c r="I342" s="14" t="s">
        <v>143</v>
      </c>
      <c r="J342" s="14" t="s">
        <v>144</v>
      </c>
      <c r="K342" s="14" t="s">
        <v>130</v>
      </c>
      <c r="L342" s="14" t="s">
        <v>131</v>
      </c>
      <c r="M342" s="14">
        <v>3</v>
      </c>
      <c r="N342" s="14">
        <v>9898.2000000000007</v>
      </c>
      <c r="O342" s="14">
        <v>12900</v>
      </c>
      <c r="P342" s="14">
        <v>40</v>
      </c>
      <c r="Q342" s="14" t="s">
        <v>50</v>
      </c>
      <c r="R342" s="14" t="s">
        <v>65</v>
      </c>
    </row>
    <row r="343" spans="1:20" x14ac:dyDescent="0.3">
      <c r="A343" t="s">
        <v>803</v>
      </c>
      <c r="B343">
        <v>45828</v>
      </c>
      <c r="C343" t="s">
        <v>468</v>
      </c>
      <c r="D343" t="s">
        <v>469</v>
      </c>
      <c r="E343" t="s">
        <v>23</v>
      </c>
      <c r="F343">
        <v>20</v>
      </c>
      <c r="G343" t="s">
        <v>122</v>
      </c>
      <c r="H343" s="14" t="s">
        <v>123</v>
      </c>
      <c r="I343" s="14" t="s">
        <v>107</v>
      </c>
      <c r="J343" s="14" t="s">
        <v>108</v>
      </c>
      <c r="K343" s="14" t="s">
        <v>87</v>
      </c>
      <c r="L343" s="14" t="s">
        <v>88</v>
      </c>
      <c r="M343" s="14">
        <v>2</v>
      </c>
      <c r="N343" s="14">
        <v>1198.5</v>
      </c>
      <c r="O343" s="14">
        <v>840</v>
      </c>
      <c r="P343" s="14">
        <v>25</v>
      </c>
      <c r="Q343" s="14" t="s">
        <v>103</v>
      </c>
      <c r="R343" s="14" t="s">
        <v>42</v>
      </c>
      <c r="S343" s="14">
        <v>45833</v>
      </c>
      <c r="T343" s="14">
        <v>3</v>
      </c>
    </row>
    <row r="344" spans="1:20" x14ac:dyDescent="0.3">
      <c r="A344" t="s">
        <v>804</v>
      </c>
      <c r="B344">
        <v>45705</v>
      </c>
      <c r="C344" t="s">
        <v>805</v>
      </c>
      <c r="D344" t="s">
        <v>806</v>
      </c>
      <c r="E344" t="s">
        <v>77</v>
      </c>
      <c r="F344">
        <v>46</v>
      </c>
      <c r="G344" t="s">
        <v>90</v>
      </c>
      <c r="H344" s="14" t="s">
        <v>91</v>
      </c>
      <c r="I344" s="14" t="s">
        <v>304</v>
      </c>
      <c r="J344" s="14" t="s">
        <v>305</v>
      </c>
      <c r="K344" s="14" t="s">
        <v>28</v>
      </c>
      <c r="L344" s="14" t="s">
        <v>231</v>
      </c>
      <c r="M344" s="14">
        <v>2</v>
      </c>
      <c r="N344" s="14">
        <v>3058.3</v>
      </c>
      <c r="O344" s="14">
        <v>2160</v>
      </c>
      <c r="P344" s="14">
        <v>15</v>
      </c>
      <c r="Q344" s="14" t="s">
        <v>73</v>
      </c>
      <c r="R344" s="14" t="s">
        <v>65</v>
      </c>
    </row>
    <row r="345" spans="1:20" x14ac:dyDescent="0.3">
      <c r="A345" t="s">
        <v>807</v>
      </c>
      <c r="B345">
        <v>45808</v>
      </c>
      <c r="C345" t="s">
        <v>441</v>
      </c>
      <c r="D345" t="s">
        <v>442</v>
      </c>
      <c r="E345" t="s">
        <v>77</v>
      </c>
      <c r="F345">
        <v>44</v>
      </c>
      <c r="G345" t="s">
        <v>69</v>
      </c>
      <c r="H345" s="14" t="s">
        <v>69</v>
      </c>
      <c r="I345" s="14" t="s">
        <v>245</v>
      </c>
      <c r="J345" s="14" t="s">
        <v>246</v>
      </c>
      <c r="K345" s="14" t="s">
        <v>130</v>
      </c>
      <c r="L345" s="14" t="s">
        <v>247</v>
      </c>
      <c r="M345" s="14">
        <v>1</v>
      </c>
      <c r="N345" s="14">
        <v>1749.3</v>
      </c>
      <c r="O345" s="14">
        <v>1870</v>
      </c>
      <c r="P345" s="14">
        <v>30</v>
      </c>
      <c r="Q345" s="14" t="s">
        <v>41</v>
      </c>
      <c r="R345" s="14" t="s">
        <v>57</v>
      </c>
      <c r="S345" s="14">
        <v>45818</v>
      </c>
      <c r="T345" s="14">
        <v>2</v>
      </c>
    </row>
    <row r="346" spans="1:20" x14ac:dyDescent="0.3">
      <c r="A346" t="s">
        <v>808</v>
      </c>
      <c r="B346">
        <v>45900</v>
      </c>
      <c r="C346" t="s">
        <v>809</v>
      </c>
      <c r="D346" t="s">
        <v>810</v>
      </c>
      <c r="E346" t="s">
        <v>77</v>
      </c>
      <c r="F346">
        <v>41</v>
      </c>
      <c r="G346" t="s">
        <v>69</v>
      </c>
      <c r="H346" s="14" t="s">
        <v>69</v>
      </c>
      <c r="I346" s="14" t="s">
        <v>92</v>
      </c>
      <c r="J346" s="14" t="s">
        <v>93</v>
      </c>
      <c r="K346" s="14" t="s">
        <v>87</v>
      </c>
      <c r="L346" s="14" t="s">
        <v>94</v>
      </c>
      <c r="M346" s="14">
        <v>1</v>
      </c>
      <c r="N346" s="14">
        <v>1599</v>
      </c>
      <c r="O346" s="14">
        <v>930</v>
      </c>
      <c r="P346" s="14">
        <v>0</v>
      </c>
      <c r="Q346" s="14" t="s">
        <v>811</v>
      </c>
      <c r="R346" s="14" t="s">
        <v>42</v>
      </c>
      <c r="S346" s="14">
        <v>45909</v>
      </c>
      <c r="T346" s="14">
        <v>5</v>
      </c>
    </row>
    <row r="347" spans="1:20" x14ac:dyDescent="0.3">
      <c r="A347" t="s">
        <v>812</v>
      </c>
      <c r="B347">
        <v>45418</v>
      </c>
      <c r="C347" t="s">
        <v>382</v>
      </c>
      <c r="D347" t="s">
        <v>188</v>
      </c>
      <c r="E347" t="s">
        <v>23</v>
      </c>
      <c r="F347">
        <v>44</v>
      </c>
      <c r="G347" t="s">
        <v>207</v>
      </c>
      <c r="H347" s="14" t="s">
        <v>36</v>
      </c>
      <c r="I347" s="14" t="s">
        <v>37</v>
      </c>
      <c r="J347" s="14" t="s">
        <v>38</v>
      </c>
      <c r="K347" s="14" t="s">
        <v>39</v>
      </c>
      <c r="L347" s="14" t="s">
        <v>40</v>
      </c>
      <c r="M347" s="14">
        <v>2</v>
      </c>
      <c r="N347" s="14">
        <v>1528.3</v>
      </c>
      <c r="O347" s="14">
        <v>1040</v>
      </c>
      <c r="P347" s="14">
        <v>15</v>
      </c>
      <c r="Q347" s="14" t="s">
        <v>73</v>
      </c>
      <c r="R347" s="14" t="s">
        <v>42</v>
      </c>
      <c r="S347" s="14">
        <v>45426</v>
      </c>
      <c r="T347" s="14">
        <v>3</v>
      </c>
    </row>
    <row r="348" spans="1:20" x14ac:dyDescent="0.3">
      <c r="A348" t="s">
        <v>813</v>
      </c>
      <c r="B348">
        <v>45970</v>
      </c>
      <c r="C348" t="s">
        <v>585</v>
      </c>
      <c r="D348" t="s">
        <v>586</v>
      </c>
      <c r="E348" t="s">
        <v>77</v>
      </c>
      <c r="F348">
        <v>51</v>
      </c>
      <c r="G348" t="s">
        <v>207</v>
      </c>
      <c r="H348" s="14" t="s">
        <v>36</v>
      </c>
      <c r="I348" s="14" t="s">
        <v>155</v>
      </c>
      <c r="J348" s="14" t="s">
        <v>156</v>
      </c>
      <c r="K348" s="14" t="s">
        <v>114</v>
      </c>
      <c r="L348" s="14" t="s">
        <v>157</v>
      </c>
      <c r="M348" s="14">
        <v>5</v>
      </c>
      <c r="N348" s="14">
        <v>4495.5</v>
      </c>
      <c r="O348" s="14">
        <v>3050</v>
      </c>
      <c r="P348" s="14">
        <v>10</v>
      </c>
      <c r="Q348" s="14" t="s">
        <v>103</v>
      </c>
      <c r="R348" s="14" t="s">
        <v>57</v>
      </c>
      <c r="S348" s="14">
        <v>45973</v>
      </c>
      <c r="T348" s="14">
        <v>3</v>
      </c>
    </row>
    <row r="349" spans="1:20" x14ac:dyDescent="0.3">
      <c r="A349" t="s">
        <v>814</v>
      </c>
      <c r="B349">
        <v>45581</v>
      </c>
      <c r="C349" t="s">
        <v>44</v>
      </c>
      <c r="D349" t="s">
        <v>45</v>
      </c>
      <c r="E349" t="s">
        <v>23</v>
      </c>
      <c r="F349">
        <v>41</v>
      </c>
      <c r="G349" t="s">
        <v>69</v>
      </c>
      <c r="H349" s="14" t="s">
        <v>69</v>
      </c>
      <c r="I349" s="14" t="s">
        <v>37</v>
      </c>
      <c r="J349" s="14" t="s">
        <v>38</v>
      </c>
      <c r="K349" s="14" t="s">
        <v>39</v>
      </c>
      <c r="L349" s="14" t="s">
        <v>40</v>
      </c>
      <c r="M349" s="14">
        <v>2</v>
      </c>
      <c r="N349" s="14">
        <v>1528.3</v>
      </c>
      <c r="O349" s="14">
        <v>1040</v>
      </c>
      <c r="P349" s="14">
        <v>15</v>
      </c>
      <c r="Q349" s="14" t="s">
        <v>41</v>
      </c>
      <c r="R349" s="14" t="s">
        <v>57</v>
      </c>
      <c r="S349" s="14">
        <v>45591</v>
      </c>
      <c r="T349" s="14">
        <v>4</v>
      </c>
    </row>
    <row r="350" spans="1:20" x14ac:dyDescent="0.3">
      <c r="A350" t="s">
        <v>815</v>
      </c>
      <c r="B350">
        <v>45658</v>
      </c>
      <c r="C350" t="s">
        <v>775</v>
      </c>
      <c r="D350" t="s">
        <v>244</v>
      </c>
      <c r="E350" t="s">
        <v>77</v>
      </c>
      <c r="F350">
        <v>46</v>
      </c>
      <c r="G350" t="s">
        <v>35</v>
      </c>
      <c r="H350" s="14" t="s">
        <v>36</v>
      </c>
      <c r="I350" s="14" t="s">
        <v>319</v>
      </c>
      <c r="J350" s="14" t="s">
        <v>320</v>
      </c>
      <c r="K350" s="14" t="s">
        <v>28</v>
      </c>
      <c r="L350" s="14" t="s">
        <v>29</v>
      </c>
      <c r="M350" s="14">
        <v>1</v>
      </c>
      <c r="N350" s="14">
        <v>719.4</v>
      </c>
      <c r="O350" s="14">
        <v>710</v>
      </c>
      <c r="P350" s="14">
        <v>40</v>
      </c>
      <c r="Q350" s="14" t="s">
        <v>30</v>
      </c>
      <c r="R350" s="14" t="s">
        <v>31</v>
      </c>
      <c r="S350" s="14">
        <v>45667</v>
      </c>
      <c r="T350" s="14">
        <v>4</v>
      </c>
    </row>
    <row r="351" spans="1:20" x14ac:dyDescent="0.3">
      <c r="A351" t="s">
        <v>333</v>
      </c>
      <c r="B351">
        <v>45754</v>
      </c>
      <c r="C351" t="s">
        <v>334</v>
      </c>
      <c r="D351" t="s">
        <v>335</v>
      </c>
      <c r="E351" t="s">
        <v>77</v>
      </c>
      <c r="F351">
        <v>41</v>
      </c>
      <c r="G351" t="s">
        <v>24</v>
      </c>
      <c r="H351" s="14" t="s">
        <v>25</v>
      </c>
      <c r="I351" s="14" t="s">
        <v>245</v>
      </c>
      <c r="J351" s="14" t="s">
        <v>246</v>
      </c>
      <c r="K351" s="14" t="s">
        <v>130</v>
      </c>
      <c r="L351" s="14" t="s">
        <v>247</v>
      </c>
      <c r="M351" s="14">
        <v>3</v>
      </c>
      <c r="N351" s="14">
        <v>7122.15</v>
      </c>
      <c r="O351" s="14">
        <v>5610</v>
      </c>
      <c r="P351" s="14">
        <v>5</v>
      </c>
      <c r="Q351" s="14" t="s">
        <v>73</v>
      </c>
      <c r="R351" s="14" t="s">
        <v>65</v>
      </c>
    </row>
    <row r="352" spans="1:20" x14ac:dyDescent="0.3">
      <c r="A352" t="s">
        <v>816</v>
      </c>
      <c r="B352">
        <v>45384</v>
      </c>
      <c r="C352" t="s">
        <v>526</v>
      </c>
      <c r="D352" t="s">
        <v>488</v>
      </c>
      <c r="E352" t="s">
        <v>77</v>
      </c>
      <c r="F352">
        <v>41</v>
      </c>
      <c r="G352" t="s">
        <v>46</v>
      </c>
      <c r="H352" s="14" t="s">
        <v>25</v>
      </c>
      <c r="I352" s="14" t="s">
        <v>177</v>
      </c>
      <c r="J352" s="14" t="s">
        <v>178</v>
      </c>
      <c r="K352" s="14" t="s">
        <v>87</v>
      </c>
      <c r="L352" s="14" t="s">
        <v>179</v>
      </c>
      <c r="M352" s="14">
        <v>1</v>
      </c>
      <c r="N352" s="14">
        <v>1999.2</v>
      </c>
      <c r="O352" s="14">
        <v>1620</v>
      </c>
      <c r="P352" s="14">
        <v>20</v>
      </c>
      <c r="Q352" s="14" t="s">
        <v>30</v>
      </c>
      <c r="R352" s="14" t="s">
        <v>42</v>
      </c>
      <c r="S352" s="14">
        <v>45390</v>
      </c>
      <c r="T352" s="14">
        <v>4</v>
      </c>
    </row>
    <row r="353" spans="1:20" x14ac:dyDescent="0.3">
      <c r="A353" t="s">
        <v>817</v>
      </c>
      <c r="B353">
        <v>45767</v>
      </c>
      <c r="C353" t="s">
        <v>818</v>
      </c>
      <c r="D353" t="s">
        <v>819</v>
      </c>
      <c r="E353" t="s">
        <v>23</v>
      </c>
      <c r="F353">
        <v>40</v>
      </c>
      <c r="G353" t="s">
        <v>69</v>
      </c>
      <c r="H353" s="14" t="s">
        <v>69</v>
      </c>
      <c r="I353" s="14" t="s">
        <v>319</v>
      </c>
      <c r="J353" s="14" t="s">
        <v>320</v>
      </c>
      <c r="K353" s="14" t="s">
        <v>28</v>
      </c>
      <c r="L353" s="14" t="s">
        <v>29</v>
      </c>
      <c r="M353" s="14">
        <v>1</v>
      </c>
      <c r="N353" s="14">
        <v>959.2</v>
      </c>
      <c r="O353" s="14">
        <v>710</v>
      </c>
      <c r="P353" s="14">
        <v>20</v>
      </c>
      <c r="Q353" s="14" t="s">
        <v>41</v>
      </c>
      <c r="R353" s="14" t="s">
        <v>57</v>
      </c>
      <c r="S353" s="14">
        <v>45779</v>
      </c>
      <c r="T353" s="14">
        <v>4</v>
      </c>
    </row>
    <row r="354" spans="1:20" x14ac:dyDescent="0.3">
      <c r="A354" t="s">
        <v>820</v>
      </c>
      <c r="B354">
        <v>45728</v>
      </c>
      <c r="C354" t="s">
        <v>674</v>
      </c>
      <c r="D354" t="s">
        <v>675</v>
      </c>
      <c r="E354" t="s">
        <v>23</v>
      </c>
      <c r="F354">
        <v>51</v>
      </c>
      <c r="G354" t="s">
        <v>69</v>
      </c>
      <c r="H354" s="14" t="s">
        <v>69</v>
      </c>
      <c r="I354" s="14" t="s">
        <v>26</v>
      </c>
      <c r="J354" s="14" t="s">
        <v>27</v>
      </c>
      <c r="K354" s="14" t="s">
        <v>28</v>
      </c>
      <c r="L354" s="14" t="s">
        <v>29</v>
      </c>
      <c r="M354" s="14">
        <v>1</v>
      </c>
      <c r="N354" s="14">
        <v>1169.0999999999999</v>
      </c>
      <c r="O354" s="14">
        <v>790</v>
      </c>
      <c r="P354" s="14">
        <v>10</v>
      </c>
      <c r="Q354" s="14" t="s">
        <v>30</v>
      </c>
      <c r="R354" s="14" t="s">
        <v>42</v>
      </c>
      <c r="S354" s="14">
        <v>45735</v>
      </c>
      <c r="T354" s="14">
        <v>5</v>
      </c>
    </row>
    <row r="355" spans="1:20" x14ac:dyDescent="0.3">
      <c r="A355" t="s">
        <v>821</v>
      </c>
      <c r="B355">
        <v>45928</v>
      </c>
      <c r="C355" t="s">
        <v>822</v>
      </c>
      <c r="D355" t="s">
        <v>823</v>
      </c>
      <c r="E355" t="s">
        <v>77</v>
      </c>
      <c r="F355">
        <v>49</v>
      </c>
      <c r="G355" t="s">
        <v>46</v>
      </c>
      <c r="H355" s="14" t="s">
        <v>25</v>
      </c>
      <c r="I355" s="14" t="s">
        <v>245</v>
      </c>
      <c r="J355" s="14" t="s">
        <v>246</v>
      </c>
      <c r="K355" s="14" t="s">
        <v>130</v>
      </c>
      <c r="L355" s="14" t="s">
        <v>247</v>
      </c>
      <c r="M355" s="14">
        <v>3</v>
      </c>
      <c r="N355" s="14">
        <v>6747.3</v>
      </c>
      <c r="O355" s="14">
        <v>5610</v>
      </c>
      <c r="P355" s="14">
        <v>10</v>
      </c>
      <c r="Q355" s="14" t="s">
        <v>73</v>
      </c>
      <c r="R355" s="14" t="s">
        <v>42</v>
      </c>
      <c r="S355" s="14">
        <v>45936</v>
      </c>
      <c r="T355" s="14">
        <v>5</v>
      </c>
    </row>
    <row r="356" spans="1:20" x14ac:dyDescent="0.3">
      <c r="A356" t="s">
        <v>824</v>
      </c>
      <c r="B356">
        <v>45570</v>
      </c>
      <c r="C356" t="s">
        <v>825</v>
      </c>
      <c r="D356" t="s">
        <v>826</v>
      </c>
      <c r="E356" t="s">
        <v>77</v>
      </c>
      <c r="F356">
        <v>22</v>
      </c>
      <c r="G356" t="s">
        <v>101</v>
      </c>
      <c r="H356" s="14" t="s">
        <v>102</v>
      </c>
      <c r="I356" s="14" t="s">
        <v>134</v>
      </c>
      <c r="J356" s="14" t="s">
        <v>135</v>
      </c>
      <c r="K356" s="14" t="s">
        <v>39</v>
      </c>
      <c r="L356" s="14" t="s">
        <v>136</v>
      </c>
      <c r="M356" s="14">
        <v>2</v>
      </c>
      <c r="N356" s="14">
        <v>378.1</v>
      </c>
      <c r="O356" s="14">
        <v>180</v>
      </c>
      <c r="P356" s="14">
        <v>5</v>
      </c>
      <c r="Q356" s="14" t="s">
        <v>30</v>
      </c>
      <c r="R356" s="14" t="s">
        <v>31</v>
      </c>
      <c r="S356" s="14">
        <v>45572</v>
      </c>
      <c r="T356" s="14">
        <v>3</v>
      </c>
    </row>
    <row r="357" spans="1:20" x14ac:dyDescent="0.3">
      <c r="A357" t="s">
        <v>827</v>
      </c>
      <c r="B357">
        <v>45398</v>
      </c>
      <c r="C357" t="s">
        <v>546</v>
      </c>
      <c r="D357" t="s">
        <v>547</v>
      </c>
      <c r="E357" t="s">
        <v>77</v>
      </c>
      <c r="F357">
        <v>33</v>
      </c>
      <c r="G357" t="s">
        <v>101</v>
      </c>
      <c r="H357" s="14" t="s">
        <v>102</v>
      </c>
      <c r="I357" s="14" t="s">
        <v>198</v>
      </c>
      <c r="J357" s="14" t="s">
        <v>199</v>
      </c>
      <c r="K357" s="14" t="s">
        <v>114</v>
      </c>
      <c r="L357" s="14" t="s">
        <v>200</v>
      </c>
      <c r="M357" s="14">
        <v>4</v>
      </c>
      <c r="N357" s="14">
        <v>4676.3999999999996</v>
      </c>
      <c r="O357" s="14">
        <v>3040</v>
      </c>
      <c r="P357" s="14">
        <v>10</v>
      </c>
      <c r="Q357" s="14" t="s">
        <v>50</v>
      </c>
      <c r="R357" s="14" t="s">
        <v>42</v>
      </c>
      <c r="S357" s="14">
        <v>45405</v>
      </c>
      <c r="T357" s="14">
        <v>2</v>
      </c>
    </row>
    <row r="358" spans="1:20" x14ac:dyDescent="0.3">
      <c r="A358" t="s">
        <v>828</v>
      </c>
      <c r="B358">
        <v>45992</v>
      </c>
      <c r="C358" t="s">
        <v>700</v>
      </c>
      <c r="D358" t="s">
        <v>250</v>
      </c>
      <c r="E358" t="s">
        <v>23</v>
      </c>
      <c r="F358">
        <v>48</v>
      </c>
      <c r="G358" t="s">
        <v>101</v>
      </c>
      <c r="H358" s="14" t="s">
        <v>102</v>
      </c>
      <c r="I358" s="14" t="s">
        <v>37</v>
      </c>
      <c r="J358" s="14" t="s">
        <v>38</v>
      </c>
      <c r="K358" s="14" t="s">
        <v>39</v>
      </c>
      <c r="L358" s="14" t="s">
        <v>40</v>
      </c>
      <c r="M358" s="14">
        <v>1</v>
      </c>
      <c r="N358" s="14">
        <v>629.29999999999995</v>
      </c>
      <c r="O358" s="14">
        <v>520</v>
      </c>
      <c r="P358" s="14">
        <v>30</v>
      </c>
      <c r="Q358" s="14" t="s">
        <v>103</v>
      </c>
      <c r="R358" s="14" t="s">
        <v>42</v>
      </c>
      <c r="S358" s="14">
        <v>45995</v>
      </c>
      <c r="T358" s="14">
        <v>4</v>
      </c>
    </row>
    <row r="359" spans="1:20" x14ac:dyDescent="0.3">
      <c r="A359" t="s">
        <v>829</v>
      </c>
      <c r="B359">
        <v>45962</v>
      </c>
      <c r="C359" t="s">
        <v>278</v>
      </c>
      <c r="D359" t="s">
        <v>139</v>
      </c>
      <c r="E359" t="s">
        <v>77</v>
      </c>
      <c r="F359">
        <v>32</v>
      </c>
      <c r="G359" t="s">
        <v>161</v>
      </c>
      <c r="H359" s="14" t="s">
        <v>25</v>
      </c>
      <c r="I359" s="14" t="s">
        <v>85</v>
      </c>
      <c r="J359" s="14" t="s">
        <v>86</v>
      </c>
      <c r="K359" s="14" t="s">
        <v>87</v>
      </c>
      <c r="L359" s="14" t="s">
        <v>88</v>
      </c>
      <c r="M359" s="14">
        <v>5</v>
      </c>
      <c r="N359" s="14">
        <v>5945.75</v>
      </c>
      <c r="O359" s="14">
        <v>3950</v>
      </c>
      <c r="P359" s="14">
        <v>15</v>
      </c>
      <c r="Q359" s="14" t="s">
        <v>41</v>
      </c>
      <c r="R359" s="14" t="s">
        <v>65</v>
      </c>
    </row>
    <row r="360" spans="1:20" x14ac:dyDescent="0.3">
      <c r="A360" t="s">
        <v>830</v>
      </c>
      <c r="B360">
        <v>45827</v>
      </c>
      <c r="C360" t="s">
        <v>571</v>
      </c>
      <c r="D360" t="s">
        <v>572</v>
      </c>
      <c r="E360" t="s">
        <v>77</v>
      </c>
      <c r="F360">
        <v>47</v>
      </c>
      <c r="G360" t="s">
        <v>122</v>
      </c>
      <c r="H360" s="14" t="s">
        <v>123</v>
      </c>
      <c r="I360" s="14" t="s">
        <v>107</v>
      </c>
      <c r="J360" s="14" t="s">
        <v>108</v>
      </c>
      <c r="K360" s="14" t="s">
        <v>87</v>
      </c>
      <c r="L360" s="14" t="s">
        <v>88</v>
      </c>
      <c r="M360" s="14">
        <v>2</v>
      </c>
      <c r="N360" s="14">
        <v>958.8</v>
      </c>
      <c r="O360" s="14">
        <v>840</v>
      </c>
      <c r="P360" s="14">
        <v>40</v>
      </c>
      <c r="Q360" s="14" t="s">
        <v>41</v>
      </c>
      <c r="R360" s="14" t="s">
        <v>31</v>
      </c>
      <c r="S360" s="14">
        <v>45839</v>
      </c>
      <c r="T360" s="14">
        <v>5</v>
      </c>
    </row>
    <row r="361" spans="1:20" x14ac:dyDescent="0.3">
      <c r="A361" t="s">
        <v>831</v>
      </c>
      <c r="B361">
        <v>45444</v>
      </c>
      <c r="C361" t="s">
        <v>581</v>
      </c>
      <c r="D361" t="s">
        <v>582</v>
      </c>
      <c r="E361" t="s">
        <v>23</v>
      </c>
      <c r="F361">
        <v>37</v>
      </c>
      <c r="G361" t="s">
        <v>24</v>
      </c>
      <c r="H361" s="14" t="s">
        <v>25</v>
      </c>
      <c r="I361" s="14" t="s">
        <v>80</v>
      </c>
      <c r="J361" s="14" t="s">
        <v>81</v>
      </c>
      <c r="K361" s="14" t="s">
        <v>28</v>
      </c>
      <c r="L361" s="14" t="s">
        <v>29</v>
      </c>
      <c r="M361" s="14">
        <v>2</v>
      </c>
      <c r="N361" s="14">
        <v>958.8</v>
      </c>
      <c r="O361" s="14">
        <v>940</v>
      </c>
      <c r="P361" s="14">
        <v>40</v>
      </c>
      <c r="Q361" s="14" t="s">
        <v>103</v>
      </c>
      <c r="R361" s="14" t="s">
        <v>57</v>
      </c>
      <c r="S361" s="14">
        <v>45448</v>
      </c>
      <c r="T361" s="14">
        <v>3</v>
      </c>
    </row>
    <row r="362" spans="1:20" x14ac:dyDescent="0.3">
      <c r="A362" t="s">
        <v>832</v>
      </c>
      <c r="B362">
        <v>45795</v>
      </c>
      <c r="C362" t="s">
        <v>269</v>
      </c>
      <c r="D362" t="s">
        <v>270</v>
      </c>
      <c r="E362" t="s">
        <v>77</v>
      </c>
      <c r="F362">
        <v>43</v>
      </c>
      <c r="G362" t="s">
        <v>90</v>
      </c>
      <c r="H362" s="14" t="s">
        <v>91</v>
      </c>
      <c r="I362" s="14" t="s">
        <v>183</v>
      </c>
      <c r="J362" s="14" t="s">
        <v>184</v>
      </c>
      <c r="K362" s="14" t="s">
        <v>130</v>
      </c>
      <c r="L362" s="14" t="s">
        <v>185</v>
      </c>
      <c r="M362" s="14">
        <v>3</v>
      </c>
      <c r="N362" s="14">
        <v>11997</v>
      </c>
      <c r="O362" s="14">
        <v>9150</v>
      </c>
      <c r="P362" s="14">
        <v>0</v>
      </c>
      <c r="Q362" s="14" t="s">
        <v>50</v>
      </c>
      <c r="R362" s="14" t="s">
        <v>42</v>
      </c>
      <c r="S362" s="14">
        <v>45805</v>
      </c>
      <c r="T362" s="14">
        <v>5</v>
      </c>
    </row>
    <row r="363" spans="1:20" x14ac:dyDescent="0.3">
      <c r="A363" t="s">
        <v>833</v>
      </c>
      <c r="B363">
        <v>45704</v>
      </c>
      <c r="C363" t="s">
        <v>752</v>
      </c>
      <c r="D363" t="s">
        <v>250</v>
      </c>
      <c r="E363" t="s">
        <v>23</v>
      </c>
      <c r="F363">
        <v>37</v>
      </c>
      <c r="G363" t="s">
        <v>46</v>
      </c>
      <c r="H363" s="14" t="s">
        <v>25</v>
      </c>
      <c r="I363" s="14" t="s">
        <v>63</v>
      </c>
      <c r="J363" s="14" t="s">
        <v>64</v>
      </c>
      <c r="K363" s="14" t="s">
        <v>39</v>
      </c>
      <c r="L363" s="14" t="s">
        <v>40</v>
      </c>
      <c r="M363" s="14">
        <v>4</v>
      </c>
      <c r="N363" s="14">
        <v>1437.6</v>
      </c>
      <c r="O363" s="14">
        <v>1320</v>
      </c>
      <c r="P363" s="14">
        <v>40</v>
      </c>
      <c r="Q363" s="14" t="s">
        <v>73</v>
      </c>
      <c r="R363" s="14" t="s">
        <v>57</v>
      </c>
      <c r="S363" s="14">
        <v>45713</v>
      </c>
      <c r="T363" s="14">
        <v>5</v>
      </c>
    </row>
    <row r="364" spans="1:20" x14ac:dyDescent="0.3">
      <c r="A364" t="s">
        <v>834</v>
      </c>
      <c r="B364">
        <v>45615</v>
      </c>
      <c r="C364" t="s">
        <v>517</v>
      </c>
      <c r="D364" t="s">
        <v>518</v>
      </c>
      <c r="E364" t="s">
        <v>23</v>
      </c>
      <c r="F364">
        <v>38</v>
      </c>
      <c r="G364" t="s">
        <v>101</v>
      </c>
      <c r="H364" s="14" t="s">
        <v>102</v>
      </c>
      <c r="I364" s="14" t="s">
        <v>177</v>
      </c>
      <c r="J364" s="14" t="s">
        <v>178</v>
      </c>
      <c r="K364" s="14" t="s">
        <v>87</v>
      </c>
      <c r="L364" s="14" t="s">
        <v>179</v>
      </c>
      <c r="M364" s="14">
        <v>1</v>
      </c>
      <c r="N364" s="14">
        <v>2374.0500000000002</v>
      </c>
      <c r="O364" s="14">
        <v>1620</v>
      </c>
      <c r="P364" s="14">
        <v>5</v>
      </c>
      <c r="Q364" s="14" t="s">
        <v>103</v>
      </c>
      <c r="R364" s="14" t="s">
        <v>42</v>
      </c>
      <c r="S364" s="14">
        <v>45617</v>
      </c>
      <c r="T364" s="14">
        <v>2</v>
      </c>
    </row>
    <row r="365" spans="1:20" x14ac:dyDescent="0.3">
      <c r="A365" t="s">
        <v>835</v>
      </c>
      <c r="B365">
        <v>45385</v>
      </c>
      <c r="C365" t="s">
        <v>331</v>
      </c>
      <c r="D365" t="s">
        <v>332</v>
      </c>
      <c r="E365" t="s">
        <v>23</v>
      </c>
      <c r="F365">
        <v>39</v>
      </c>
      <c r="G365" t="s">
        <v>154</v>
      </c>
      <c r="H365" s="14" t="s">
        <v>91</v>
      </c>
      <c r="I365" s="14" t="s">
        <v>92</v>
      </c>
      <c r="J365" s="14" t="s">
        <v>93</v>
      </c>
      <c r="K365" s="14" t="s">
        <v>87</v>
      </c>
      <c r="L365" s="14" t="s">
        <v>94</v>
      </c>
      <c r="M365" s="14">
        <v>4</v>
      </c>
      <c r="N365" s="14">
        <v>4797</v>
      </c>
      <c r="O365" s="14">
        <v>3720</v>
      </c>
      <c r="P365" s="14">
        <v>25</v>
      </c>
      <c r="Q365" s="14" t="s">
        <v>41</v>
      </c>
      <c r="R365" s="14" t="s">
        <v>57</v>
      </c>
      <c r="S365" s="14">
        <v>45387</v>
      </c>
      <c r="T365" s="14">
        <v>4</v>
      </c>
    </row>
    <row r="366" spans="1:20" x14ac:dyDescent="0.3">
      <c r="A366" t="s">
        <v>836</v>
      </c>
      <c r="B366">
        <v>45757</v>
      </c>
      <c r="C366" t="s">
        <v>837</v>
      </c>
      <c r="D366" t="s">
        <v>838</v>
      </c>
      <c r="E366" t="s">
        <v>77</v>
      </c>
      <c r="F366">
        <v>38</v>
      </c>
      <c r="G366" t="s">
        <v>101</v>
      </c>
      <c r="H366" s="14" t="s">
        <v>102</v>
      </c>
      <c r="I366" s="14" t="s">
        <v>85</v>
      </c>
      <c r="J366" s="14" t="s">
        <v>86</v>
      </c>
      <c r="K366" s="14" t="s">
        <v>87</v>
      </c>
      <c r="L366" s="14" t="s">
        <v>88</v>
      </c>
      <c r="M366" s="14">
        <v>3</v>
      </c>
      <c r="N366" s="14">
        <v>2518.1999999999998</v>
      </c>
      <c r="O366" s="14">
        <v>2370</v>
      </c>
      <c r="P366" s="14">
        <v>40</v>
      </c>
      <c r="Q366" s="14" t="s">
        <v>73</v>
      </c>
      <c r="R366" s="14" t="s">
        <v>42</v>
      </c>
      <c r="S366" s="14">
        <v>45769</v>
      </c>
      <c r="T366" s="14">
        <v>4</v>
      </c>
    </row>
    <row r="367" spans="1:20" x14ac:dyDescent="0.3">
      <c r="A367" t="s">
        <v>839</v>
      </c>
      <c r="B367">
        <v>45294</v>
      </c>
      <c r="C367" t="s">
        <v>450</v>
      </c>
      <c r="D367" t="s">
        <v>451</v>
      </c>
      <c r="E367" t="s">
        <v>77</v>
      </c>
      <c r="F367">
        <v>30</v>
      </c>
      <c r="G367" t="s">
        <v>211</v>
      </c>
      <c r="H367" s="14" t="s">
        <v>127</v>
      </c>
      <c r="I367" s="14" t="s">
        <v>92</v>
      </c>
      <c r="J367" s="14" t="s">
        <v>93</v>
      </c>
      <c r="K367" s="14" t="s">
        <v>87</v>
      </c>
      <c r="L367" s="14" t="s">
        <v>94</v>
      </c>
      <c r="M367" s="14">
        <v>3</v>
      </c>
      <c r="N367" s="14">
        <v>3597.75</v>
      </c>
      <c r="O367" s="14">
        <v>2790</v>
      </c>
      <c r="P367" s="14">
        <v>25</v>
      </c>
      <c r="Q367" s="14" t="s">
        <v>73</v>
      </c>
      <c r="R367" s="14" t="s">
        <v>42</v>
      </c>
      <c r="S367" s="14">
        <v>45298</v>
      </c>
      <c r="T367" s="14">
        <v>5</v>
      </c>
    </row>
    <row r="368" spans="1:20" x14ac:dyDescent="0.3">
      <c r="A368" t="s">
        <v>840</v>
      </c>
      <c r="B368">
        <v>45435</v>
      </c>
      <c r="C368" t="s">
        <v>775</v>
      </c>
      <c r="D368" t="s">
        <v>244</v>
      </c>
      <c r="E368" t="s">
        <v>77</v>
      </c>
      <c r="F368">
        <v>46</v>
      </c>
      <c r="G368" t="s">
        <v>69</v>
      </c>
      <c r="H368" s="14" t="s">
        <v>69</v>
      </c>
      <c r="I368" s="14" t="s">
        <v>128</v>
      </c>
      <c r="J368" s="14" t="s">
        <v>129</v>
      </c>
      <c r="K368" s="14" t="s">
        <v>130</v>
      </c>
      <c r="L368" s="14" t="s">
        <v>131</v>
      </c>
      <c r="M368" s="14">
        <v>5</v>
      </c>
      <c r="N368" s="14">
        <v>27620.75</v>
      </c>
      <c r="O368" s="14">
        <v>25500</v>
      </c>
      <c r="P368" s="14">
        <v>15</v>
      </c>
      <c r="Q368" s="14" t="s">
        <v>30</v>
      </c>
      <c r="R368" s="14" t="s">
        <v>42</v>
      </c>
      <c r="S368" s="14">
        <v>45443</v>
      </c>
      <c r="T368" s="14">
        <v>4</v>
      </c>
    </row>
    <row r="369" spans="1:20" x14ac:dyDescent="0.3">
      <c r="A369" t="s">
        <v>841</v>
      </c>
      <c r="B369">
        <v>45760</v>
      </c>
      <c r="C369" t="s">
        <v>742</v>
      </c>
      <c r="D369" t="s">
        <v>743</v>
      </c>
      <c r="E369" t="s">
        <v>23</v>
      </c>
      <c r="F369">
        <v>49</v>
      </c>
      <c r="G369" t="s">
        <v>126</v>
      </c>
      <c r="H369" s="14" t="s">
        <v>127</v>
      </c>
      <c r="I369" s="14" t="s">
        <v>229</v>
      </c>
      <c r="J369" s="14" t="s">
        <v>230</v>
      </c>
      <c r="K369" s="14" t="s">
        <v>28</v>
      </c>
      <c r="L369" s="14" t="s">
        <v>231</v>
      </c>
      <c r="M369" s="14">
        <v>4</v>
      </c>
      <c r="N369" s="14">
        <v>7996</v>
      </c>
      <c r="O369" s="14">
        <v>4920</v>
      </c>
      <c r="P369" s="14">
        <v>0</v>
      </c>
      <c r="Q369" s="14" t="s">
        <v>50</v>
      </c>
      <c r="R369" s="14" t="s">
        <v>42</v>
      </c>
      <c r="S369" s="14">
        <v>45769</v>
      </c>
      <c r="T369" s="14">
        <v>5</v>
      </c>
    </row>
    <row r="370" spans="1:20" x14ac:dyDescent="0.3">
      <c r="A370" t="s">
        <v>842</v>
      </c>
      <c r="B370">
        <v>45966</v>
      </c>
      <c r="C370" t="s">
        <v>843</v>
      </c>
      <c r="D370" t="s">
        <v>97</v>
      </c>
      <c r="E370" t="s">
        <v>23</v>
      </c>
      <c r="F370">
        <v>37</v>
      </c>
      <c r="G370" t="s">
        <v>173</v>
      </c>
      <c r="H370" s="14" t="s">
        <v>79</v>
      </c>
      <c r="I370" s="14" t="s">
        <v>37</v>
      </c>
      <c r="J370" s="14" t="s">
        <v>38</v>
      </c>
      <c r="K370" s="14" t="s">
        <v>39</v>
      </c>
      <c r="L370" s="14" t="s">
        <v>40</v>
      </c>
      <c r="M370" s="14">
        <v>1</v>
      </c>
      <c r="N370" s="14">
        <v>899</v>
      </c>
      <c r="O370" s="14">
        <v>520</v>
      </c>
      <c r="P370" s="14">
        <v>0</v>
      </c>
      <c r="Q370" s="14" t="s">
        <v>50</v>
      </c>
      <c r="R370" s="14" t="s">
        <v>42</v>
      </c>
      <c r="S370" s="14">
        <v>45977</v>
      </c>
      <c r="T370" s="14">
        <v>5</v>
      </c>
    </row>
    <row r="371" spans="1:20" x14ac:dyDescent="0.3">
      <c r="A371" t="s">
        <v>844</v>
      </c>
      <c r="B371">
        <v>45812</v>
      </c>
      <c r="C371" t="s">
        <v>499</v>
      </c>
      <c r="D371" t="s">
        <v>388</v>
      </c>
      <c r="E371" t="s">
        <v>23</v>
      </c>
      <c r="F371">
        <v>30</v>
      </c>
      <c r="G371" t="s">
        <v>78</v>
      </c>
      <c r="H371" s="14" t="s">
        <v>79</v>
      </c>
      <c r="I371" s="14" t="s">
        <v>177</v>
      </c>
      <c r="J371" s="14" t="s">
        <v>178</v>
      </c>
      <c r="K371" s="14" t="s">
        <v>87</v>
      </c>
      <c r="L371" s="14" t="s">
        <v>179</v>
      </c>
      <c r="M371" s="14">
        <v>2</v>
      </c>
      <c r="N371" s="14">
        <v>4748.1000000000004</v>
      </c>
      <c r="O371" s="14">
        <v>3240</v>
      </c>
      <c r="P371" s="14">
        <v>5</v>
      </c>
      <c r="Q371" s="14" t="s">
        <v>103</v>
      </c>
      <c r="R371" s="14" t="s">
        <v>31</v>
      </c>
      <c r="S371" s="14">
        <v>45823</v>
      </c>
      <c r="T371" s="14">
        <v>4</v>
      </c>
    </row>
    <row r="372" spans="1:20" x14ac:dyDescent="0.3">
      <c r="A372" t="s">
        <v>845</v>
      </c>
      <c r="B372">
        <v>45808</v>
      </c>
      <c r="C372" t="s">
        <v>152</v>
      </c>
      <c r="D372" t="s">
        <v>153</v>
      </c>
      <c r="E372" t="s">
        <v>23</v>
      </c>
      <c r="F372">
        <v>33</v>
      </c>
      <c r="G372" t="s">
        <v>122</v>
      </c>
      <c r="H372" s="14" t="s">
        <v>123</v>
      </c>
      <c r="I372" s="14" t="s">
        <v>155</v>
      </c>
      <c r="J372" s="14" t="s">
        <v>156</v>
      </c>
      <c r="K372" s="14" t="s">
        <v>114</v>
      </c>
      <c r="L372" s="14" t="s">
        <v>157</v>
      </c>
      <c r="M372" s="14">
        <v>2</v>
      </c>
      <c r="N372" s="14">
        <v>1598.4</v>
      </c>
      <c r="O372" s="14">
        <v>1220</v>
      </c>
      <c r="P372" s="14">
        <v>20</v>
      </c>
      <c r="Q372" s="14" t="s">
        <v>103</v>
      </c>
      <c r="R372" s="14" t="s">
        <v>42</v>
      </c>
      <c r="S372" s="14">
        <v>45814</v>
      </c>
      <c r="T372" s="14">
        <v>5</v>
      </c>
    </row>
    <row r="373" spans="1:20" x14ac:dyDescent="0.3">
      <c r="A373" t="s">
        <v>846</v>
      </c>
      <c r="B373">
        <v>45428</v>
      </c>
      <c r="C373" t="s">
        <v>847</v>
      </c>
      <c r="D373" t="s">
        <v>402</v>
      </c>
      <c r="E373" t="s">
        <v>23</v>
      </c>
      <c r="F373">
        <v>43</v>
      </c>
      <c r="G373" t="s">
        <v>122</v>
      </c>
      <c r="H373" s="14" t="s">
        <v>123</v>
      </c>
      <c r="I373" s="14" t="s">
        <v>155</v>
      </c>
      <c r="J373" s="14" t="s">
        <v>156</v>
      </c>
      <c r="K373" s="14" t="s">
        <v>114</v>
      </c>
      <c r="L373" s="14" t="s">
        <v>157</v>
      </c>
      <c r="M373" s="14">
        <v>5</v>
      </c>
      <c r="N373" s="14">
        <v>3996</v>
      </c>
      <c r="O373" s="14">
        <v>3050</v>
      </c>
      <c r="P373" s="14">
        <v>20</v>
      </c>
      <c r="Q373" s="14" t="s">
        <v>50</v>
      </c>
      <c r="R373" s="14" t="s">
        <v>57</v>
      </c>
      <c r="S373" s="14">
        <v>45435</v>
      </c>
      <c r="T373" s="14">
        <v>4</v>
      </c>
    </row>
    <row r="374" spans="1:20" x14ac:dyDescent="0.3">
      <c r="A374" t="s">
        <v>848</v>
      </c>
      <c r="B374">
        <v>45497</v>
      </c>
      <c r="C374" t="s">
        <v>849</v>
      </c>
      <c r="D374" t="s">
        <v>850</v>
      </c>
      <c r="E374" t="s">
        <v>23</v>
      </c>
      <c r="F374">
        <v>21</v>
      </c>
      <c r="G374" t="s">
        <v>35</v>
      </c>
      <c r="H374" s="14" t="s">
        <v>36</v>
      </c>
      <c r="I374" s="14" t="s">
        <v>107</v>
      </c>
      <c r="J374" s="14" t="s">
        <v>108</v>
      </c>
      <c r="K374" s="14" t="s">
        <v>87</v>
      </c>
      <c r="L374" s="14" t="s">
        <v>88</v>
      </c>
      <c r="M374" s="14">
        <v>3</v>
      </c>
      <c r="N374" s="14">
        <v>2157.3000000000002</v>
      </c>
      <c r="O374" s="14">
        <v>1260</v>
      </c>
      <c r="P374" s="14">
        <v>10</v>
      </c>
      <c r="Q374" s="14" t="s">
        <v>30</v>
      </c>
      <c r="R374" s="14" t="s">
        <v>65</v>
      </c>
    </row>
    <row r="375" spans="1:20" x14ac:dyDescent="0.3">
      <c r="A375" t="s">
        <v>851</v>
      </c>
      <c r="B375">
        <v>45847</v>
      </c>
      <c r="C375" t="s">
        <v>852</v>
      </c>
      <c r="D375" t="s">
        <v>724</v>
      </c>
      <c r="E375" t="s">
        <v>77</v>
      </c>
      <c r="F375">
        <v>39</v>
      </c>
      <c r="G375" t="s">
        <v>69</v>
      </c>
      <c r="H375" s="14" t="s">
        <v>69</v>
      </c>
      <c r="I375" s="14" t="s">
        <v>245</v>
      </c>
      <c r="J375" s="14" t="s">
        <v>246</v>
      </c>
      <c r="K375" s="14" t="s">
        <v>130</v>
      </c>
      <c r="L375" s="14" t="s">
        <v>247</v>
      </c>
      <c r="M375" s="14">
        <v>5</v>
      </c>
      <c r="N375" s="14">
        <v>7497</v>
      </c>
      <c r="O375" s="14">
        <v>9350</v>
      </c>
      <c r="P375" s="14">
        <v>40</v>
      </c>
      <c r="Q375" s="14" t="s">
        <v>50</v>
      </c>
      <c r="R375" s="14" t="s">
        <v>65</v>
      </c>
    </row>
    <row r="376" spans="1:20" x14ac:dyDescent="0.3">
      <c r="A376" t="s">
        <v>853</v>
      </c>
      <c r="B376">
        <v>45975</v>
      </c>
      <c r="C376" t="s">
        <v>546</v>
      </c>
      <c r="D376" t="s">
        <v>547</v>
      </c>
      <c r="E376" t="s">
        <v>77</v>
      </c>
      <c r="F376">
        <v>33</v>
      </c>
      <c r="G376" t="s">
        <v>35</v>
      </c>
      <c r="H376" s="14" t="s">
        <v>36</v>
      </c>
      <c r="I376" s="14" t="s">
        <v>134</v>
      </c>
      <c r="J376" s="14" t="s">
        <v>135</v>
      </c>
      <c r="K376" s="14" t="s">
        <v>39</v>
      </c>
      <c r="L376" s="14" t="s">
        <v>136</v>
      </c>
      <c r="M376" s="14">
        <v>1</v>
      </c>
      <c r="N376" s="14">
        <v>189.05</v>
      </c>
      <c r="O376" s="14">
        <v>90</v>
      </c>
      <c r="P376" s="14">
        <v>5</v>
      </c>
      <c r="Q376" s="14" t="s">
        <v>73</v>
      </c>
      <c r="R376" s="14" t="s">
        <v>42</v>
      </c>
      <c r="S376" s="14">
        <v>45979</v>
      </c>
      <c r="T376" s="14">
        <v>2</v>
      </c>
    </row>
    <row r="377" spans="1:20" x14ac:dyDescent="0.3">
      <c r="A377" t="s">
        <v>854</v>
      </c>
      <c r="B377">
        <v>45978</v>
      </c>
      <c r="C377" t="s">
        <v>855</v>
      </c>
      <c r="D377" t="s">
        <v>349</v>
      </c>
      <c r="E377" t="s">
        <v>23</v>
      </c>
      <c r="F377">
        <v>28</v>
      </c>
      <c r="G377" t="s">
        <v>154</v>
      </c>
      <c r="H377" s="14" t="s">
        <v>91</v>
      </c>
      <c r="I377" s="14" t="s">
        <v>128</v>
      </c>
      <c r="J377" s="14" t="s">
        <v>129</v>
      </c>
      <c r="K377" s="14" t="s">
        <v>130</v>
      </c>
      <c r="L377" s="14" t="s">
        <v>131</v>
      </c>
      <c r="M377" s="14">
        <v>2</v>
      </c>
      <c r="N377" s="14">
        <v>10398.4</v>
      </c>
      <c r="O377" s="14">
        <v>10200</v>
      </c>
      <c r="P377" s="14">
        <v>20</v>
      </c>
      <c r="Q377" s="14" t="s">
        <v>41</v>
      </c>
      <c r="R377" s="14" t="s">
        <v>42</v>
      </c>
      <c r="S377" s="14">
        <v>45980</v>
      </c>
      <c r="T377" s="14">
        <v>4</v>
      </c>
    </row>
    <row r="378" spans="1:20" x14ac:dyDescent="0.3">
      <c r="A378" t="s">
        <v>856</v>
      </c>
      <c r="B378">
        <v>45500</v>
      </c>
      <c r="C378" t="s">
        <v>133</v>
      </c>
      <c r="D378" t="s">
        <v>857</v>
      </c>
      <c r="E378" t="s">
        <v>77</v>
      </c>
      <c r="F378">
        <v>56</v>
      </c>
      <c r="G378" t="s">
        <v>24</v>
      </c>
      <c r="H378" s="14" t="s">
        <v>25</v>
      </c>
      <c r="I378" s="14" t="s">
        <v>245</v>
      </c>
      <c r="J378" s="14" t="s">
        <v>246</v>
      </c>
      <c r="K378" s="14" t="s">
        <v>130</v>
      </c>
      <c r="L378" s="14" t="s">
        <v>247</v>
      </c>
      <c r="M378" s="14">
        <v>4</v>
      </c>
      <c r="N378" s="14">
        <v>9496.2000000000007</v>
      </c>
      <c r="O378" s="14">
        <v>7480</v>
      </c>
      <c r="P378" s="14">
        <v>5</v>
      </c>
      <c r="Q378" s="14" t="s">
        <v>50</v>
      </c>
      <c r="R378" s="14" t="s">
        <v>57</v>
      </c>
      <c r="S378" s="14">
        <v>45512</v>
      </c>
      <c r="T378" s="14">
        <v>4</v>
      </c>
    </row>
    <row r="379" spans="1:20" x14ac:dyDescent="0.3">
      <c r="A379" t="s">
        <v>858</v>
      </c>
      <c r="B379">
        <v>45954</v>
      </c>
      <c r="C379" t="s">
        <v>859</v>
      </c>
      <c r="D379" t="s">
        <v>496</v>
      </c>
      <c r="E379" t="s">
        <v>77</v>
      </c>
      <c r="F379">
        <v>51</v>
      </c>
      <c r="G379" t="s">
        <v>165</v>
      </c>
      <c r="H379" s="14" t="s">
        <v>166</v>
      </c>
      <c r="I379" s="14" t="s">
        <v>304</v>
      </c>
      <c r="J379" s="14" t="s">
        <v>305</v>
      </c>
      <c r="K379" s="14" t="s">
        <v>28</v>
      </c>
      <c r="L379" s="14" t="s">
        <v>231</v>
      </c>
      <c r="M379" s="14">
        <v>5</v>
      </c>
      <c r="N379" s="14">
        <v>7196</v>
      </c>
      <c r="O379" s="14">
        <v>5400</v>
      </c>
      <c r="P379" s="14">
        <v>20</v>
      </c>
      <c r="Q379" s="14" t="s">
        <v>73</v>
      </c>
      <c r="R379" s="14" t="s">
        <v>42</v>
      </c>
      <c r="S379" s="14">
        <v>45962</v>
      </c>
      <c r="T379" s="14">
        <v>5</v>
      </c>
    </row>
    <row r="380" spans="1:20" x14ac:dyDescent="0.3">
      <c r="A380" t="s">
        <v>860</v>
      </c>
      <c r="B380">
        <v>45993</v>
      </c>
      <c r="C380" t="s">
        <v>278</v>
      </c>
      <c r="D380" t="s">
        <v>139</v>
      </c>
      <c r="E380" t="s">
        <v>77</v>
      </c>
      <c r="F380">
        <v>32</v>
      </c>
      <c r="G380" t="s">
        <v>24</v>
      </c>
      <c r="H380" s="14" t="s">
        <v>25</v>
      </c>
      <c r="I380" s="14" t="s">
        <v>80</v>
      </c>
      <c r="J380" s="14" t="s">
        <v>81</v>
      </c>
      <c r="K380" s="14" t="s">
        <v>28</v>
      </c>
      <c r="L380" s="14" t="s">
        <v>29</v>
      </c>
      <c r="M380" s="14">
        <v>3</v>
      </c>
      <c r="N380" s="14">
        <v>2037.45</v>
      </c>
      <c r="O380" s="14">
        <v>1410</v>
      </c>
      <c r="P380" s="14">
        <v>15</v>
      </c>
      <c r="Q380" s="14" t="s">
        <v>50</v>
      </c>
      <c r="R380" s="14" t="s">
        <v>57</v>
      </c>
      <c r="S380" s="14">
        <v>46002</v>
      </c>
      <c r="T380" s="14">
        <v>4</v>
      </c>
    </row>
    <row r="381" spans="1:20" x14ac:dyDescent="0.3">
      <c r="A381" t="s">
        <v>861</v>
      </c>
      <c r="B381">
        <v>45940</v>
      </c>
      <c r="C381" t="s">
        <v>637</v>
      </c>
      <c r="D381" t="s">
        <v>638</v>
      </c>
      <c r="E381" t="s">
        <v>77</v>
      </c>
      <c r="F381">
        <v>47</v>
      </c>
      <c r="G381" t="s">
        <v>154</v>
      </c>
      <c r="H381" s="14" t="s">
        <v>91</v>
      </c>
      <c r="I381" s="14" t="s">
        <v>177</v>
      </c>
      <c r="J381" s="14" t="s">
        <v>178</v>
      </c>
      <c r="K381" s="14" t="s">
        <v>87</v>
      </c>
      <c r="L381" s="14" t="s">
        <v>179</v>
      </c>
      <c r="M381" s="14">
        <v>2</v>
      </c>
      <c r="N381" s="14">
        <v>3998.4</v>
      </c>
      <c r="O381" s="14">
        <v>3240</v>
      </c>
      <c r="P381" s="14">
        <v>20</v>
      </c>
      <c r="Q381" s="14" t="s">
        <v>103</v>
      </c>
      <c r="R381" s="14" t="s">
        <v>42</v>
      </c>
      <c r="S381" s="14">
        <v>45952</v>
      </c>
      <c r="T381" s="14">
        <v>3</v>
      </c>
    </row>
    <row r="382" spans="1:20" x14ac:dyDescent="0.3">
      <c r="A382" t="s">
        <v>862</v>
      </c>
      <c r="B382">
        <v>45483</v>
      </c>
      <c r="C382" t="s">
        <v>863</v>
      </c>
      <c r="D382" t="s">
        <v>380</v>
      </c>
      <c r="E382" t="s">
        <v>77</v>
      </c>
      <c r="F382">
        <v>24</v>
      </c>
      <c r="G382" t="s">
        <v>69</v>
      </c>
      <c r="H382" s="14" t="s">
        <v>69</v>
      </c>
      <c r="I382" s="14" t="s">
        <v>47</v>
      </c>
      <c r="J382" s="14" t="s">
        <v>48</v>
      </c>
      <c r="K382" s="14" t="s">
        <v>39</v>
      </c>
      <c r="L382" s="14" t="s">
        <v>49</v>
      </c>
      <c r="M382" s="14">
        <v>1</v>
      </c>
      <c r="N382" s="14">
        <v>279.3</v>
      </c>
      <c r="O382" s="14">
        <v>210</v>
      </c>
      <c r="P382" s="14">
        <v>30</v>
      </c>
      <c r="Q382" s="14" t="s">
        <v>41</v>
      </c>
      <c r="R382" s="14" t="s">
        <v>65</v>
      </c>
    </row>
    <row r="383" spans="1:20" x14ac:dyDescent="0.3">
      <c r="A383" t="s">
        <v>864</v>
      </c>
      <c r="B383">
        <v>45562</v>
      </c>
      <c r="C383" t="s">
        <v>700</v>
      </c>
      <c r="D383" t="s">
        <v>250</v>
      </c>
      <c r="E383" t="s">
        <v>23</v>
      </c>
      <c r="F383">
        <v>48</v>
      </c>
      <c r="G383" t="s">
        <v>78</v>
      </c>
      <c r="H383" s="14" t="s">
        <v>79</v>
      </c>
      <c r="I383" s="14" t="s">
        <v>198</v>
      </c>
      <c r="J383" s="14" t="s">
        <v>199</v>
      </c>
      <c r="K383" s="14" t="s">
        <v>114</v>
      </c>
      <c r="L383" s="14" t="s">
        <v>200</v>
      </c>
      <c r="M383" s="14">
        <v>3</v>
      </c>
      <c r="N383" s="14">
        <v>3897</v>
      </c>
      <c r="O383" s="14">
        <v>2280</v>
      </c>
      <c r="P383" s="14">
        <v>0</v>
      </c>
      <c r="Q383" s="14" t="s">
        <v>41</v>
      </c>
      <c r="R383" s="14" t="s">
        <v>42</v>
      </c>
      <c r="S383" s="14">
        <v>45566</v>
      </c>
      <c r="T383" s="14">
        <v>2</v>
      </c>
    </row>
    <row r="384" spans="1:20" x14ac:dyDescent="0.3">
      <c r="A384" t="s">
        <v>865</v>
      </c>
      <c r="B384">
        <v>45449</v>
      </c>
      <c r="C384" t="s">
        <v>852</v>
      </c>
      <c r="D384" t="s">
        <v>724</v>
      </c>
      <c r="E384" t="s">
        <v>77</v>
      </c>
      <c r="F384">
        <v>39</v>
      </c>
      <c r="G384" t="s">
        <v>24</v>
      </c>
      <c r="H384" s="14" t="s">
        <v>25</v>
      </c>
      <c r="I384" s="14" t="s">
        <v>92</v>
      </c>
      <c r="J384" s="14" t="s">
        <v>93</v>
      </c>
      <c r="K384" s="14" t="s">
        <v>87</v>
      </c>
      <c r="L384" s="14" t="s">
        <v>94</v>
      </c>
      <c r="M384" s="14">
        <v>0</v>
      </c>
      <c r="N384" s="14">
        <v>6396</v>
      </c>
      <c r="O384" s="14">
        <v>4650</v>
      </c>
      <c r="P384" s="14">
        <v>20</v>
      </c>
      <c r="Q384" s="14" t="s">
        <v>103</v>
      </c>
      <c r="R384" s="14" t="s">
        <v>57</v>
      </c>
      <c r="S384" s="14">
        <v>45460</v>
      </c>
      <c r="T384" s="14">
        <v>4</v>
      </c>
    </row>
    <row r="385" spans="1:20" x14ac:dyDescent="0.3">
      <c r="A385" t="s">
        <v>866</v>
      </c>
      <c r="B385">
        <v>45366</v>
      </c>
      <c r="C385" t="s">
        <v>716</v>
      </c>
      <c r="D385" t="s">
        <v>717</v>
      </c>
      <c r="E385" t="s">
        <v>77</v>
      </c>
      <c r="F385">
        <v>35</v>
      </c>
      <c r="G385" t="s">
        <v>90</v>
      </c>
      <c r="H385" s="14" t="s">
        <v>91</v>
      </c>
      <c r="I385" s="14" t="s">
        <v>319</v>
      </c>
      <c r="J385" s="14" t="s">
        <v>320</v>
      </c>
      <c r="K385" s="14" t="s">
        <v>28</v>
      </c>
      <c r="L385" s="14" t="s">
        <v>29</v>
      </c>
      <c r="M385" s="14">
        <v>5</v>
      </c>
      <c r="N385" s="14">
        <v>5695.25</v>
      </c>
      <c r="O385" s="14">
        <v>3550</v>
      </c>
      <c r="P385" s="14">
        <v>5</v>
      </c>
      <c r="Q385" s="14" t="s">
        <v>50</v>
      </c>
      <c r="R385" s="14" t="s">
        <v>42</v>
      </c>
      <c r="S385" s="14">
        <v>45374</v>
      </c>
      <c r="T385" s="14">
        <v>5</v>
      </c>
    </row>
    <row r="386" spans="1:20" x14ac:dyDescent="0.3">
      <c r="A386" t="s">
        <v>867</v>
      </c>
      <c r="B386">
        <v>45386</v>
      </c>
      <c r="C386" t="s">
        <v>322</v>
      </c>
      <c r="D386" t="s">
        <v>323</v>
      </c>
      <c r="E386" t="s">
        <v>23</v>
      </c>
      <c r="F386">
        <v>50</v>
      </c>
      <c r="G386" t="s">
        <v>90</v>
      </c>
      <c r="H386" s="14" t="s">
        <v>91</v>
      </c>
      <c r="I386" s="14" t="s">
        <v>70</v>
      </c>
      <c r="J386" s="14" t="s">
        <v>71</v>
      </c>
      <c r="K386" s="14" t="s">
        <v>28</v>
      </c>
      <c r="L386" s="14" t="s">
        <v>72</v>
      </c>
      <c r="M386" s="14">
        <v>3</v>
      </c>
      <c r="N386" s="14">
        <v>3372.75</v>
      </c>
      <c r="O386" s="14">
        <v>2760</v>
      </c>
      <c r="P386" s="14">
        <v>25</v>
      </c>
      <c r="Q386" s="14" t="s">
        <v>41</v>
      </c>
      <c r="R386" s="14" t="s">
        <v>42</v>
      </c>
      <c r="S386" s="14">
        <v>45391</v>
      </c>
      <c r="T386" s="14">
        <v>5</v>
      </c>
    </row>
    <row r="387" spans="1:20" x14ac:dyDescent="0.3">
      <c r="A387" t="s">
        <v>868</v>
      </c>
      <c r="B387">
        <v>45866</v>
      </c>
      <c r="C387" t="s">
        <v>202</v>
      </c>
      <c r="D387" t="s">
        <v>203</v>
      </c>
      <c r="E387" t="s">
        <v>23</v>
      </c>
      <c r="F387">
        <v>45</v>
      </c>
      <c r="G387" t="s">
        <v>69</v>
      </c>
      <c r="H387" s="14" t="s">
        <v>69</v>
      </c>
      <c r="I387" s="14" t="s">
        <v>107</v>
      </c>
      <c r="J387" s="14" t="s">
        <v>108</v>
      </c>
      <c r="K387" s="14" t="s">
        <v>87</v>
      </c>
      <c r="L387" s="14" t="s">
        <v>88</v>
      </c>
      <c r="M387" s="14">
        <v>3</v>
      </c>
      <c r="N387" s="14">
        <v>1438.2</v>
      </c>
      <c r="O387" s="14">
        <v>1260</v>
      </c>
      <c r="P387" s="14">
        <v>40</v>
      </c>
      <c r="Q387" s="14" t="s">
        <v>30</v>
      </c>
      <c r="R387" s="14" t="s">
        <v>31</v>
      </c>
      <c r="S387" s="14">
        <v>45877</v>
      </c>
      <c r="T387" s="14">
        <v>4</v>
      </c>
    </row>
    <row r="388" spans="1:20" x14ac:dyDescent="0.3">
      <c r="A388" t="s">
        <v>869</v>
      </c>
      <c r="B388">
        <v>45332</v>
      </c>
      <c r="C388" t="s">
        <v>269</v>
      </c>
      <c r="D388" t="s">
        <v>270</v>
      </c>
      <c r="E388" t="s">
        <v>77</v>
      </c>
      <c r="F388">
        <v>43</v>
      </c>
      <c r="G388" t="s">
        <v>165</v>
      </c>
      <c r="H388" s="14" t="s">
        <v>166</v>
      </c>
      <c r="I388" s="14" t="s">
        <v>229</v>
      </c>
      <c r="J388" s="14" t="s">
        <v>230</v>
      </c>
      <c r="K388" s="14" t="s">
        <v>28</v>
      </c>
      <c r="L388" s="14" t="s">
        <v>231</v>
      </c>
      <c r="M388" s="14">
        <v>4</v>
      </c>
      <c r="N388" s="14">
        <v>6396.8</v>
      </c>
      <c r="O388" s="14">
        <v>4920</v>
      </c>
      <c r="P388" s="14">
        <v>20</v>
      </c>
      <c r="Q388" s="14" t="s">
        <v>50</v>
      </c>
      <c r="R388" s="14" t="s">
        <v>31</v>
      </c>
      <c r="S388" s="14">
        <v>45338</v>
      </c>
      <c r="T388" s="14">
        <v>2</v>
      </c>
    </row>
    <row r="389" spans="1:20" x14ac:dyDescent="0.3">
      <c r="A389" t="s">
        <v>870</v>
      </c>
      <c r="B389">
        <v>45821</v>
      </c>
      <c r="C389" t="s">
        <v>520</v>
      </c>
      <c r="D389" t="s">
        <v>506</v>
      </c>
      <c r="E389" t="s">
        <v>77</v>
      </c>
      <c r="F389">
        <v>36</v>
      </c>
      <c r="G389" t="s">
        <v>61</v>
      </c>
      <c r="H389" s="14" t="s">
        <v>62</v>
      </c>
      <c r="I389" s="14" t="s">
        <v>37</v>
      </c>
      <c r="J389" s="14" t="s">
        <v>38</v>
      </c>
      <c r="K389" s="14" t="s">
        <v>39</v>
      </c>
      <c r="L389" s="14" t="s">
        <v>40</v>
      </c>
      <c r="M389" s="14">
        <v>1</v>
      </c>
      <c r="N389" s="14">
        <v>719.2</v>
      </c>
      <c r="O389" s="14">
        <v>520</v>
      </c>
      <c r="P389" s="14">
        <v>20</v>
      </c>
      <c r="Q389" s="14" t="s">
        <v>30</v>
      </c>
      <c r="R389" s="14" t="s">
        <v>42</v>
      </c>
      <c r="S389" s="14">
        <v>45831</v>
      </c>
      <c r="T389" s="14">
        <v>3</v>
      </c>
    </row>
    <row r="390" spans="1:20" x14ac:dyDescent="0.3">
      <c r="A390" t="s">
        <v>871</v>
      </c>
      <c r="B390">
        <v>45390</v>
      </c>
      <c r="C390" t="s">
        <v>190</v>
      </c>
      <c r="D390" t="s">
        <v>191</v>
      </c>
      <c r="E390" t="s">
        <v>23</v>
      </c>
      <c r="F390">
        <v>45</v>
      </c>
      <c r="G390" t="s">
        <v>161</v>
      </c>
      <c r="H390" s="14" t="s">
        <v>25</v>
      </c>
      <c r="I390" s="14" t="s">
        <v>92</v>
      </c>
      <c r="J390" s="14" t="s">
        <v>93</v>
      </c>
      <c r="K390" s="14" t="s">
        <v>87</v>
      </c>
      <c r="L390" s="14" t="s">
        <v>94</v>
      </c>
      <c r="M390" s="14">
        <v>1</v>
      </c>
      <c r="N390" s="14">
        <v>1359.15</v>
      </c>
      <c r="O390" s="14">
        <v>930</v>
      </c>
      <c r="P390" s="14">
        <v>15</v>
      </c>
      <c r="Q390" s="14" t="s">
        <v>30</v>
      </c>
      <c r="R390" s="14" t="s">
        <v>57</v>
      </c>
      <c r="S390" s="14">
        <v>45402</v>
      </c>
      <c r="T390" s="14">
        <v>5</v>
      </c>
    </row>
    <row r="391" spans="1:20" x14ac:dyDescent="0.3">
      <c r="A391" t="s">
        <v>872</v>
      </c>
      <c r="B391">
        <v>45398</v>
      </c>
      <c r="C391" t="s">
        <v>873</v>
      </c>
      <c r="D391" t="s">
        <v>874</v>
      </c>
      <c r="E391" t="s">
        <v>23</v>
      </c>
      <c r="F391">
        <v>55</v>
      </c>
      <c r="G391" t="s">
        <v>122</v>
      </c>
      <c r="H391" s="14" t="s">
        <v>123</v>
      </c>
      <c r="I391" s="14" t="s">
        <v>92</v>
      </c>
      <c r="J391" s="14" t="s">
        <v>93</v>
      </c>
      <c r="K391" s="14" t="s">
        <v>87</v>
      </c>
      <c r="L391" s="14" t="s">
        <v>94</v>
      </c>
      <c r="M391" s="14">
        <v>1</v>
      </c>
      <c r="N391" s="14">
        <v>1439.1</v>
      </c>
      <c r="O391" s="14">
        <v>930</v>
      </c>
      <c r="P391" s="14">
        <v>10</v>
      </c>
      <c r="Q391" s="14" t="s">
        <v>73</v>
      </c>
      <c r="R391" s="14" t="s">
        <v>42</v>
      </c>
      <c r="S391" s="14">
        <v>45405</v>
      </c>
      <c r="T391" s="14">
        <v>2</v>
      </c>
    </row>
    <row r="392" spans="1:20" x14ac:dyDescent="0.3">
      <c r="A392" t="s">
        <v>875</v>
      </c>
      <c r="B392">
        <v>45381</v>
      </c>
      <c r="C392" t="s">
        <v>462</v>
      </c>
      <c r="D392" t="s">
        <v>76</v>
      </c>
      <c r="E392" t="s">
        <v>77</v>
      </c>
      <c r="F392">
        <v>43</v>
      </c>
      <c r="G392" t="s">
        <v>24</v>
      </c>
      <c r="H392" s="14" t="s">
        <v>25</v>
      </c>
      <c r="I392" s="14" t="s">
        <v>319</v>
      </c>
      <c r="J392" s="14" t="s">
        <v>320</v>
      </c>
      <c r="K392" s="14" t="s">
        <v>28</v>
      </c>
      <c r="L392" s="14" t="s">
        <v>29</v>
      </c>
      <c r="M392" s="14">
        <v>3</v>
      </c>
      <c r="N392" s="14">
        <v>3417.15</v>
      </c>
      <c r="O392" s="14">
        <v>2130</v>
      </c>
      <c r="P392" s="14">
        <v>5</v>
      </c>
      <c r="R392" s="14" t="s">
        <v>57</v>
      </c>
      <c r="S392" s="14">
        <v>45386</v>
      </c>
      <c r="T392" s="14">
        <v>4</v>
      </c>
    </row>
    <row r="393" spans="1:20" x14ac:dyDescent="0.3">
      <c r="A393" t="s">
        <v>876</v>
      </c>
      <c r="B393">
        <v>45709</v>
      </c>
      <c r="C393" t="s">
        <v>711</v>
      </c>
      <c r="D393" t="s">
        <v>712</v>
      </c>
      <c r="E393" t="s">
        <v>77</v>
      </c>
      <c r="F393">
        <v>58</v>
      </c>
      <c r="G393" t="s">
        <v>61</v>
      </c>
      <c r="H393" s="14" t="s">
        <v>62</v>
      </c>
      <c r="I393" s="14" t="s">
        <v>92</v>
      </c>
      <c r="J393" s="14" t="s">
        <v>93</v>
      </c>
      <c r="K393" s="14" t="s">
        <v>87</v>
      </c>
      <c r="L393" s="14" t="s">
        <v>94</v>
      </c>
      <c r="M393" s="14">
        <v>4</v>
      </c>
      <c r="N393" s="14">
        <v>4477.2</v>
      </c>
      <c r="O393" s="14">
        <v>3720</v>
      </c>
      <c r="P393" s="14">
        <v>30</v>
      </c>
      <c r="Q393" s="14" t="s">
        <v>41</v>
      </c>
      <c r="R393" s="14" t="s">
        <v>42</v>
      </c>
      <c r="S393" s="14">
        <v>45717</v>
      </c>
      <c r="T393" s="14">
        <v>3</v>
      </c>
    </row>
    <row r="394" spans="1:20" x14ac:dyDescent="0.3">
      <c r="A394" t="s">
        <v>877</v>
      </c>
      <c r="B394">
        <v>45839</v>
      </c>
      <c r="C394" t="s">
        <v>685</v>
      </c>
      <c r="D394" t="s">
        <v>399</v>
      </c>
      <c r="E394" t="s">
        <v>77</v>
      </c>
      <c r="F394">
        <v>52</v>
      </c>
      <c r="G394" t="s">
        <v>46</v>
      </c>
      <c r="H394" s="14" t="s">
        <v>25</v>
      </c>
      <c r="I394" s="14" t="s">
        <v>177</v>
      </c>
      <c r="J394" s="14" t="s">
        <v>178</v>
      </c>
      <c r="K394" s="14" t="s">
        <v>87</v>
      </c>
      <c r="L394" s="14" t="s">
        <v>179</v>
      </c>
      <c r="M394" s="14">
        <v>5</v>
      </c>
      <c r="N394" s="14">
        <v>12495</v>
      </c>
      <c r="O394" s="14">
        <v>8100</v>
      </c>
      <c r="P394" s="14">
        <v>0</v>
      </c>
      <c r="Q394" s="14" t="s">
        <v>73</v>
      </c>
      <c r="R394" s="14" t="s">
        <v>42</v>
      </c>
      <c r="S394" s="14">
        <v>45849</v>
      </c>
      <c r="T394" s="14">
        <v>3</v>
      </c>
    </row>
    <row r="395" spans="1:20" x14ac:dyDescent="0.3">
      <c r="A395" t="s">
        <v>878</v>
      </c>
      <c r="B395">
        <v>45588</v>
      </c>
      <c r="C395" t="s">
        <v>879</v>
      </c>
      <c r="D395" t="s">
        <v>880</v>
      </c>
      <c r="E395" t="s">
        <v>23</v>
      </c>
      <c r="F395">
        <v>44</v>
      </c>
      <c r="G395" t="s">
        <v>46</v>
      </c>
      <c r="H395" s="14" t="s">
        <v>25</v>
      </c>
      <c r="I395" s="14" t="s">
        <v>143</v>
      </c>
      <c r="J395" s="14" t="s">
        <v>144</v>
      </c>
      <c r="K395" s="14" t="s">
        <v>130</v>
      </c>
      <c r="L395" s="14" t="s">
        <v>131</v>
      </c>
      <c r="M395" s="14">
        <v>4</v>
      </c>
      <c r="N395" s="14">
        <v>15397.2</v>
      </c>
      <c r="O395" s="14">
        <v>17200</v>
      </c>
      <c r="P395" s="14">
        <v>30</v>
      </c>
      <c r="Q395" s="14" t="s">
        <v>103</v>
      </c>
      <c r="R395" s="14" t="s">
        <v>57</v>
      </c>
      <c r="S395" s="14">
        <v>45600</v>
      </c>
      <c r="T395" s="14">
        <v>2</v>
      </c>
    </row>
    <row r="396" spans="1:20" x14ac:dyDescent="0.3">
      <c r="A396" t="s">
        <v>881</v>
      </c>
      <c r="B396">
        <v>45777</v>
      </c>
      <c r="C396" t="s">
        <v>882</v>
      </c>
      <c r="D396" t="s">
        <v>883</v>
      </c>
      <c r="E396" t="s">
        <v>77</v>
      </c>
      <c r="F396">
        <v>35</v>
      </c>
      <c r="G396" t="s">
        <v>90</v>
      </c>
      <c r="H396" s="14" t="s">
        <v>91</v>
      </c>
      <c r="I396" s="14" t="s">
        <v>252</v>
      </c>
      <c r="J396" s="14" t="s">
        <v>253</v>
      </c>
      <c r="K396" s="14" t="s">
        <v>28</v>
      </c>
      <c r="L396" s="14" t="s">
        <v>254</v>
      </c>
      <c r="M396" s="14">
        <v>4</v>
      </c>
      <c r="N396" s="14">
        <v>9596.7999999999993</v>
      </c>
      <c r="O396" s="14">
        <v>7600</v>
      </c>
      <c r="P396" s="14">
        <v>20</v>
      </c>
      <c r="Q396" s="14" t="s">
        <v>30</v>
      </c>
      <c r="R396" s="14" t="s">
        <v>42</v>
      </c>
      <c r="S396" s="14">
        <v>45789</v>
      </c>
      <c r="T396" s="14">
        <v>4</v>
      </c>
    </row>
    <row r="397" spans="1:20" x14ac:dyDescent="0.3">
      <c r="A397" t="s">
        <v>884</v>
      </c>
      <c r="B397">
        <v>45303</v>
      </c>
      <c r="C397" t="s">
        <v>429</v>
      </c>
      <c r="D397" t="s">
        <v>315</v>
      </c>
      <c r="E397" t="s">
        <v>77</v>
      </c>
      <c r="F397">
        <v>23</v>
      </c>
      <c r="G397" t="s">
        <v>173</v>
      </c>
      <c r="H397" s="14" t="s">
        <v>79</v>
      </c>
      <c r="I397" s="14" t="s">
        <v>229</v>
      </c>
      <c r="J397" s="14" t="s">
        <v>230</v>
      </c>
      <c r="K397" s="14" t="s">
        <v>28</v>
      </c>
      <c r="L397" s="14" t="s">
        <v>231</v>
      </c>
      <c r="M397" s="14">
        <v>1</v>
      </c>
      <c r="N397" s="14">
        <v>1999</v>
      </c>
      <c r="O397" s="14">
        <v>1230</v>
      </c>
      <c r="P397" s="14">
        <v>0</v>
      </c>
      <c r="Q397" s="14" t="s">
        <v>50</v>
      </c>
      <c r="R397" s="14" t="s">
        <v>65</v>
      </c>
    </row>
    <row r="398" spans="1:20" x14ac:dyDescent="0.3">
      <c r="A398" t="s">
        <v>885</v>
      </c>
      <c r="B398">
        <v>45695</v>
      </c>
      <c r="C398" t="s">
        <v>886</v>
      </c>
      <c r="D398" t="s">
        <v>887</v>
      </c>
      <c r="E398" t="s">
        <v>77</v>
      </c>
      <c r="F398">
        <v>49</v>
      </c>
      <c r="G398" t="s">
        <v>46</v>
      </c>
      <c r="H398" s="14" t="s">
        <v>25</v>
      </c>
      <c r="I398" s="14" t="s">
        <v>143</v>
      </c>
      <c r="J398" s="14" t="s">
        <v>144</v>
      </c>
      <c r="K398" s="14" t="s">
        <v>130</v>
      </c>
      <c r="L398" s="14" t="s">
        <v>131</v>
      </c>
      <c r="M398" s="14">
        <v>2</v>
      </c>
      <c r="N398" s="14">
        <v>8248.5</v>
      </c>
      <c r="O398" s="14">
        <v>8600</v>
      </c>
      <c r="P398" s="14">
        <v>25</v>
      </c>
      <c r="Q398" s="14" t="s">
        <v>30</v>
      </c>
      <c r="R398" s="14" t="s">
        <v>42</v>
      </c>
      <c r="S398" s="14">
        <v>45707</v>
      </c>
      <c r="T398" s="14">
        <v>3</v>
      </c>
    </row>
    <row r="399" spans="1:20" x14ac:dyDescent="0.3">
      <c r="A399" t="s">
        <v>888</v>
      </c>
      <c r="B399">
        <v>45456</v>
      </c>
      <c r="C399" t="s">
        <v>889</v>
      </c>
      <c r="D399" t="s">
        <v>890</v>
      </c>
      <c r="E399" t="s">
        <v>23</v>
      </c>
      <c r="F399">
        <v>53</v>
      </c>
      <c r="G399" t="s">
        <v>90</v>
      </c>
      <c r="H399" s="14" t="s">
        <v>91</v>
      </c>
      <c r="I399" s="14" t="s">
        <v>155</v>
      </c>
      <c r="J399" s="14" t="s">
        <v>156</v>
      </c>
      <c r="K399" s="14" t="s">
        <v>114</v>
      </c>
      <c r="L399" s="14" t="s">
        <v>157</v>
      </c>
      <c r="M399" s="14">
        <v>3</v>
      </c>
      <c r="N399" s="14">
        <v>2547.4499999999998</v>
      </c>
      <c r="O399" s="14">
        <v>1830</v>
      </c>
      <c r="P399" s="14">
        <v>15</v>
      </c>
      <c r="Q399" s="14" t="s">
        <v>73</v>
      </c>
      <c r="R399" s="14" t="s">
        <v>42</v>
      </c>
      <c r="S399" s="14">
        <v>45468</v>
      </c>
      <c r="T399" s="14">
        <v>2</v>
      </c>
    </row>
    <row r="400" spans="1:20" x14ac:dyDescent="0.3">
      <c r="A400" t="s">
        <v>891</v>
      </c>
      <c r="B400">
        <v>45854</v>
      </c>
      <c r="C400" t="s">
        <v>146</v>
      </c>
      <c r="D400" t="s">
        <v>147</v>
      </c>
      <c r="E400" t="s">
        <v>23</v>
      </c>
      <c r="F400">
        <v>45</v>
      </c>
      <c r="G400" t="s">
        <v>46</v>
      </c>
      <c r="H400" s="14" t="s">
        <v>25</v>
      </c>
      <c r="I400" s="14" t="s">
        <v>143</v>
      </c>
      <c r="J400" s="14" t="s">
        <v>144</v>
      </c>
      <c r="K400" s="14" t="s">
        <v>130</v>
      </c>
      <c r="L400" s="14" t="s">
        <v>131</v>
      </c>
      <c r="M400" s="14">
        <v>1</v>
      </c>
      <c r="N400" s="14">
        <v>4399.2</v>
      </c>
      <c r="O400" s="14">
        <v>4300</v>
      </c>
      <c r="P400" s="14">
        <v>20</v>
      </c>
      <c r="Q400" s="14" t="s">
        <v>73</v>
      </c>
      <c r="R400" s="14" t="s">
        <v>42</v>
      </c>
      <c r="S400" s="14">
        <v>45865</v>
      </c>
      <c r="T400" s="14">
        <v>5</v>
      </c>
    </row>
    <row r="401" spans="1:20" x14ac:dyDescent="0.3">
      <c r="A401" t="s">
        <v>892</v>
      </c>
      <c r="B401">
        <v>45630</v>
      </c>
      <c r="C401" t="s">
        <v>893</v>
      </c>
      <c r="D401" t="s">
        <v>894</v>
      </c>
      <c r="E401" t="s">
        <v>77</v>
      </c>
      <c r="F401">
        <v>42</v>
      </c>
      <c r="G401" t="s">
        <v>173</v>
      </c>
      <c r="H401" s="14" t="s">
        <v>79</v>
      </c>
      <c r="I401" s="14" t="s">
        <v>107</v>
      </c>
      <c r="J401" s="14" t="s">
        <v>108</v>
      </c>
      <c r="K401" s="14" t="s">
        <v>87</v>
      </c>
      <c r="L401" s="14" t="s">
        <v>88</v>
      </c>
      <c r="M401" s="14">
        <v>2</v>
      </c>
      <c r="N401" s="14">
        <v>1518.1</v>
      </c>
      <c r="O401" s="14">
        <v>840</v>
      </c>
      <c r="P401" s="14">
        <v>5</v>
      </c>
      <c r="Q401" s="14" t="s">
        <v>41</v>
      </c>
      <c r="R401" s="14" t="s">
        <v>65</v>
      </c>
    </row>
    <row r="402" spans="1:20" x14ac:dyDescent="0.3">
      <c r="A402" t="s">
        <v>895</v>
      </c>
      <c r="B402">
        <v>45363</v>
      </c>
      <c r="C402" t="s">
        <v>791</v>
      </c>
      <c r="D402" t="s">
        <v>792</v>
      </c>
      <c r="E402" t="s">
        <v>23</v>
      </c>
      <c r="F402">
        <v>42</v>
      </c>
      <c r="G402" t="s">
        <v>126</v>
      </c>
      <c r="H402" s="14" t="s">
        <v>127</v>
      </c>
      <c r="I402" s="14" t="s">
        <v>37</v>
      </c>
      <c r="J402" s="14" t="s">
        <v>38</v>
      </c>
      <c r="K402" s="14" t="s">
        <v>39</v>
      </c>
      <c r="L402" s="14" t="s">
        <v>40</v>
      </c>
      <c r="M402" s="14">
        <v>4</v>
      </c>
      <c r="N402" s="14">
        <v>2697</v>
      </c>
      <c r="O402" s="14">
        <v>2080</v>
      </c>
      <c r="P402" s="14">
        <v>25</v>
      </c>
      <c r="Q402" s="14" t="s">
        <v>50</v>
      </c>
      <c r="R402" s="14" t="s">
        <v>31</v>
      </c>
      <c r="S402" s="14">
        <v>45369</v>
      </c>
      <c r="T402" s="14">
        <v>3</v>
      </c>
    </row>
    <row r="403" spans="1:20" x14ac:dyDescent="0.3">
      <c r="A403" t="s">
        <v>896</v>
      </c>
      <c r="B403">
        <v>45871</v>
      </c>
      <c r="C403" t="s">
        <v>897</v>
      </c>
      <c r="D403" t="s">
        <v>898</v>
      </c>
      <c r="E403" t="s">
        <v>77</v>
      </c>
      <c r="F403">
        <v>34</v>
      </c>
      <c r="G403" t="s">
        <v>211</v>
      </c>
      <c r="H403" s="14" t="s">
        <v>127</v>
      </c>
      <c r="I403" s="14" t="s">
        <v>183</v>
      </c>
      <c r="J403" s="14" t="s">
        <v>184</v>
      </c>
      <c r="K403" s="14" t="s">
        <v>130</v>
      </c>
      <c r="L403" s="14" t="s">
        <v>185</v>
      </c>
      <c r="M403" s="14">
        <v>4</v>
      </c>
      <c r="N403" s="14">
        <v>14396.4</v>
      </c>
      <c r="O403" s="14">
        <v>12200</v>
      </c>
      <c r="P403" s="14">
        <v>10</v>
      </c>
      <c r="Q403" s="14" t="s">
        <v>73</v>
      </c>
      <c r="R403" s="14" t="s">
        <v>42</v>
      </c>
      <c r="S403" s="14">
        <v>45876</v>
      </c>
      <c r="T403" s="14">
        <v>4</v>
      </c>
    </row>
    <row r="404" spans="1:20" x14ac:dyDescent="0.3">
      <c r="A404" t="s">
        <v>899</v>
      </c>
      <c r="B404">
        <v>46021</v>
      </c>
      <c r="C404" t="s">
        <v>665</v>
      </c>
      <c r="D404" t="s">
        <v>666</v>
      </c>
      <c r="E404" t="s">
        <v>77</v>
      </c>
      <c r="F404">
        <v>55</v>
      </c>
      <c r="G404" t="s">
        <v>207</v>
      </c>
      <c r="H404" s="14" t="s">
        <v>36</v>
      </c>
      <c r="I404" s="14" t="s">
        <v>245</v>
      </c>
      <c r="J404" s="14" t="s">
        <v>246</v>
      </c>
      <c r="K404" s="14" t="s">
        <v>130</v>
      </c>
      <c r="L404" s="14" t="s">
        <v>247</v>
      </c>
      <c r="M404" s="14">
        <v>2</v>
      </c>
      <c r="N404" s="14">
        <v>3748.5</v>
      </c>
      <c r="O404" s="14">
        <v>3740</v>
      </c>
      <c r="P404" s="14">
        <v>25</v>
      </c>
      <c r="Q404" s="14" t="s">
        <v>103</v>
      </c>
      <c r="R404" s="14" t="s">
        <v>42</v>
      </c>
      <c r="S404" s="14">
        <v>46030</v>
      </c>
      <c r="T404" s="14">
        <v>4</v>
      </c>
    </row>
    <row r="405" spans="1:20" x14ac:dyDescent="0.3">
      <c r="A405" t="s">
        <v>900</v>
      </c>
      <c r="B405">
        <v>45604</v>
      </c>
      <c r="C405" t="s">
        <v>563</v>
      </c>
      <c r="D405" t="s">
        <v>53</v>
      </c>
      <c r="E405" t="s">
        <v>23</v>
      </c>
      <c r="F405">
        <v>47</v>
      </c>
      <c r="G405" t="s">
        <v>69</v>
      </c>
      <c r="H405" s="14" t="s">
        <v>69</v>
      </c>
      <c r="I405" s="14" t="s">
        <v>319</v>
      </c>
      <c r="J405" s="14" t="s">
        <v>320</v>
      </c>
      <c r="K405" s="14" t="s">
        <v>28</v>
      </c>
      <c r="L405" s="14" t="s">
        <v>29</v>
      </c>
      <c r="M405" s="14">
        <v>5</v>
      </c>
      <c r="N405" s="14">
        <v>5695.25</v>
      </c>
      <c r="O405" s="14">
        <v>3550</v>
      </c>
      <c r="P405" s="14">
        <v>5</v>
      </c>
      <c r="Q405" s="14" t="s">
        <v>41</v>
      </c>
      <c r="R405" s="14" t="s">
        <v>57</v>
      </c>
      <c r="S405" s="14">
        <v>45608</v>
      </c>
      <c r="T405" s="14">
        <v>4</v>
      </c>
    </row>
    <row r="406" spans="1:20" x14ac:dyDescent="0.3">
      <c r="A406" t="s">
        <v>901</v>
      </c>
      <c r="B406">
        <v>45561</v>
      </c>
      <c r="C406" t="s">
        <v>902</v>
      </c>
      <c r="D406" t="s">
        <v>303</v>
      </c>
      <c r="E406" t="s">
        <v>77</v>
      </c>
      <c r="F406">
        <v>33</v>
      </c>
      <c r="G406" t="s">
        <v>46</v>
      </c>
      <c r="H406" s="14" t="s">
        <v>25</v>
      </c>
      <c r="I406" s="14" t="s">
        <v>80</v>
      </c>
      <c r="J406" s="14" t="s">
        <v>81</v>
      </c>
      <c r="K406" s="14" t="s">
        <v>28</v>
      </c>
      <c r="L406" s="14" t="s">
        <v>29</v>
      </c>
      <c r="M406" s="14">
        <v>5</v>
      </c>
      <c r="N406" s="14">
        <v>3995</v>
      </c>
      <c r="O406" s="14">
        <v>2350</v>
      </c>
      <c r="P406" s="14">
        <v>0</v>
      </c>
      <c r="Q406" s="14" t="s">
        <v>50</v>
      </c>
      <c r="R406" s="14" t="s">
        <v>65</v>
      </c>
    </row>
    <row r="407" spans="1:20" x14ac:dyDescent="0.3">
      <c r="A407" t="s">
        <v>903</v>
      </c>
      <c r="B407">
        <v>45706</v>
      </c>
      <c r="C407" t="s">
        <v>904</v>
      </c>
      <c r="D407" t="s">
        <v>358</v>
      </c>
      <c r="E407" t="s">
        <v>23</v>
      </c>
      <c r="F407">
        <v>48</v>
      </c>
      <c r="G407" t="s">
        <v>24</v>
      </c>
      <c r="H407" s="14" t="s">
        <v>25</v>
      </c>
      <c r="I407" s="14" t="s">
        <v>222</v>
      </c>
      <c r="J407" s="14" t="s">
        <v>223</v>
      </c>
      <c r="K407" s="14" t="s">
        <v>114</v>
      </c>
      <c r="L407" s="14" t="s">
        <v>115</v>
      </c>
      <c r="M407" s="14">
        <v>3</v>
      </c>
      <c r="N407" s="14">
        <v>1618.2</v>
      </c>
      <c r="O407" s="14">
        <v>1530</v>
      </c>
      <c r="P407" s="14">
        <v>40</v>
      </c>
      <c r="Q407" s="14" t="s">
        <v>30</v>
      </c>
      <c r="R407" s="14" t="s">
        <v>42</v>
      </c>
      <c r="S407" s="14">
        <v>45714</v>
      </c>
      <c r="T407" s="14">
        <v>4</v>
      </c>
    </row>
    <row r="408" spans="1:20" x14ac:dyDescent="0.3">
      <c r="A408" t="s">
        <v>905</v>
      </c>
      <c r="C408" t="s">
        <v>906</v>
      </c>
      <c r="D408" t="s">
        <v>586</v>
      </c>
      <c r="E408" t="s">
        <v>77</v>
      </c>
      <c r="F408">
        <v>20</v>
      </c>
      <c r="G408" t="s">
        <v>173</v>
      </c>
      <c r="H408" s="14" t="s">
        <v>79</v>
      </c>
      <c r="I408" s="14" t="s">
        <v>63</v>
      </c>
      <c r="J408" s="14" t="s">
        <v>64</v>
      </c>
      <c r="K408" s="14" t="s">
        <v>39</v>
      </c>
      <c r="L408" s="14" t="s">
        <v>40</v>
      </c>
      <c r="M408" s="14">
        <v>5</v>
      </c>
      <c r="N408" s="14">
        <v>2845.25</v>
      </c>
      <c r="O408" s="14">
        <v>1650</v>
      </c>
      <c r="P408" s="14">
        <v>5</v>
      </c>
      <c r="Q408" s="14" t="s">
        <v>103</v>
      </c>
      <c r="R408" s="14" t="s">
        <v>42</v>
      </c>
      <c r="S408" s="14">
        <v>45905</v>
      </c>
      <c r="T408" s="14">
        <v>2</v>
      </c>
    </row>
    <row r="409" spans="1:20" x14ac:dyDescent="0.3">
      <c r="A409" t="s">
        <v>907</v>
      </c>
      <c r="B409">
        <v>45970</v>
      </c>
      <c r="C409" t="s">
        <v>141</v>
      </c>
      <c r="D409" t="s">
        <v>142</v>
      </c>
      <c r="E409" t="s">
        <v>23</v>
      </c>
      <c r="F409">
        <v>57</v>
      </c>
      <c r="G409" t="s">
        <v>78</v>
      </c>
      <c r="H409" s="14" t="s">
        <v>79</v>
      </c>
      <c r="I409" s="14" t="s">
        <v>112</v>
      </c>
      <c r="J409" s="14" t="s">
        <v>113</v>
      </c>
      <c r="K409" s="14" t="s">
        <v>114</v>
      </c>
      <c r="L409" s="14" t="s">
        <v>115</v>
      </c>
      <c r="M409" s="14">
        <v>2</v>
      </c>
      <c r="N409" s="14">
        <v>838.8</v>
      </c>
      <c r="O409" s="14">
        <v>740</v>
      </c>
      <c r="P409" s="14">
        <v>40</v>
      </c>
      <c r="Q409" s="14" t="s">
        <v>30</v>
      </c>
      <c r="R409" s="14" t="s">
        <v>42</v>
      </c>
      <c r="S409" s="14">
        <v>45981</v>
      </c>
      <c r="T409" s="14">
        <v>3</v>
      </c>
    </row>
    <row r="410" spans="1:20" x14ac:dyDescent="0.3">
      <c r="A410" t="s">
        <v>908</v>
      </c>
      <c r="B410">
        <v>45787</v>
      </c>
      <c r="C410" t="s">
        <v>709</v>
      </c>
      <c r="D410" t="s">
        <v>399</v>
      </c>
      <c r="E410" t="s">
        <v>77</v>
      </c>
      <c r="F410">
        <v>29</v>
      </c>
      <c r="G410" t="s">
        <v>24</v>
      </c>
      <c r="H410" s="14" t="s">
        <v>25</v>
      </c>
      <c r="I410" s="14" t="s">
        <v>304</v>
      </c>
      <c r="J410" s="14" t="s">
        <v>305</v>
      </c>
      <c r="K410" s="14" t="s">
        <v>28</v>
      </c>
      <c r="L410" s="14" t="s">
        <v>231</v>
      </c>
      <c r="M410" s="14">
        <v>4</v>
      </c>
      <c r="N410" s="14">
        <v>6116.6</v>
      </c>
      <c r="O410" s="14">
        <v>4320</v>
      </c>
      <c r="P410" s="14">
        <v>15</v>
      </c>
      <c r="Q410" s="14" t="s">
        <v>73</v>
      </c>
      <c r="R410" s="14" t="s">
        <v>42</v>
      </c>
      <c r="S410" s="14">
        <v>45794</v>
      </c>
      <c r="T410" s="14">
        <v>4</v>
      </c>
    </row>
    <row r="411" spans="1:20" x14ac:dyDescent="0.3">
      <c r="A411" t="s">
        <v>909</v>
      </c>
      <c r="B411">
        <v>45335</v>
      </c>
      <c r="C411" t="s">
        <v>873</v>
      </c>
      <c r="D411" t="s">
        <v>874</v>
      </c>
      <c r="E411" t="s">
        <v>23</v>
      </c>
      <c r="F411">
        <v>55</v>
      </c>
      <c r="G411" t="s">
        <v>211</v>
      </c>
      <c r="H411" s="14" t="s">
        <v>127</v>
      </c>
      <c r="I411" s="14" t="s">
        <v>47</v>
      </c>
      <c r="J411" s="14" t="s">
        <v>48</v>
      </c>
      <c r="K411" s="14" t="s">
        <v>39</v>
      </c>
      <c r="L411" s="14" t="s">
        <v>49</v>
      </c>
      <c r="M411" s="14">
        <v>4</v>
      </c>
      <c r="N411" s="14">
        <v>957.6</v>
      </c>
      <c r="O411" s="14">
        <v>840</v>
      </c>
      <c r="P411" s="14">
        <v>40</v>
      </c>
      <c r="Q411" s="14" t="s">
        <v>73</v>
      </c>
      <c r="R411" s="14" t="s">
        <v>42</v>
      </c>
      <c r="S411" s="14">
        <v>45347</v>
      </c>
      <c r="T411" s="14">
        <v>4</v>
      </c>
    </row>
    <row r="412" spans="1:20" x14ac:dyDescent="0.3">
      <c r="A412" t="s">
        <v>910</v>
      </c>
      <c r="B412">
        <v>45397</v>
      </c>
      <c r="C412" t="s">
        <v>585</v>
      </c>
      <c r="D412" t="s">
        <v>586</v>
      </c>
      <c r="E412" t="s">
        <v>77</v>
      </c>
      <c r="F412">
        <v>51</v>
      </c>
      <c r="G412" t="s">
        <v>207</v>
      </c>
      <c r="H412" s="14" t="s">
        <v>36</v>
      </c>
      <c r="I412" s="14" t="s">
        <v>177</v>
      </c>
      <c r="J412" s="14" t="s">
        <v>178</v>
      </c>
      <c r="K412" s="14" t="s">
        <v>87</v>
      </c>
      <c r="L412" s="14" t="s">
        <v>179</v>
      </c>
      <c r="M412" s="14">
        <v>3</v>
      </c>
      <c r="N412" s="14">
        <v>6747.3</v>
      </c>
      <c r="O412" s="14">
        <v>4860</v>
      </c>
      <c r="P412" s="14">
        <v>10</v>
      </c>
      <c r="Q412" s="14" t="s">
        <v>103</v>
      </c>
      <c r="R412" s="14" t="s">
        <v>31</v>
      </c>
      <c r="S412" s="14">
        <v>45405</v>
      </c>
      <c r="T412" s="14">
        <v>4</v>
      </c>
    </row>
    <row r="413" spans="1:20" x14ac:dyDescent="0.3">
      <c r="A413" t="s">
        <v>911</v>
      </c>
      <c r="B413">
        <v>45893</v>
      </c>
      <c r="C413" t="s">
        <v>902</v>
      </c>
      <c r="D413" t="s">
        <v>303</v>
      </c>
      <c r="E413" t="s">
        <v>77</v>
      </c>
      <c r="F413">
        <v>33</v>
      </c>
      <c r="G413" t="s">
        <v>207</v>
      </c>
      <c r="H413" s="14" t="s">
        <v>36</v>
      </c>
      <c r="I413" s="14" t="s">
        <v>47</v>
      </c>
      <c r="J413" s="14" t="s">
        <v>48</v>
      </c>
      <c r="K413" s="14" t="s">
        <v>39</v>
      </c>
      <c r="L413" s="14" t="s">
        <v>49</v>
      </c>
      <c r="M413" s="14">
        <v>2</v>
      </c>
      <c r="N413" s="14">
        <v>558.6</v>
      </c>
      <c r="O413" s="14">
        <v>420</v>
      </c>
      <c r="P413" s="14">
        <v>30</v>
      </c>
      <c r="Q413" s="14" t="s">
        <v>41</v>
      </c>
      <c r="R413" s="14" t="s">
        <v>57</v>
      </c>
      <c r="S413" s="14">
        <v>45900</v>
      </c>
      <c r="T413" s="14">
        <v>5</v>
      </c>
    </row>
    <row r="414" spans="1:20" x14ac:dyDescent="0.3">
      <c r="A414" t="s">
        <v>912</v>
      </c>
      <c r="B414">
        <v>45785</v>
      </c>
      <c r="C414" t="s">
        <v>685</v>
      </c>
      <c r="D414" t="s">
        <v>399</v>
      </c>
      <c r="E414" t="s">
        <v>77</v>
      </c>
      <c r="F414">
        <v>52</v>
      </c>
      <c r="G414" t="s">
        <v>173</v>
      </c>
      <c r="H414" s="14" t="s">
        <v>79</v>
      </c>
      <c r="I414" s="14" t="s">
        <v>63</v>
      </c>
      <c r="J414" s="14" t="s">
        <v>64</v>
      </c>
      <c r="K414" s="14" t="s">
        <v>39</v>
      </c>
      <c r="L414" s="14" t="s">
        <v>40</v>
      </c>
      <c r="M414" s="14">
        <v>2</v>
      </c>
      <c r="N414" s="14">
        <v>1018.3</v>
      </c>
      <c r="O414" s="14">
        <v>660</v>
      </c>
      <c r="P414" s="14">
        <v>15</v>
      </c>
      <c r="Q414" s="14" t="s">
        <v>73</v>
      </c>
      <c r="R414" s="14" t="s">
        <v>65</v>
      </c>
    </row>
    <row r="415" spans="1:20" x14ac:dyDescent="0.3">
      <c r="A415" t="s">
        <v>913</v>
      </c>
      <c r="B415">
        <v>45950</v>
      </c>
      <c r="C415" t="s">
        <v>914</v>
      </c>
      <c r="D415" t="s">
        <v>260</v>
      </c>
      <c r="E415" t="s">
        <v>77</v>
      </c>
      <c r="F415">
        <v>45</v>
      </c>
      <c r="G415" t="s">
        <v>154</v>
      </c>
      <c r="H415" s="14" t="s">
        <v>91</v>
      </c>
      <c r="I415" s="14" t="s">
        <v>252</v>
      </c>
      <c r="J415" s="14" t="s">
        <v>253</v>
      </c>
      <c r="K415" s="14" t="s">
        <v>28</v>
      </c>
      <c r="L415" s="14" t="s">
        <v>254</v>
      </c>
      <c r="M415" s="14">
        <v>2</v>
      </c>
      <c r="N415" s="14">
        <v>5398.2</v>
      </c>
      <c r="O415" s="14">
        <v>3800</v>
      </c>
      <c r="P415" s="14">
        <v>10</v>
      </c>
      <c r="Q415" s="14" t="s">
        <v>41</v>
      </c>
      <c r="R415" s="14" t="s">
        <v>65</v>
      </c>
    </row>
    <row r="416" spans="1:20" x14ac:dyDescent="0.3">
      <c r="A416" t="s">
        <v>915</v>
      </c>
      <c r="B416">
        <v>45413</v>
      </c>
      <c r="C416" t="s">
        <v>916</v>
      </c>
      <c r="D416" t="s">
        <v>84</v>
      </c>
      <c r="E416" t="s">
        <v>23</v>
      </c>
      <c r="F416">
        <v>38</v>
      </c>
      <c r="G416" t="s">
        <v>122</v>
      </c>
      <c r="H416" s="14" t="s">
        <v>123</v>
      </c>
      <c r="I416" s="14" t="s">
        <v>183</v>
      </c>
      <c r="J416" s="14" t="s">
        <v>184</v>
      </c>
      <c r="K416" s="14" t="s">
        <v>130</v>
      </c>
      <c r="L416" s="14" t="s">
        <v>185</v>
      </c>
      <c r="M416" s="14">
        <v>1</v>
      </c>
      <c r="N416" s="14">
        <v>2399.4</v>
      </c>
      <c r="O416" s="14">
        <v>3050</v>
      </c>
      <c r="P416" s="14">
        <v>40</v>
      </c>
      <c r="Q416" s="14" t="s">
        <v>103</v>
      </c>
      <c r="R416" s="14" t="s">
        <v>42</v>
      </c>
      <c r="S416" s="14">
        <v>45418</v>
      </c>
      <c r="T416" s="14">
        <v>3</v>
      </c>
    </row>
    <row r="417" spans="1:20" x14ac:dyDescent="0.3">
      <c r="A417" t="s">
        <v>917</v>
      </c>
      <c r="B417">
        <v>45954</v>
      </c>
      <c r="C417" t="s">
        <v>918</v>
      </c>
      <c r="D417" t="s">
        <v>182</v>
      </c>
      <c r="E417" t="s">
        <v>23</v>
      </c>
      <c r="F417">
        <v>48</v>
      </c>
      <c r="G417" t="s">
        <v>161</v>
      </c>
      <c r="H417" s="14" t="s">
        <v>25</v>
      </c>
      <c r="I417" s="14" t="s">
        <v>304</v>
      </c>
      <c r="J417" s="14" t="s">
        <v>305</v>
      </c>
      <c r="K417" s="14" t="s">
        <v>28</v>
      </c>
      <c r="L417" s="14" t="s">
        <v>231</v>
      </c>
      <c r="M417" s="14">
        <v>1</v>
      </c>
      <c r="N417" s="14">
        <v>1619.1</v>
      </c>
      <c r="O417" s="14">
        <v>1080</v>
      </c>
      <c r="P417" s="14">
        <v>10</v>
      </c>
      <c r="Q417" s="14" t="s">
        <v>50</v>
      </c>
      <c r="R417" s="14" t="s">
        <v>65</v>
      </c>
    </row>
    <row r="418" spans="1:20" x14ac:dyDescent="0.3">
      <c r="A418" t="s">
        <v>919</v>
      </c>
      <c r="B418">
        <v>45456</v>
      </c>
      <c r="C418" t="s">
        <v>689</v>
      </c>
      <c r="D418" t="s">
        <v>690</v>
      </c>
      <c r="E418" t="s">
        <v>77</v>
      </c>
      <c r="F418">
        <v>45</v>
      </c>
      <c r="G418" t="s">
        <v>24</v>
      </c>
      <c r="H418" s="14" t="s">
        <v>25</v>
      </c>
      <c r="I418" s="14" t="s">
        <v>198</v>
      </c>
      <c r="J418" s="14" t="s">
        <v>199</v>
      </c>
      <c r="K418" s="14" t="s">
        <v>114</v>
      </c>
      <c r="L418" s="14" t="s">
        <v>200</v>
      </c>
      <c r="M418" s="14">
        <v>2</v>
      </c>
      <c r="N418" s="14">
        <v>2598</v>
      </c>
      <c r="O418" s="14">
        <v>1520</v>
      </c>
      <c r="P418" s="14">
        <v>0</v>
      </c>
      <c r="Q418" s="14" t="s">
        <v>30</v>
      </c>
      <c r="R418" s="14" t="s">
        <v>42</v>
      </c>
      <c r="S418" s="14">
        <v>45460</v>
      </c>
      <c r="T418" s="14">
        <v>5</v>
      </c>
    </row>
    <row r="419" spans="1:20" x14ac:dyDescent="0.3">
      <c r="A419" t="s">
        <v>920</v>
      </c>
      <c r="B419">
        <v>45905</v>
      </c>
      <c r="C419" t="s">
        <v>574</v>
      </c>
      <c r="D419" t="s">
        <v>442</v>
      </c>
      <c r="E419" t="s">
        <v>77</v>
      </c>
      <c r="F419">
        <v>53</v>
      </c>
      <c r="G419" t="s">
        <v>161</v>
      </c>
      <c r="H419" s="14" t="s">
        <v>25</v>
      </c>
      <c r="I419" s="14" t="s">
        <v>177</v>
      </c>
      <c r="J419" s="14" t="s">
        <v>178</v>
      </c>
      <c r="K419" s="14" t="s">
        <v>87</v>
      </c>
      <c r="L419" s="14" t="s">
        <v>179</v>
      </c>
      <c r="M419" s="14">
        <v>3</v>
      </c>
      <c r="N419" s="14">
        <v>7122.15</v>
      </c>
      <c r="O419" s="14">
        <v>4860</v>
      </c>
      <c r="P419" s="14">
        <v>5</v>
      </c>
      <c r="Q419" s="14" t="s">
        <v>30</v>
      </c>
      <c r="R419" s="14" t="s">
        <v>42</v>
      </c>
      <c r="S419" s="14">
        <v>45916</v>
      </c>
      <c r="T419" s="14">
        <v>5</v>
      </c>
    </row>
    <row r="420" spans="1:20" x14ac:dyDescent="0.3">
      <c r="A420" t="s">
        <v>921</v>
      </c>
      <c r="B420">
        <v>45785</v>
      </c>
      <c r="C420" t="s">
        <v>736</v>
      </c>
      <c r="D420" t="s">
        <v>737</v>
      </c>
      <c r="E420" t="s">
        <v>77</v>
      </c>
      <c r="F420">
        <v>21</v>
      </c>
      <c r="G420" t="s">
        <v>90</v>
      </c>
      <c r="H420" s="14" t="s">
        <v>91</v>
      </c>
      <c r="I420" s="14" t="s">
        <v>134</v>
      </c>
      <c r="J420" s="14" t="s">
        <v>135</v>
      </c>
      <c r="K420" s="14" t="s">
        <v>39</v>
      </c>
      <c r="L420" s="14" t="s">
        <v>136</v>
      </c>
      <c r="M420" s="14">
        <v>5</v>
      </c>
      <c r="N420" s="14">
        <v>895.5</v>
      </c>
      <c r="O420" s="14">
        <v>450</v>
      </c>
      <c r="P420" s="14">
        <v>10</v>
      </c>
      <c r="Q420" s="14" t="s">
        <v>50</v>
      </c>
      <c r="R420" s="14" t="s">
        <v>57</v>
      </c>
      <c r="S420" s="14">
        <v>45789</v>
      </c>
      <c r="T420" s="14">
        <v>4</v>
      </c>
    </row>
    <row r="421" spans="1:20" x14ac:dyDescent="0.3">
      <c r="A421" t="s">
        <v>922</v>
      </c>
      <c r="B421">
        <v>45463</v>
      </c>
      <c r="C421" t="s">
        <v>605</v>
      </c>
      <c r="D421" t="s">
        <v>442</v>
      </c>
      <c r="E421" t="s">
        <v>77</v>
      </c>
      <c r="F421">
        <v>22</v>
      </c>
      <c r="G421" t="s">
        <v>61</v>
      </c>
      <c r="H421" s="14" t="s">
        <v>62</v>
      </c>
      <c r="I421" s="14" t="s">
        <v>155</v>
      </c>
      <c r="J421" s="14" t="s">
        <v>156</v>
      </c>
      <c r="K421" s="14" t="s">
        <v>114</v>
      </c>
      <c r="L421" s="14" t="s">
        <v>157</v>
      </c>
      <c r="M421" s="14">
        <v>5</v>
      </c>
      <c r="N421" s="14">
        <v>4745.25</v>
      </c>
      <c r="O421" s="14">
        <v>3050</v>
      </c>
      <c r="P421" s="14">
        <v>5</v>
      </c>
      <c r="Q421" s="14" t="s">
        <v>30</v>
      </c>
      <c r="R421" s="14" t="s">
        <v>42</v>
      </c>
      <c r="S421" s="14">
        <v>45471</v>
      </c>
      <c r="T421" s="14">
        <v>3</v>
      </c>
    </row>
    <row r="422" spans="1:20" x14ac:dyDescent="0.3">
      <c r="A422" t="s">
        <v>923</v>
      </c>
      <c r="B422">
        <v>45403</v>
      </c>
      <c r="C422" t="s">
        <v>555</v>
      </c>
      <c r="D422" t="s">
        <v>556</v>
      </c>
      <c r="E422" t="s">
        <v>23</v>
      </c>
      <c r="F422">
        <v>52</v>
      </c>
      <c r="G422" t="s">
        <v>154</v>
      </c>
      <c r="H422" s="14" t="s">
        <v>91</v>
      </c>
      <c r="I422" s="14" t="s">
        <v>112</v>
      </c>
      <c r="J422" s="14" t="s">
        <v>113</v>
      </c>
      <c r="K422" s="14" t="s">
        <v>114</v>
      </c>
      <c r="L422" s="14" t="s">
        <v>115</v>
      </c>
      <c r="M422" s="14">
        <v>5</v>
      </c>
      <c r="N422" s="14">
        <v>2446.5</v>
      </c>
      <c r="O422" s="14">
        <v>1850</v>
      </c>
      <c r="P422" s="14">
        <v>30</v>
      </c>
      <c r="Q422" s="14" t="s">
        <v>30</v>
      </c>
      <c r="R422" s="14" t="s">
        <v>65</v>
      </c>
    </row>
    <row r="423" spans="1:20" x14ac:dyDescent="0.3">
      <c r="A423" t="s">
        <v>924</v>
      </c>
      <c r="B423">
        <v>45390</v>
      </c>
      <c r="C423" t="s">
        <v>499</v>
      </c>
      <c r="D423" t="s">
        <v>388</v>
      </c>
      <c r="E423" t="s">
        <v>23</v>
      </c>
      <c r="F423">
        <v>30</v>
      </c>
      <c r="G423" t="s">
        <v>101</v>
      </c>
      <c r="H423" s="14" t="s">
        <v>102</v>
      </c>
      <c r="I423" s="14" t="s">
        <v>155</v>
      </c>
      <c r="J423" s="14" t="s">
        <v>156</v>
      </c>
      <c r="K423" s="14" t="s">
        <v>114</v>
      </c>
      <c r="L423" s="14" t="s">
        <v>157</v>
      </c>
      <c r="M423" s="14">
        <v>5</v>
      </c>
      <c r="N423" s="14">
        <v>4995</v>
      </c>
      <c r="O423" s="14">
        <v>3050</v>
      </c>
      <c r="P423" s="14">
        <v>0</v>
      </c>
      <c r="Q423" s="14" t="s">
        <v>50</v>
      </c>
      <c r="R423" s="14" t="s">
        <v>65</v>
      </c>
    </row>
    <row r="424" spans="1:20" x14ac:dyDescent="0.3">
      <c r="A424" t="s">
        <v>925</v>
      </c>
      <c r="B424">
        <v>45412</v>
      </c>
      <c r="C424" t="s">
        <v>926</v>
      </c>
      <c r="D424" t="s">
        <v>927</v>
      </c>
      <c r="E424" t="s">
        <v>23</v>
      </c>
      <c r="F424">
        <v>42</v>
      </c>
      <c r="G424" t="s">
        <v>101</v>
      </c>
      <c r="H424" s="14" t="s">
        <v>102</v>
      </c>
      <c r="I424" s="14" t="s">
        <v>107</v>
      </c>
      <c r="J424" s="14" t="s">
        <v>108</v>
      </c>
      <c r="K424" s="14" t="s">
        <v>87</v>
      </c>
      <c r="L424" s="14" t="s">
        <v>88</v>
      </c>
      <c r="M424" s="14">
        <v>2</v>
      </c>
      <c r="N424" s="14">
        <v>1598</v>
      </c>
      <c r="O424" s="14">
        <v>840</v>
      </c>
      <c r="P424" s="14">
        <v>0</v>
      </c>
      <c r="Q424" s="14" t="s">
        <v>103</v>
      </c>
      <c r="R424" s="14" t="s">
        <v>65</v>
      </c>
    </row>
    <row r="425" spans="1:20" x14ac:dyDescent="0.3">
      <c r="A425" t="s">
        <v>928</v>
      </c>
      <c r="B425">
        <v>45722</v>
      </c>
      <c r="C425" t="s">
        <v>294</v>
      </c>
      <c r="D425" t="s">
        <v>295</v>
      </c>
      <c r="E425" t="s">
        <v>77</v>
      </c>
      <c r="F425">
        <v>31</v>
      </c>
      <c r="G425" t="s">
        <v>24</v>
      </c>
      <c r="H425" s="14" t="s">
        <v>25</v>
      </c>
      <c r="I425" s="14" t="s">
        <v>85</v>
      </c>
      <c r="J425" s="14" t="s">
        <v>86</v>
      </c>
      <c r="K425" s="14" t="s">
        <v>87</v>
      </c>
      <c r="L425" s="14" t="s">
        <v>88</v>
      </c>
      <c r="M425" s="14">
        <v>5</v>
      </c>
      <c r="N425" s="14">
        <v>4896.5</v>
      </c>
      <c r="O425" s="14">
        <v>3950</v>
      </c>
      <c r="P425" s="14">
        <v>30</v>
      </c>
      <c r="Q425" s="14" t="s">
        <v>30</v>
      </c>
      <c r="R425" s="14" t="s">
        <v>57</v>
      </c>
      <c r="S425" s="14">
        <v>45731</v>
      </c>
      <c r="T425" s="14">
        <v>5</v>
      </c>
    </row>
    <row r="426" spans="1:20" x14ac:dyDescent="0.3">
      <c r="A426" t="s">
        <v>929</v>
      </c>
      <c r="B426">
        <v>45650</v>
      </c>
      <c r="C426" t="s">
        <v>930</v>
      </c>
      <c r="D426" t="s">
        <v>556</v>
      </c>
      <c r="E426" t="s">
        <v>23</v>
      </c>
      <c r="F426">
        <v>48</v>
      </c>
      <c r="G426" t="s">
        <v>69</v>
      </c>
      <c r="H426" s="14" t="s">
        <v>69</v>
      </c>
      <c r="I426" s="14" t="s">
        <v>134</v>
      </c>
      <c r="J426" s="14" t="s">
        <v>135</v>
      </c>
      <c r="K426" s="14" t="s">
        <v>39</v>
      </c>
      <c r="L426" s="14" t="s">
        <v>136</v>
      </c>
      <c r="M426" s="14">
        <v>2</v>
      </c>
      <c r="N426" s="14">
        <v>318.39999999999998</v>
      </c>
      <c r="O426" s="14">
        <v>180</v>
      </c>
      <c r="P426" s="14">
        <v>20</v>
      </c>
      <c r="Q426" s="14" t="s">
        <v>103</v>
      </c>
      <c r="R426" s="14" t="s">
        <v>57</v>
      </c>
      <c r="S426" s="14">
        <v>45655</v>
      </c>
      <c r="T426" s="14">
        <v>3</v>
      </c>
    </row>
    <row r="427" spans="1:20" x14ac:dyDescent="0.3">
      <c r="A427" t="s">
        <v>931</v>
      </c>
      <c r="B427">
        <v>45582</v>
      </c>
      <c r="C427" t="s">
        <v>401</v>
      </c>
      <c r="D427" t="s">
        <v>402</v>
      </c>
      <c r="E427" t="s">
        <v>23</v>
      </c>
      <c r="F427">
        <v>53</v>
      </c>
      <c r="G427" t="s">
        <v>122</v>
      </c>
      <c r="H427" s="14" t="s">
        <v>123</v>
      </c>
      <c r="I427" s="14" t="s">
        <v>128</v>
      </c>
      <c r="J427" s="14" t="s">
        <v>129</v>
      </c>
      <c r="K427" s="14" t="s">
        <v>130</v>
      </c>
      <c r="L427" s="14" t="s">
        <v>131</v>
      </c>
      <c r="M427" s="14">
        <v>2</v>
      </c>
      <c r="N427" s="14">
        <v>12998</v>
      </c>
      <c r="O427" s="14">
        <v>10200</v>
      </c>
      <c r="P427" s="14">
        <v>0</v>
      </c>
      <c r="Q427" s="14" t="s">
        <v>73</v>
      </c>
      <c r="R427" s="14" t="s">
        <v>65</v>
      </c>
    </row>
    <row r="428" spans="1:20" x14ac:dyDescent="0.3">
      <c r="A428" t="s">
        <v>932</v>
      </c>
      <c r="B428">
        <v>45827</v>
      </c>
      <c r="C428" t="s">
        <v>517</v>
      </c>
      <c r="D428" t="s">
        <v>518</v>
      </c>
      <c r="E428" t="s">
        <v>23</v>
      </c>
      <c r="F428">
        <v>38</v>
      </c>
      <c r="G428" t="s">
        <v>161</v>
      </c>
      <c r="H428" s="14" t="s">
        <v>25</v>
      </c>
      <c r="I428" s="14" t="s">
        <v>47</v>
      </c>
      <c r="J428" s="14" t="s">
        <v>48</v>
      </c>
      <c r="K428" s="14" t="s">
        <v>39</v>
      </c>
      <c r="L428" s="14" t="s">
        <v>49</v>
      </c>
      <c r="M428" s="14">
        <v>2</v>
      </c>
      <c r="N428" s="14">
        <v>598.5</v>
      </c>
      <c r="O428" s="14">
        <v>420</v>
      </c>
      <c r="P428" s="14">
        <v>25</v>
      </c>
      <c r="Q428" s="14" t="s">
        <v>103</v>
      </c>
      <c r="R428" s="14" t="s">
        <v>42</v>
      </c>
      <c r="S428" s="14">
        <v>45830</v>
      </c>
      <c r="T428" s="14">
        <v>3</v>
      </c>
    </row>
    <row r="429" spans="1:20" x14ac:dyDescent="0.3">
      <c r="A429" t="s">
        <v>933</v>
      </c>
      <c r="B429">
        <v>45728</v>
      </c>
      <c r="C429" t="s">
        <v>788</v>
      </c>
      <c r="D429" t="s">
        <v>789</v>
      </c>
      <c r="E429" t="s">
        <v>77</v>
      </c>
      <c r="F429">
        <v>52</v>
      </c>
      <c r="G429" t="s">
        <v>207</v>
      </c>
      <c r="H429" s="14" t="s">
        <v>36</v>
      </c>
      <c r="I429" s="14" t="s">
        <v>128</v>
      </c>
      <c r="J429" s="14" t="s">
        <v>129</v>
      </c>
      <c r="K429" s="14" t="s">
        <v>130</v>
      </c>
      <c r="L429" s="14" t="s">
        <v>131</v>
      </c>
      <c r="M429" s="14">
        <v>5</v>
      </c>
      <c r="N429" s="14">
        <v>22746.5</v>
      </c>
      <c r="O429" s="14">
        <v>25500</v>
      </c>
      <c r="P429" s="14">
        <v>30</v>
      </c>
      <c r="Q429" s="14" t="s">
        <v>50</v>
      </c>
      <c r="R429" s="14" t="s">
        <v>42</v>
      </c>
      <c r="S429" s="14">
        <v>45739</v>
      </c>
      <c r="T429" s="14">
        <v>4</v>
      </c>
    </row>
    <row r="430" spans="1:20" x14ac:dyDescent="0.3">
      <c r="A430" t="s">
        <v>934</v>
      </c>
      <c r="B430">
        <v>45988</v>
      </c>
      <c r="C430" t="s">
        <v>181</v>
      </c>
      <c r="D430" t="s">
        <v>182</v>
      </c>
      <c r="E430" t="s">
        <v>23</v>
      </c>
      <c r="F430">
        <v>51</v>
      </c>
      <c r="G430" t="s">
        <v>154</v>
      </c>
      <c r="H430" s="14" t="s">
        <v>91</v>
      </c>
      <c r="I430" s="14" t="s">
        <v>134</v>
      </c>
      <c r="J430" s="14" t="s">
        <v>135</v>
      </c>
      <c r="K430" s="14" t="s">
        <v>39</v>
      </c>
      <c r="L430" s="14" t="s">
        <v>136</v>
      </c>
      <c r="M430" s="14">
        <v>5</v>
      </c>
      <c r="N430" s="14">
        <v>597</v>
      </c>
      <c r="O430" s="14">
        <v>450</v>
      </c>
      <c r="P430" s="14">
        <v>40</v>
      </c>
      <c r="Q430" s="14" t="s">
        <v>30</v>
      </c>
      <c r="R430" s="14" t="s">
        <v>42</v>
      </c>
      <c r="S430" s="14">
        <v>45998</v>
      </c>
      <c r="T430" s="14">
        <v>5</v>
      </c>
    </row>
    <row r="431" spans="1:20" x14ac:dyDescent="0.3">
      <c r="A431" t="s">
        <v>935</v>
      </c>
      <c r="B431">
        <v>45551</v>
      </c>
      <c r="C431" t="s">
        <v>302</v>
      </c>
      <c r="D431" t="s">
        <v>303</v>
      </c>
      <c r="E431" t="s">
        <v>77</v>
      </c>
      <c r="F431">
        <v>24</v>
      </c>
      <c r="G431" t="s">
        <v>211</v>
      </c>
      <c r="H431" s="14" t="s">
        <v>127</v>
      </c>
      <c r="I431" s="14" t="s">
        <v>85</v>
      </c>
      <c r="J431" s="14" t="s">
        <v>86</v>
      </c>
      <c r="K431" s="14" t="s">
        <v>87</v>
      </c>
      <c r="L431" s="14" t="s">
        <v>88</v>
      </c>
      <c r="M431" s="14">
        <v>4</v>
      </c>
      <c r="N431" s="14">
        <v>5036.3999999999996</v>
      </c>
      <c r="O431" s="14">
        <v>3160</v>
      </c>
      <c r="P431" s="14">
        <v>10</v>
      </c>
      <c r="Q431" s="14" t="s">
        <v>73</v>
      </c>
      <c r="R431" s="14" t="s">
        <v>31</v>
      </c>
      <c r="S431" s="14">
        <v>45556</v>
      </c>
      <c r="T431" s="14">
        <v>5</v>
      </c>
    </row>
    <row r="432" spans="1:20" x14ac:dyDescent="0.3">
      <c r="A432" t="s">
        <v>936</v>
      </c>
      <c r="B432">
        <v>46008</v>
      </c>
      <c r="C432" t="s">
        <v>371</v>
      </c>
      <c r="D432" t="s">
        <v>372</v>
      </c>
      <c r="E432" t="s">
        <v>77</v>
      </c>
      <c r="F432">
        <v>54</v>
      </c>
      <c r="G432" t="s">
        <v>69</v>
      </c>
      <c r="H432" s="14" t="s">
        <v>69</v>
      </c>
      <c r="I432" s="14" t="s">
        <v>70</v>
      </c>
      <c r="J432" s="14" t="s">
        <v>71</v>
      </c>
      <c r="K432" s="14" t="s">
        <v>28</v>
      </c>
      <c r="L432" s="14" t="s">
        <v>72</v>
      </c>
      <c r="M432" s="14">
        <v>5</v>
      </c>
      <c r="N432" s="14">
        <v>5246.5</v>
      </c>
      <c r="O432" s="14">
        <v>4600</v>
      </c>
      <c r="P432" s="14">
        <v>30</v>
      </c>
      <c r="Q432" s="14" t="s">
        <v>41</v>
      </c>
      <c r="R432" s="14" t="s">
        <v>57</v>
      </c>
      <c r="S432" s="14">
        <v>46018</v>
      </c>
      <c r="T432" s="14">
        <v>2</v>
      </c>
    </row>
    <row r="433" spans="1:20" x14ac:dyDescent="0.3">
      <c r="A433" t="s">
        <v>937</v>
      </c>
      <c r="B433">
        <v>45456</v>
      </c>
      <c r="C433" t="s">
        <v>938</v>
      </c>
      <c r="D433" t="s">
        <v>53</v>
      </c>
      <c r="E433" t="s">
        <v>23</v>
      </c>
      <c r="F433">
        <v>42</v>
      </c>
      <c r="G433" t="s">
        <v>161</v>
      </c>
      <c r="H433" s="14" t="s">
        <v>25</v>
      </c>
      <c r="I433" s="14" t="s">
        <v>54</v>
      </c>
      <c r="J433" s="14" t="s">
        <v>55</v>
      </c>
      <c r="K433" s="14" t="s">
        <v>28</v>
      </c>
      <c r="L433" s="14" t="s">
        <v>56</v>
      </c>
      <c r="M433" s="14">
        <v>2</v>
      </c>
      <c r="N433" s="14">
        <v>838.8</v>
      </c>
      <c r="O433" s="14">
        <v>820</v>
      </c>
      <c r="P433" s="14">
        <v>40</v>
      </c>
      <c r="Q433" s="14" t="s">
        <v>50</v>
      </c>
      <c r="R433" s="14" t="s">
        <v>42</v>
      </c>
      <c r="S433" s="14">
        <v>45459</v>
      </c>
      <c r="T433" s="14">
        <v>3</v>
      </c>
    </row>
    <row r="434" spans="1:20" x14ac:dyDescent="0.3">
      <c r="A434" t="s">
        <v>939</v>
      </c>
      <c r="B434">
        <v>45561</v>
      </c>
      <c r="C434" t="s">
        <v>317</v>
      </c>
      <c r="D434" t="s">
        <v>318</v>
      </c>
      <c r="E434" t="s">
        <v>77</v>
      </c>
      <c r="F434">
        <v>54</v>
      </c>
      <c r="G434" t="s">
        <v>211</v>
      </c>
      <c r="H434" s="14" t="s">
        <v>127</v>
      </c>
      <c r="I434" s="14" t="s">
        <v>54</v>
      </c>
      <c r="J434" s="14" t="s">
        <v>55</v>
      </c>
      <c r="K434" s="14" t="s">
        <v>28</v>
      </c>
      <c r="L434" s="14" t="s">
        <v>56</v>
      </c>
      <c r="M434" s="14">
        <v>5</v>
      </c>
      <c r="N434" s="14">
        <v>3495</v>
      </c>
      <c r="O434" s="14">
        <v>2050</v>
      </c>
      <c r="P434" s="14">
        <v>0</v>
      </c>
      <c r="Q434" s="14" t="s">
        <v>103</v>
      </c>
      <c r="R434" s="14" t="s">
        <v>42</v>
      </c>
      <c r="S434" s="14">
        <v>45572</v>
      </c>
      <c r="T434" s="14">
        <v>4</v>
      </c>
    </row>
    <row r="435" spans="1:20" x14ac:dyDescent="0.3">
      <c r="A435" t="s">
        <v>940</v>
      </c>
      <c r="B435">
        <v>46020</v>
      </c>
      <c r="C435" t="s">
        <v>941</v>
      </c>
      <c r="E435" t="s">
        <v>77</v>
      </c>
      <c r="F435">
        <v>33</v>
      </c>
      <c r="G435" t="s">
        <v>78</v>
      </c>
      <c r="H435" s="14" t="s">
        <v>79</v>
      </c>
      <c r="I435" s="14" t="s">
        <v>92</v>
      </c>
      <c r="J435" s="14" t="s">
        <v>93</v>
      </c>
      <c r="K435" s="14" t="s">
        <v>87</v>
      </c>
      <c r="L435" s="14" t="s">
        <v>94</v>
      </c>
      <c r="M435" s="14">
        <v>4</v>
      </c>
      <c r="N435" s="14">
        <v>3837.6</v>
      </c>
      <c r="O435" s="14">
        <v>3720</v>
      </c>
      <c r="P435" s="14">
        <v>40</v>
      </c>
      <c r="Q435" s="14" t="s">
        <v>73</v>
      </c>
      <c r="R435" s="14" t="s">
        <v>42</v>
      </c>
      <c r="S435" s="14">
        <v>46032</v>
      </c>
      <c r="T435" s="14">
        <v>4</v>
      </c>
    </row>
    <row r="436" spans="1:20" x14ac:dyDescent="0.3">
      <c r="A436" t="s">
        <v>942</v>
      </c>
      <c r="B436">
        <v>45491</v>
      </c>
      <c r="C436" t="s">
        <v>943</v>
      </c>
      <c r="D436" t="s">
        <v>206</v>
      </c>
      <c r="E436" t="s">
        <v>77</v>
      </c>
      <c r="F436">
        <v>42</v>
      </c>
      <c r="G436" t="s">
        <v>90</v>
      </c>
      <c r="H436" s="14" t="s">
        <v>91</v>
      </c>
      <c r="I436" s="14" t="s">
        <v>155</v>
      </c>
      <c r="J436" s="14" t="s">
        <v>156</v>
      </c>
      <c r="K436" s="14" t="s">
        <v>114</v>
      </c>
      <c r="L436" s="14" t="s">
        <v>157</v>
      </c>
      <c r="M436" s="14">
        <v>2</v>
      </c>
      <c r="N436" s="14">
        <v>1998</v>
      </c>
      <c r="O436" s="14">
        <v>1220</v>
      </c>
      <c r="P436" s="14">
        <v>0</v>
      </c>
      <c r="Q436" s="14" t="s">
        <v>41</v>
      </c>
      <c r="R436" s="14" t="s">
        <v>42</v>
      </c>
      <c r="S436" s="14">
        <v>45503</v>
      </c>
      <c r="T436" s="14">
        <v>2</v>
      </c>
    </row>
    <row r="437" spans="1:20" x14ac:dyDescent="0.3">
      <c r="A437" t="s">
        <v>944</v>
      </c>
      <c r="B437">
        <v>45453</v>
      </c>
      <c r="C437" t="s">
        <v>508</v>
      </c>
      <c r="D437" t="s">
        <v>509</v>
      </c>
      <c r="E437" t="s">
        <v>77</v>
      </c>
      <c r="F437">
        <v>23</v>
      </c>
      <c r="G437" t="s">
        <v>207</v>
      </c>
      <c r="H437" s="14" t="s">
        <v>36</v>
      </c>
      <c r="I437" s="14" t="s">
        <v>47</v>
      </c>
      <c r="J437" s="14" t="s">
        <v>48</v>
      </c>
      <c r="K437" s="14" t="s">
        <v>39</v>
      </c>
      <c r="L437" s="14" t="s">
        <v>49</v>
      </c>
      <c r="M437" s="14">
        <v>3</v>
      </c>
      <c r="N437" s="14">
        <v>837.9</v>
      </c>
      <c r="O437" s="14">
        <v>630</v>
      </c>
      <c r="P437" s="14">
        <v>30</v>
      </c>
      <c r="Q437" s="14" t="s">
        <v>103</v>
      </c>
      <c r="R437" s="14" t="s">
        <v>65</v>
      </c>
    </row>
    <row r="438" spans="1:20" x14ac:dyDescent="0.3">
      <c r="A438" t="s">
        <v>945</v>
      </c>
      <c r="B438">
        <v>45497</v>
      </c>
      <c r="C438" t="s">
        <v>420</v>
      </c>
      <c r="D438" t="s">
        <v>76</v>
      </c>
      <c r="E438" t="s">
        <v>77</v>
      </c>
      <c r="F438">
        <v>27</v>
      </c>
      <c r="G438" t="s">
        <v>161</v>
      </c>
      <c r="H438" s="14" t="s">
        <v>25</v>
      </c>
      <c r="I438" s="14" t="s">
        <v>177</v>
      </c>
      <c r="J438" s="14" t="s">
        <v>178</v>
      </c>
      <c r="K438" s="14" t="s">
        <v>87</v>
      </c>
      <c r="L438" s="14" t="s">
        <v>179</v>
      </c>
      <c r="M438" s="14">
        <v>1</v>
      </c>
      <c r="N438" s="14">
        <v>2374.0500000000002</v>
      </c>
      <c r="O438" s="14">
        <v>1620</v>
      </c>
      <c r="P438" s="14">
        <v>5</v>
      </c>
      <c r="Q438" s="14" t="s">
        <v>50</v>
      </c>
      <c r="R438" s="14" t="s">
        <v>42</v>
      </c>
      <c r="S438" s="14">
        <v>45507</v>
      </c>
      <c r="T438" s="14">
        <v>4</v>
      </c>
    </row>
    <row r="439" spans="1:20" x14ac:dyDescent="0.3">
      <c r="A439" t="s">
        <v>946</v>
      </c>
      <c r="B439">
        <v>45647</v>
      </c>
      <c r="C439" t="s">
        <v>249</v>
      </c>
      <c r="D439" t="s">
        <v>250</v>
      </c>
      <c r="E439" t="s">
        <v>23</v>
      </c>
      <c r="F439">
        <v>34</v>
      </c>
      <c r="G439" t="s">
        <v>90</v>
      </c>
      <c r="H439" s="14" t="s">
        <v>91</v>
      </c>
      <c r="I439" s="14" t="s">
        <v>155</v>
      </c>
      <c r="J439" s="14" t="s">
        <v>156</v>
      </c>
      <c r="K439" s="14" t="s">
        <v>114</v>
      </c>
      <c r="L439" s="14" t="s">
        <v>157</v>
      </c>
      <c r="M439" s="14">
        <v>2</v>
      </c>
      <c r="N439" s="14">
        <v>1198.8</v>
      </c>
      <c r="O439" s="14">
        <v>1220</v>
      </c>
      <c r="P439" s="14">
        <v>40</v>
      </c>
      <c r="Q439" s="14" t="s">
        <v>103</v>
      </c>
      <c r="R439" s="14" t="s">
        <v>65</v>
      </c>
    </row>
    <row r="440" spans="1:20" x14ac:dyDescent="0.3">
      <c r="A440" t="s">
        <v>947</v>
      </c>
      <c r="B440">
        <v>45296</v>
      </c>
      <c r="C440" t="s">
        <v>511</v>
      </c>
      <c r="D440" t="s">
        <v>512</v>
      </c>
      <c r="E440" t="s">
        <v>23</v>
      </c>
      <c r="F440">
        <v>53</v>
      </c>
      <c r="G440" t="s">
        <v>78</v>
      </c>
      <c r="H440" s="14" t="s">
        <v>79</v>
      </c>
      <c r="I440" s="14" t="s">
        <v>134</v>
      </c>
      <c r="J440" s="14" t="s">
        <v>135</v>
      </c>
      <c r="K440" s="14" t="s">
        <v>39</v>
      </c>
      <c r="L440" s="14" t="s">
        <v>136</v>
      </c>
      <c r="M440" s="14">
        <v>5</v>
      </c>
      <c r="N440" s="14">
        <v>945.25</v>
      </c>
      <c r="O440" s="14">
        <v>450</v>
      </c>
      <c r="P440" s="14">
        <v>5</v>
      </c>
      <c r="Q440" s="14" t="s">
        <v>50</v>
      </c>
      <c r="R440" s="14" t="s">
        <v>42</v>
      </c>
      <c r="S440" s="14">
        <v>45306</v>
      </c>
      <c r="T440" s="14">
        <v>4</v>
      </c>
    </row>
    <row r="441" spans="1:20" x14ac:dyDescent="0.3">
      <c r="A441" t="s">
        <v>948</v>
      </c>
      <c r="B441">
        <v>45640</v>
      </c>
      <c r="C441" t="s">
        <v>674</v>
      </c>
      <c r="D441" t="s">
        <v>675</v>
      </c>
      <c r="E441" t="s">
        <v>23</v>
      </c>
      <c r="F441">
        <v>51</v>
      </c>
      <c r="G441" t="s">
        <v>207</v>
      </c>
      <c r="H441" s="14" t="s">
        <v>36</v>
      </c>
      <c r="I441" s="14" t="s">
        <v>222</v>
      </c>
      <c r="J441" s="14" t="s">
        <v>223</v>
      </c>
      <c r="K441" s="14" t="s">
        <v>114</v>
      </c>
      <c r="L441" s="14" t="s">
        <v>115</v>
      </c>
      <c r="M441" s="14">
        <v>5</v>
      </c>
      <c r="N441" s="14">
        <v>3596</v>
      </c>
      <c r="O441" s="14">
        <v>2550</v>
      </c>
      <c r="P441" s="14">
        <v>20</v>
      </c>
      <c r="Q441" s="14" t="s">
        <v>103</v>
      </c>
      <c r="R441" s="14" t="s">
        <v>42</v>
      </c>
      <c r="S441" s="14">
        <v>45651</v>
      </c>
      <c r="T441" s="14">
        <v>5</v>
      </c>
    </row>
    <row r="442" spans="1:20" x14ac:dyDescent="0.3">
      <c r="A442" t="s">
        <v>949</v>
      </c>
      <c r="B442">
        <v>45541</v>
      </c>
      <c r="C442" t="s">
        <v>345</v>
      </c>
      <c r="D442" t="s">
        <v>346</v>
      </c>
      <c r="E442" t="s">
        <v>23</v>
      </c>
      <c r="F442">
        <v>18</v>
      </c>
      <c r="G442" t="s">
        <v>61</v>
      </c>
      <c r="H442" s="14" t="s">
        <v>62</v>
      </c>
      <c r="I442" s="14" t="s">
        <v>107</v>
      </c>
      <c r="J442" s="14" t="s">
        <v>108</v>
      </c>
      <c r="K442" s="14" t="s">
        <v>87</v>
      </c>
      <c r="L442" s="14" t="s">
        <v>88</v>
      </c>
      <c r="M442" s="14">
        <v>4</v>
      </c>
      <c r="N442" s="14">
        <v>3196</v>
      </c>
      <c r="O442" s="14">
        <v>1680</v>
      </c>
      <c r="P442" s="14">
        <v>0</v>
      </c>
      <c r="Q442" s="14" t="s">
        <v>103</v>
      </c>
      <c r="R442" s="14" t="s">
        <v>42</v>
      </c>
      <c r="S442" s="14">
        <v>45547</v>
      </c>
      <c r="T442" s="14">
        <v>3</v>
      </c>
    </row>
    <row r="443" spans="1:20" x14ac:dyDescent="0.3">
      <c r="A443" t="s">
        <v>950</v>
      </c>
      <c r="B443">
        <v>45683</v>
      </c>
      <c r="C443" t="s">
        <v>215</v>
      </c>
      <c r="D443" t="s">
        <v>147</v>
      </c>
      <c r="E443" t="s">
        <v>23</v>
      </c>
      <c r="F443">
        <v>33</v>
      </c>
      <c r="G443" t="s">
        <v>90</v>
      </c>
      <c r="H443" s="14" t="s">
        <v>91</v>
      </c>
      <c r="I443" s="14" t="s">
        <v>183</v>
      </c>
      <c r="J443" s="14" t="s">
        <v>184</v>
      </c>
      <c r="K443" s="14" t="s">
        <v>130</v>
      </c>
      <c r="L443" s="14" t="s">
        <v>185</v>
      </c>
      <c r="M443" s="14">
        <v>4</v>
      </c>
      <c r="N443" s="14">
        <v>11997</v>
      </c>
      <c r="O443" s="14">
        <v>12200</v>
      </c>
      <c r="P443" s="14">
        <v>25</v>
      </c>
      <c r="Q443" s="14" t="s">
        <v>50</v>
      </c>
      <c r="R443" s="14" t="s">
        <v>65</v>
      </c>
    </row>
    <row r="444" spans="1:20" x14ac:dyDescent="0.3">
      <c r="A444" t="s">
        <v>951</v>
      </c>
      <c r="B444">
        <v>45301</v>
      </c>
      <c r="C444" t="s">
        <v>952</v>
      </c>
      <c r="D444" t="s">
        <v>953</v>
      </c>
      <c r="E444" t="s">
        <v>23</v>
      </c>
      <c r="F444">
        <v>36</v>
      </c>
      <c r="G444" t="s">
        <v>90</v>
      </c>
      <c r="H444" s="14" t="s">
        <v>91</v>
      </c>
      <c r="I444" s="14" t="s">
        <v>143</v>
      </c>
      <c r="J444" s="14" t="s">
        <v>144</v>
      </c>
      <c r="K444" s="14" t="s">
        <v>130</v>
      </c>
      <c r="L444" s="14" t="s">
        <v>131</v>
      </c>
      <c r="M444" s="14">
        <v>1</v>
      </c>
      <c r="N444" s="14">
        <v>3849.3</v>
      </c>
      <c r="O444" s="14">
        <v>4300</v>
      </c>
      <c r="P444" s="14">
        <v>30</v>
      </c>
      <c r="Q444" s="14" t="s">
        <v>41</v>
      </c>
      <c r="R444" s="14" t="s">
        <v>42</v>
      </c>
      <c r="S444" s="14">
        <v>45311</v>
      </c>
      <c r="T444" s="14">
        <v>3</v>
      </c>
    </row>
    <row r="445" spans="1:20" x14ac:dyDescent="0.3">
      <c r="A445" t="s">
        <v>954</v>
      </c>
      <c r="B445">
        <v>45779</v>
      </c>
      <c r="C445" t="s">
        <v>278</v>
      </c>
      <c r="D445" t="s">
        <v>139</v>
      </c>
      <c r="E445" t="s">
        <v>77</v>
      </c>
      <c r="F445">
        <v>32</v>
      </c>
      <c r="G445" t="s">
        <v>211</v>
      </c>
      <c r="H445" s="14" t="s">
        <v>127</v>
      </c>
      <c r="I445" s="14" t="s">
        <v>70</v>
      </c>
      <c r="J445" s="14" t="s">
        <v>71</v>
      </c>
      <c r="K445" s="14" t="s">
        <v>28</v>
      </c>
      <c r="L445" s="14" t="s">
        <v>72</v>
      </c>
      <c r="M445" s="14">
        <v>5</v>
      </c>
      <c r="N445" s="14">
        <v>5996</v>
      </c>
      <c r="O445" s="14">
        <v>4600</v>
      </c>
      <c r="P445" s="14">
        <v>20</v>
      </c>
      <c r="Q445" s="14" t="s">
        <v>30</v>
      </c>
      <c r="R445" s="14" t="s">
        <v>31</v>
      </c>
      <c r="S445" s="14">
        <v>45791</v>
      </c>
      <c r="T445" s="14">
        <v>4</v>
      </c>
    </row>
    <row r="446" spans="1:20" x14ac:dyDescent="0.3">
      <c r="A446" t="s">
        <v>955</v>
      </c>
      <c r="B446">
        <v>45802</v>
      </c>
      <c r="C446" t="s">
        <v>220</v>
      </c>
      <c r="D446" t="s">
        <v>221</v>
      </c>
      <c r="E446" t="s">
        <v>23</v>
      </c>
      <c r="F446">
        <v>53</v>
      </c>
      <c r="G446" t="s">
        <v>90</v>
      </c>
      <c r="H446" s="14" t="s">
        <v>91</v>
      </c>
      <c r="I446" s="14" t="s">
        <v>177</v>
      </c>
      <c r="J446" s="14" t="s">
        <v>178</v>
      </c>
      <c r="K446" s="14" t="s">
        <v>87</v>
      </c>
      <c r="L446" s="14" t="s">
        <v>179</v>
      </c>
      <c r="M446" s="14">
        <v>2</v>
      </c>
      <c r="N446" s="14">
        <v>3998.4</v>
      </c>
      <c r="O446" s="14">
        <v>3240</v>
      </c>
      <c r="P446" s="14">
        <v>20</v>
      </c>
      <c r="Q446" s="14" t="s">
        <v>30</v>
      </c>
      <c r="R446" s="14" t="s">
        <v>42</v>
      </c>
      <c r="S446" s="14">
        <v>45807</v>
      </c>
      <c r="T446" s="14">
        <v>4</v>
      </c>
    </row>
    <row r="447" spans="1:20" x14ac:dyDescent="0.3">
      <c r="A447" t="s">
        <v>956</v>
      </c>
      <c r="B447">
        <v>45925</v>
      </c>
      <c r="C447" t="s">
        <v>893</v>
      </c>
      <c r="D447" t="s">
        <v>894</v>
      </c>
      <c r="E447" t="s">
        <v>77</v>
      </c>
      <c r="F447">
        <v>42</v>
      </c>
      <c r="G447" t="s">
        <v>173</v>
      </c>
      <c r="H447" s="14" t="s">
        <v>79</v>
      </c>
      <c r="I447" s="14" t="s">
        <v>229</v>
      </c>
      <c r="J447" s="14" t="s">
        <v>230</v>
      </c>
      <c r="K447" s="14" t="s">
        <v>28</v>
      </c>
      <c r="L447" s="14" t="s">
        <v>231</v>
      </c>
      <c r="M447" s="14">
        <v>1</v>
      </c>
      <c r="N447" s="14">
        <v>1899.05</v>
      </c>
      <c r="O447" s="14">
        <v>1230</v>
      </c>
      <c r="P447" s="14">
        <v>5</v>
      </c>
      <c r="Q447" s="14" t="s">
        <v>103</v>
      </c>
      <c r="R447" s="14" t="s">
        <v>65</v>
      </c>
    </row>
    <row r="448" spans="1:20" x14ac:dyDescent="0.3">
      <c r="A448" t="s">
        <v>957</v>
      </c>
      <c r="B448">
        <v>45298</v>
      </c>
      <c r="C448" t="s">
        <v>133</v>
      </c>
      <c r="D448" t="s">
        <v>857</v>
      </c>
      <c r="E448" t="s">
        <v>77</v>
      </c>
      <c r="F448">
        <v>56</v>
      </c>
      <c r="G448" t="s">
        <v>24</v>
      </c>
      <c r="H448" s="14" t="s">
        <v>25</v>
      </c>
      <c r="I448" s="14" t="s">
        <v>37</v>
      </c>
      <c r="J448" s="14" t="s">
        <v>38</v>
      </c>
      <c r="K448" s="14" t="s">
        <v>39</v>
      </c>
      <c r="L448" s="14" t="s">
        <v>40</v>
      </c>
      <c r="M448" s="14">
        <v>3</v>
      </c>
      <c r="N448" s="14">
        <v>2022.75</v>
      </c>
      <c r="O448" s="14">
        <v>1560</v>
      </c>
      <c r="P448" s="14">
        <v>25</v>
      </c>
      <c r="Q448" s="14" t="s">
        <v>103</v>
      </c>
      <c r="R448" s="14" t="s">
        <v>65</v>
      </c>
    </row>
    <row r="449" spans="1:20" x14ac:dyDescent="0.3">
      <c r="A449" t="s">
        <v>958</v>
      </c>
      <c r="B449">
        <v>45573</v>
      </c>
      <c r="C449" t="s">
        <v>117</v>
      </c>
      <c r="D449" t="s">
        <v>118</v>
      </c>
      <c r="E449" t="s">
        <v>23</v>
      </c>
      <c r="F449">
        <v>56</v>
      </c>
      <c r="G449" t="s">
        <v>78</v>
      </c>
      <c r="H449" s="14" t="s">
        <v>79</v>
      </c>
      <c r="I449" s="14" t="s">
        <v>112</v>
      </c>
      <c r="J449" s="14" t="s">
        <v>113</v>
      </c>
      <c r="K449" s="14" t="s">
        <v>114</v>
      </c>
      <c r="L449" s="14" t="s">
        <v>115</v>
      </c>
      <c r="M449" s="14">
        <v>3</v>
      </c>
      <c r="N449" s="14">
        <v>1467.9</v>
      </c>
      <c r="O449" s="14">
        <v>1110</v>
      </c>
      <c r="P449" s="14">
        <v>30</v>
      </c>
      <c r="Q449" s="14" t="s">
        <v>30</v>
      </c>
      <c r="R449" s="14" t="s">
        <v>57</v>
      </c>
      <c r="S449" s="14">
        <v>45584</v>
      </c>
      <c r="T449" s="14">
        <v>3</v>
      </c>
    </row>
    <row r="450" spans="1:20" x14ac:dyDescent="0.3">
      <c r="A450" t="s">
        <v>959</v>
      </c>
      <c r="B450">
        <v>45347</v>
      </c>
      <c r="C450" t="s">
        <v>360</v>
      </c>
      <c r="D450" t="s">
        <v>960</v>
      </c>
      <c r="E450" t="s">
        <v>77</v>
      </c>
      <c r="F450">
        <v>55</v>
      </c>
      <c r="G450" t="s">
        <v>122</v>
      </c>
      <c r="H450" s="14" t="s">
        <v>123</v>
      </c>
      <c r="I450" s="14" t="s">
        <v>37</v>
      </c>
      <c r="J450" s="14" t="s">
        <v>38</v>
      </c>
      <c r="K450" s="14" t="s">
        <v>39</v>
      </c>
      <c r="L450" s="14" t="s">
        <v>40</v>
      </c>
      <c r="M450" s="14">
        <v>5</v>
      </c>
      <c r="N450" s="14">
        <v>4495</v>
      </c>
      <c r="O450" s="14">
        <v>2600</v>
      </c>
      <c r="P450" s="14">
        <v>0</v>
      </c>
      <c r="Q450" s="14" t="s">
        <v>50</v>
      </c>
      <c r="R450" s="14" t="s">
        <v>42</v>
      </c>
      <c r="S450" s="14">
        <v>45355</v>
      </c>
      <c r="T450" s="14">
        <v>3</v>
      </c>
    </row>
    <row r="451" spans="1:20" x14ac:dyDescent="0.3">
      <c r="A451" t="s">
        <v>961</v>
      </c>
      <c r="B451">
        <v>45760</v>
      </c>
      <c r="C451" t="s">
        <v>962</v>
      </c>
      <c r="D451" t="s">
        <v>963</v>
      </c>
      <c r="E451" t="s">
        <v>77</v>
      </c>
      <c r="F451">
        <v>25</v>
      </c>
      <c r="G451" t="s">
        <v>61</v>
      </c>
      <c r="H451" s="14" t="s">
        <v>62</v>
      </c>
      <c r="I451" s="14" t="s">
        <v>183</v>
      </c>
      <c r="J451" s="14" t="s">
        <v>184</v>
      </c>
      <c r="K451" s="14" t="s">
        <v>130</v>
      </c>
      <c r="L451" s="14" t="s">
        <v>185</v>
      </c>
      <c r="M451" s="14">
        <v>1</v>
      </c>
      <c r="N451" s="14">
        <v>3999</v>
      </c>
      <c r="O451" s="14">
        <v>3050</v>
      </c>
      <c r="P451" s="14">
        <v>0</v>
      </c>
      <c r="Q451" s="14" t="s">
        <v>30</v>
      </c>
      <c r="R451" s="14" t="s">
        <v>42</v>
      </c>
      <c r="S451" s="14">
        <v>45771</v>
      </c>
      <c r="T451" s="14">
        <v>3</v>
      </c>
    </row>
    <row r="452" spans="1:20" x14ac:dyDescent="0.3">
      <c r="A452" t="s">
        <v>964</v>
      </c>
      <c r="B452">
        <v>45625</v>
      </c>
      <c r="C452" t="s">
        <v>263</v>
      </c>
      <c r="D452" t="s">
        <v>264</v>
      </c>
      <c r="E452" t="s">
        <v>77</v>
      </c>
      <c r="F452">
        <v>18</v>
      </c>
      <c r="G452" t="s">
        <v>207</v>
      </c>
      <c r="H452" s="14" t="s">
        <v>36</v>
      </c>
      <c r="I452" s="14" t="s">
        <v>319</v>
      </c>
      <c r="J452" s="14" t="s">
        <v>320</v>
      </c>
      <c r="K452" s="14" t="s">
        <v>28</v>
      </c>
      <c r="L452" s="14" t="s">
        <v>29</v>
      </c>
      <c r="M452" s="14">
        <v>5</v>
      </c>
      <c r="N452" s="14">
        <v>4796</v>
      </c>
      <c r="O452" s="14">
        <v>3550</v>
      </c>
      <c r="P452" s="14">
        <v>20</v>
      </c>
      <c r="Q452" s="14" t="s">
        <v>30</v>
      </c>
      <c r="R452" s="14" t="s">
        <v>42</v>
      </c>
      <c r="S452" s="14">
        <v>45634</v>
      </c>
      <c r="T452" s="14">
        <v>4</v>
      </c>
    </row>
    <row r="453" spans="1:20" x14ac:dyDescent="0.3">
      <c r="A453" t="s">
        <v>965</v>
      </c>
      <c r="B453">
        <v>45666</v>
      </c>
      <c r="C453" t="s">
        <v>889</v>
      </c>
      <c r="D453" t="s">
        <v>890</v>
      </c>
      <c r="E453" t="s">
        <v>23</v>
      </c>
      <c r="F453">
        <v>53</v>
      </c>
      <c r="G453" t="s">
        <v>101</v>
      </c>
      <c r="H453" s="14" t="s">
        <v>102</v>
      </c>
      <c r="I453" s="14" t="s">
        <v>134</v>
      </c>
      <c r="J453" s="14" t="s">
        <v>135</v>
      </c>
      <c r="K453" s="14" t="s">
        <v>39</v>
      </c>
      <c r="L453" s="14" t="s">
        <v>136</v>
      </c>
      <c r="M453" s="14">
        <v>2</v>
      </c>
      <c r="N453" s="14">
        <v>278.60000000000002</v>
      </c>
      <c r="O453" s="14">
        <v>180</v>
      </c>
      <c r="P453" s="14">
        <v>30</v>
      </c>
      <c r="Q453" s="14" t="s">
        <v>41</v>
      </c>
      <c r="R453" s="14" t="s">
        <v>42</v>
      </c>
      <c r="S453" s="14">
        <v>45674</v>
      </c>
      <c r="T453" s="14">
        <v>4</v>
      </c>
    </row>
    <row r="454" spans="1:20" x14ac:dyDescent="0.3">
      <c r="A454" t="s">
        <v>966</v>
      </c>
      <c r="B454">
        <v>45753</v>
      </c>
      <c r="C454" t="s">
        <v>967</v>
      </c>
      <c r="D454" t="s">
        <v>968</v>
      </c>
      <c r="E454" t="s">
        <v>23</v>
      </c>
      <c r="F454">
        <v>29</v>
      </c>
      <c r="G454" t="s">
        <v>173</v>
      </c>
      <c r="H454" s="14" t="s">
        <v>79</v>
      </c>
      <c r="I454" s="14" t="s">
        <v>198</v>
      </c>
      <c r="J454" s="14" t="s">
        <v>199</v>
      </c>
      <c r="K454" s="14" t="s">
        <v>114</v>
      </c>
      <c r="L454" s="14" t="s">
        <v>200</v>
      </c>
      <c r="M454" s="14">
        <v>2</v>
      </c>
      <c r="N454" s="14">
        <v>2468.1</v>
      </c>
      <c r="O454" s="14">
        <v>1520</v>
      </c>
      <c r="P454" s="14">
        <v>5</v>
      </c>
      <c r="Q454" s="14" t="s">
        <v>41</v>
      </c>
      <c r="R454" s="14" t="s">
        <v>57</v>
      </c>
      <c r="S454" s="14">
        <v>45758</v>
      </c>
      <c r="T454" s="14">
        <v>5</v>
      </c>
    </row>
    <row r="455" spans="1:20" x14ac:dyDescent="0.3">
      <c r="A455" t="s">
        <v>969</v>
      </c>
      <c r="B455">
        <v>45682</v>
      </c>
      <c r="C455" t="s">
        <v>970</v>
      </c>
      <c r="D455" t="s">
        <v>385</v>
      </c>
      <c r="E455" t="s">
        <v>23</v>
      </c>
      <c r="F455">
        <v>34</v>
      </c>
      <c r="G455" t="s">
        <v>173</v>
      </c>
      <c r="H455" s="14" t="s">
        <v>79</v>
      </c>
      <c r="I455" s="14" t="s">
        <v>177</v>
      </c>
      <c r="J455" s="14" t="s">
        <v>178</v>
      </c>
      <c r="K455" s="14" t="s">
        <v>87</v>
      </c>
      <c r="L455" s="14" t="s">
        <v>179</v>
      </c>
      <c r="M455" s="14">
        <v>2</v>
      </c>
      <c r="N455" s="14">
        <v>2998.8</v>
      </c>
      <c r="O455" s="14">
        <v>3240</v>
      </c>
      <c r="P455" s="14">
        <v>40</v>
      </c>
      <c r="Q455" s="14" t="s">
        <v>73</v>
      </c>
      <c r="R455" s="14" t="s">
        <v>42</v>
      </c>
      <c r="S455" s="14">
        <v>45690</v>
      </c>
      <c r="T455" s="14">
        <v>5</v>
      </c>
    </row>
    <row r="456" spans="1:20" x14ac:dyDescent="0.3">
      <c r="A456" t="s">
        <v>971</v>
      </c>
      <c r="B456">
        <v>45429</v>
      </c>
      <c r="C456" t="s">
        <v>754</v>
      </c>
      <c r="D456" t="s">
        <v>227</v>
      </c>
      <c r="E456" t="s">
        <v>23</v>
      </c>
      <c r="F456">
        <v>41</v>
      </c>
      <c r="G456" t="s">
        <v>126</v>
      </c>
      <c r="H456" s="14" t="s">
        <v>127</v>
      </c>
      <c r="I456" s="14" t="s">
        <v>37</v>
      </c>
      <c r="J456" s="14" t="s">
        <v>38</v>
      </c>
      <c r="K456" s="14" t="s">
        <v>39</v>
      </c>
      <c r="L456" s="14" t="s">
        <v>40</v>
      </c>
      <c r="M456" s="14">
        <v>3</v>
      </c>
      <c r="N456" s="14">
        <v>2157.6</v>
      </c>
      <c r="O456" s="14">
        <v>1560</v>
      </c>
      <c r="P456" s="14">
        <v>20</v>
      </c>
      <c r="Q456" s="14" t="s">
        <v>50</v>
      </c>
      <c r="R456" s="14" t="s">
        <v>57</v>
      </c>
      <c r="S456" s="14">
        <v>45440</v>
      </c>
      <c r="T456" s="14">
        <v>2</v>
      </c>
    </row>
    <row r="457" spans="1:20" x14ac:dyDescent="0.3">
      <c r="A457" t="s">
        <v>972</v>
      </c>
      <c r="B457">
        <v>45699</v>
      </c>
      <c r="C457" t="s">
        <v>240</v>
      </c>
      <c r="D457" t="s">
        <v>241</v>
      </c>
      <c r="E457" t="s">
        <v>23</v>
      </c>
      <c r="F457">
        <v>25</v>
      </c>
      <c r="G457" t="s">
        <v>78</v>
      </c>
      <c r="H457" s="14" t="s">
        <v>79</v>
      </c>
      <c r="I457" s="14" t="s">
        <v>26</v>
      </c>
      <c r="J457" s="14" t="s">
        <v>27</v>
      </c>
      <c r="K457" s="14" t="s">
        <v>28</v>
      </c>
      <c r="L457" s="14" t="s">
        <v>29</v>
      </c>
      <c r="M457" s="14">
        <v>2</v>
      </c>
      <c r="N457" s="14">
        <v>2078.4</v>
      </c>
      <c r="O457" s="14">
        <v>1580</v>
      </c>
      <c r="P457" s="14">
        <v>20</v>
      </c>
      <c r="Q457" s="14" t="s">
        <v>103</v>
      </c>
      <c r="R457" s="14" t="s">
        <v>57</v>
      </c>
      <c r="S457" s="14">
        <v>45711</v>
      </c>
      <c r="T457" s="14">
        <v>3</v>
      </c>
    </row>
    <row r="458" spans="1:20" x14ac:dyDescent="0.3">
      <c r="A458" t="s">
        <v>973</v>
      </c>
      <c r="B458">
        <v>45752</v>
      </c>
      <c r="C458" t="s">
        <v>786</v>
      </c>
      <c r="D458" t="s">
        <v>227</v>
      </c>
      <c r="E458" t="s">
        <v>23</v>
      </c>
      <c r="F458">
        <v>54</v>
      </c>
      <c r="G458" t="s">
        <v>207</v>
      </c>
      <c r="H458" s="14" t="s">
        <v>36</v>
      </c>
      <c r="I458" s="14" t="s">
        <v>245</v>
      </c>
      <c r="J458" s="14" t="s">
        <v>246</v>
      </c>
      <c r="K458" s="14" t="s">
        <v>130</v>
      </c>
      <c r="L458" s="14" t="s">
        <v>247</v>
      </c>
      <c r="M458" s="14">
        <v>3</v>
      </c>
      <c r="N458" s="14">
        <v>5997.6</v>
      </c>
      <c r="O458" s="14">
        <v>5610</v>
      </c>
      <c r="P458" s="14">
        <v>20</v>
      </c>
      <c r="Q458" s="14" t="s">
        <v>41</v>
      </c>
      <c r="R458" s="14" t="s">
        <v>42</v>
      </c>
      <c r="S458" s="14">
        <v>45760</v>
      </c>
      <c r="T458" s="14">
        <v>3</v>
      </c>
    </row>
    <row r="459" spans="1:20" x14ac:dyDescent="0.3">
      <c r="A459" t="s">
        <v>974</v>
      </c>
      <c r="B459">
        <v>45651</v>
      </c>
      <c r="C459" t="s">
        <v>975</v>
      </c>
      <c r="D459" t="s">
        <v>733</v>
      </c>
      <c r="E459" t="s">
        <v>77</v>
      </c>
      <c r="F459">
        <v>45</v>
      </c>
      <c r="G459" t="s">
        <v>78</v>
      </c>
      <c r="H459" s="14" t="s">
        <v>79</v>
      </c>
      <c r="I459" s="14" t="s">
        <v>143</v>
      </c>
      <c r="J459" s="14" t="s">
        <v>144</v>
      </c>
      <c r="K459" s="14" t="s">
        <v>130</v>
      </c>
      <c r="L459" s="14" t="s">
        <v>131</v>
      </c>
      <c r="M459" s="14">
        <v>3</v>
      </c>
      <c r="N459" s="14">
        <v>12372.75</v>
      </c>
      <c r="O459" s="14">
        <v>12900</v>
      </c>
      <c r="P459" s="14">
        <v>25</v>
      </c>
      <c r="Q459" s="14" t="s">
        <v>50</v>
      </c>
      <c r="R459" s="14" t="s">
        <v>42</v>
      </c>
      <c r="S459" s="14">
        <v>45660</v>
      </c>
      <c r="T459" s="14">
        <v>3</v>
      </c>
    </row>
    <row r="460" spans="1:20" x14ac:dyDescent="0.3">
      <c r="A460" t="s">
        <v>976</v>
      </c>
      <c r="B460">
        <v>45682</v>
      </c>
      <c r="C460" t="s">
        <v>422</v>
      </c>
      <c r="D460" t="s">
        <v>367</v>
      </c>
      <c r="E460" t="s">
        <v>77</v>
      </c>
      <c r="F460">
        <v>41</v>
      </c>
      <c r="G460" t="s">
        <v>61</v>
      </c>
      <c r="H460" s="14" t="s">
        <v>62</v>
      </c>
      <c r="I460" s="14" t="s">
        <v>92</v>
      </c>
      <c r="J460" s="14" t="s">
        <v>93</v>
      </c>
      <c r="K460" s="14" t="s">
        <v>87</v>
      </c>
      <c r="L460" s="14" t="s">
        <v>94</v>
      </c>
      <c r="M460" s="14">
        <v>2</v>
      </c>
      <c r="N460" s="14">
        <v>2878.2</v>
      </c>
      <c r="O460" s="14">
        <v>1860</v>
      </c>
      <c r="P460" s="14">
        <v>10</v>
      </c>
      <c r="Q460" s="14" t="s">
        <v>41</v>
      </c>
      <c r="R460" s="14" t="s">
        <v>42</v>
      </c>
      <c r="S460" s="14">
        <v>45694</v>
      </c>
      <c r="T460" s="14">
        <v>5</v>
      </c>
    </row>
    <row r="461" spans="1:20" x14ac:dyDescent="0.3">
      <c r="A461" t="s">
        <v>977</v>
      </c>
      <c r="B461">
        <v>45365</v>
      </c>
      <c r="C461" t="s">
        <v>978</v>
      </c>
      <c r="D461" t="s">
        <v>341</v>
      </c>
      <c r="E461" t="s">
        <v>23</v>
      </c>
      <c r="F461">
        <v>52</v>
      </c>
      <c r="G461" t="s">
        <v>78</v>
      </c>
      <c r="H461" s="14" t="s">
        <v>79</v>
      </c>
      <c r="I461" s="14" t="s">
        <v>183</v>
      </c>
      <c r="J461" s="14" t="s">
        <v>184</v>
      </c>
      <c r="K461" s="14" t="s">
        <v>130</v>
      </c>
      <c r="L461" s="14" t="s">
        <v>185</v>
      </c>
      <c r="M461" s="14">
        <v>2</v>
      </c>
      <c r="N461" s="14">
        <v>5998.5</v>
      </c>
      <c r="O461" s="14">
        <v>6100</v>
      </c>
      <c r="P461" s="14">
        <v>25</v>
      </c>
      <c r="Q461" s="14" t="s">
        <v>41</v>
      </c>
      <c r="R461" s="14" t="s">
        <v>31</v>
      </c>
      <c r="S461" s="14">
        <v>45371</v>
      </c>
      <c r="T461" s="14">
        <v>4</v>
      </c>
    </row>
    <row r="462" spans="1:20" x14ac:dyDescent="0.3">
      <c r="A462" t="s">
        <v>979</v>
      </c>
      <c r="B462">
        <v>45911</v>
      </c>
      <c r="C462" t="s">
        <v>226</v>
      </c>
      <c r="D462" t="s">
        <v>227</v>
      </c>
      <c r="E462" t="s">
        <v>23</v>
      </c>
      <c r="F462">
        <v>32</v>
      </c>
      <c r="G462" t="s">
        <v>207</v>
      </c>
      <c r="H462" s="14" t="s">
        <v>36</v>
      </c>
      <c r="I462" s="14" t="s">
        <v>63</v>
      </c>
      <c r="J462" s="14" t="s">
        <v>64</v>
      </c>
      <c r="K462" s="14" t="s">
        <v>39</v>
      </c>
      <c r="L462" s="14" t="s">
        <v>40</v>
      </c>
      <c r="M462" s="14">
        <v>3</v>
      </c>
      <c r="N462" s="14">
        <v>1078.2</v>
      </c>
      <c r="O462" s="14">
        <v>990</v>
      </c>
      <c r="P462" s="14">
        <v>40</v>
      </c>
      <c r="Q462" s="14" t="s">
        <v>103</v>
      </c>
      <c r="R462" s="14" t="s">
        <v>42</v>
      </c>
      <c r="S462" s="14">
        <v>45915</v>
      </c>
      <c r="T462" s="14">
        <v>2</v>
      </c>
    </row>
    <row r="463" spans="1:20" x14ac:dyDescent="0.3">
      <c r="A463" t="s">
        <v>980</v>
      </c>
      <c r="B463">
        <v>45420</v>
      </c>
      <c r="C463" t="s">
        <v>752</v>
      </c>
      <c r="D463" t="s">
        <v>250</v>
      </c>
      <c r="E463" t="s">
        <v>23</v>
      </c>
      <c r="F463">
        <v>37</v>
      </c>
      <c r="G463" t="s">
        <v>207</v>
      </c>
      <c r="H463" s="14" t="s">
        <v>36</v>
      </c>
      <c r="I463" s="14" t="s">
        <v>177</v>
      </c>
      <c r="J463" s="14" t="s">
        <v>178</v>
      </c>
      <c r="K463" s="14" t="s">
        <v>87</v>
      </c>
      <c r="L463" s="14" t="s">
        <v>179</v>
      </c>
      <c r="M463" s="14">
        <v>1</v>
      </c>
      <c r="N463" s="14">
        <v>2124.15</v>
      </c>
      <c r="O463" s="14">
        <v>1620</v>
      </c>
      <c r="P463" s="14">
        <v>15</v>
      </c>
      <c r="Q463" s="14" t="s">
        <v>30</v>
      </c>
      <c r="R463" s="14" t="s">
        <v>42</v>
      </c>
      <c r="S463" s="14">
        <v>45423</v>
      </c>
      <c r="T463" s="14">
        <v>3</v>
      </c>
    </row>
    <row r="464" spans="1:20" x14ac:dyDescent="0.3">
      <c r="A464" t="s">
        <v>981</v>
      </c>
      <c r="B464">
        <v>45357</v>
      </c>
      <c r="C464" t="s">
        <v>982</v>
      </c>
      <c r="D464" t="s">
        <v>890</v>
      </c>
      <c r="E464" t="s">
        <v>23</v>
      </c>
      <c r="F464">
        <v>19</v>
      </c>
      <c r="G464" t="s">
        <v>24</v>
      </c>
      <c r="H464" s="14" t="s">
        <v>25</v>
      </c>
      <c r="I464" s="14" t="s">
        <v>80</v>
      </c>
      <c r="J464" s="14" t="s">
        <v>81</v>
      </c>
      <c r="K464" s="14" t="s">
        <v>28</v>
      </c>
      <c r="L464" s="14" t="s">
        <v>29</v>
      </c>
      <c r="M464" s="14">
        <v>4</v>
      </c>
      <c r="N464" s="14">
        <v>3036.2</v>
      </c>
      <c r="O464" s="14">
        <v>1880</v>
      </c>
      <c r="P464" s="14">
        <v>5</v>
      </c>
      <c r="Q464" s="14" t="s">
        <v>73</v>
      </c>
      <c r="R464" s="14" t="s">
        <v>42</v>
      </c>
      <c r="S464" s="14">
        <v>45368</v>
      </c>
      <c r="T464" s="14">
        <v>3</v>
      </c>
    </row>
    <row r="465" spans="1:20" x14ac:dyDescent="0.3">
      <c r="A465" t="s">
        <v>983</v>
      </c>
      <c r="B465">
        <v>45378</v>
      </c>
      <c r="C465" t="s">
        <v>938</v>
      </c>
      <c r="D465" t="s">
        <v>53</v>
      </c>
      <c r="E465" t="s">
        <v>23</v>
      </c>
      <c r="F465">
        <v>42</v>
      </c>
      <c r="G465" t="s">
        <v>35</v>
      </c>
      <c r="H465" s="14" t="s">
        <v>36</v>
      </c>
      <c r="I465" s="14" t="s">
        <v>304</v>
      </c>
      <c r="J465" s="14" t="s">
        <v>305</v>
      </c>
      <c r="K465" s="14" t="s">
        <v>28</v>
      </c>
      <c r="L465" s="14" t="s">
        <v>231</v>
      </c>
      <c r="M465" s="14">
        <v>2</v>
      </c>
      <c r="N465" s="14">
        <v>2878.4</v>
      </c>
      <c r="O465" s="14">
        <v>2160</v>
      </c>
      <c r="P465" s="14">
        <v>20</v>
      </c>
      <c r="Q465" s="14" t="s">
        <v>103</v>
      </c>
      <c r="R465" s="14" t="s">
        <v>31</v>
      </c>
      <c r="S465" s="14">
        <v>45382</v>
      </c>
      <c r="T465" s="14">
        <v>3</v>
      </c>
    </row>
    <row r="466" spans="1:20" x14ac:dyDescent="0.3">
      <c r="A466" t="s">
        <v>984</v>
      </c>
      <c r="B466">
        <v>45831</v>
      </c>
      <c r="C466" t="s">
        <v>736</v>
      </c>
      <c r="D466" t="s">
        <v>737</v>
      </c>
      <c r="E466" t="s">
        <v>77</v>
      </c>
      <c r="F466">
        <v>21</v>
      </c>
      <c r="G466" t="s">
        <v>161</v>
      </c>
      <c r="H466" s="14" t="s">
        <v>25</v>
      </c>
      <c r="I466" s="14" t="s">
        <v>26</v>
      </c>
      <c r="J466" s="14" t="s">
        <v>27</v>
      </c>
      <c r="K466" s="14" t="s">
        <v>28</v>
      </c>
      <c r="L466" s="14" t="s">
        <v>29</v>
      </c>
      <c r="M466" s="14">
        <v>3</v>
      </c>
      <c r="N466" s="14">
        <v>2922.75</v>
      </c>
      <c r="O466" s="14">
        <v>2370</v>
      </c>
      <c r="P466" s="14">
        <v>25</v>
      </c>
      <c r="Q466" s="14" t="s">
        <v>103</v>
      </c>
      <c r="R466" s="14" t="s">
        <v>42</v>
      </c>
      <c r="S466" s="14">
        <v>45841</v>
      </c>
      <c r="T466" s="14">
        <v>4</v>
      </c>
    </row>
    <row r="467" spans="1:20" x14ac:dyDescent="0.3">
      <c r="A467" t="s">
        <v>985</v>
      </c>
      <c r="B467">
        <v>45853</v>
      </c>
      <c r="C467" t="s">
        <v>243</v>
      </c>
      <c r="D467" t="s">
        <v>244</v>
      </c>
      <c r="E467" t="s">
        <v>77</v>
      </c>
      <c r="F467">
        <v>52</v>
      </c>
      <c r="G467" t="s">
        <v>173</v>
      </c>
      <c r="H467" s="14" t="s">
        <v>79</v>
      </c>
      <c r="I467" s="14" t="s">
        <v>85</v>
      </c>
      <c r="J467" s="14" t="s">
        <v>86</v>
      </c>
      <c r="K467" s="14" t="s">
        <v>87</v>
      </c>
      <c r="L467" s="14" t="s">
        <v>88</v>
      </c>
      <c r="M467" s="14">
        <v>5</v>
      </c>
      <c r="N467" s="14">
        <v>6295.5</v>
      </c>
      <c r="O467" s="14">
        <v>3950</v>
      </c>
      <c r="P467" s="14">
        <v>10</v>
      </c>
      <c r="Q467" s="14" t="s">
        <v>50</v>
      </c>
      <c r="R467" s="14" t="s">
        <v>65</v>
      </c>
    </row>
    <row r="468" spans="1:20" x14ac:dyDescent="0.3">
      <c r="A468" t="s">
        <v>986</v>
      </c>
      <c r="B468">
        <v>45759</v>
      </c>
      <c r="C468" t="s">
        <v>574</v>
      </c>
      <c r="D468" t="s">
        <v>442</v>
      </c>
      <c r="E468" t="s">
        <v>77</v>
      </c>
      <c r="F468">
        <v>53</v>
      </c>
      <c r="G468" t="s">
        <v>122</v>
      </c>
      <c r="H468" s="14" t="s">
        <v>123</v>
      </c>
      <c r="I468" s="14" t="s">
        <v>112</v>
      </c>
      <c r="J468" s="14" t="s">
        <v>113</v>
      </c>
      <c r="K468" s="14" t="s">
        <v>114</v>
      </c>
      <c r="L468" s="14" t="s">
        <v>115</v>
      </c>
      <c r="M468" s="14">
        <v>5</v>
      </c>
      <c r="N468" s="14">
        <v>2796</v>
      </c>
      <c r="O468" s="14">
        <v>1850</v>
      </c>
      <c r="P468" s="14">
        <v>20</v>
      </c>
      <c r="Q468" s="14" t="s">
        <v>41</v>
      </c>
      <c r="R468" s="14" t="s">
        <v>42</v>
      </c>
      <c r="S468" s="14">
        <v>45769</v>
      </c>
      <c r="T468" s="14">
        <v>4</v>
      </c>
    </row>
    <row r="469" spans="1:20" x14ac:dyDescent="0.3">
      <c r="A469" t="s">
        <v>987</v>
      </c>
      <c r="B469">
        <v>45383</v>
      </c>
      <c r="C469" t="s">
        <v>138</v>
      </c>
      <c r="D469" t="s">
        <v>139</v>
      </c>
      <c r="E469" t="s">
        <v>77</v>
      </c>
      <c r="F469">
        <v>42</v>
      </c>
      <c r="G469" t="s">
        <v>35</v>
      </c>
      <c r="H469" s="14" t="s">
        <v>36</v>
      </c>
      <c r="I469" s="14" t="s">
        <v>245</v>
      </c>
      <c r="J469" s="14" t="s">
        <v>246</v>
      </c>
      <c r="K469" s="14" t="s">
        <v>130</v>
      </c>
      <c r="L469" s="14" t="s">
        <v>247</v>
      </c>
      <c r="M469" s="14">
        <v>4</v>
      </c>
      <c r="N469" s="14">
        <v>7996.8</v>
      </c>
      <c r="O469" s="14">
        <v>7480</v>
      </c>
      <c r="P469" s="14">
        <v>20</v>
      </c>
      <c r="Q469" s="14" t="s">
        <v>30</v>
      </c>
      <c r="R469" s="14" t="s">
        <v>42</v>
      </c>
      <c r="S469" s="14">
        <v>45385</v>
      </c>
      <c r="T469" s="14">
        <v>2</v>
      </c>
    </row>
    <row r="470" spans="1:20" x14ac:dyDescent="0.3">
      <c r="A470" t="s">
        <v>988</v>
      </c>
      <c r="B470">
        <v>45827</v>
      </c>
      <c r="C470" t="s">
        <v>693</v>
      </c>
      <c r="D470" t="s">
        <v>694</v>
      </c>
      <c r="E470" t="s">
        <v>23</v>
      </c>
      <c r="F470">
        <v>30</v>
      </c>
      <c r="G470" t="s">
        <v>211</v>
      </c>
      <c r="H470" s="14" t="s">
        <v>127</v>
      </c>
      <c r="I470" s="14" t="s">
        <v>143</v>
      </c>
      <c r="J470" s="14" t="s">
        <v>144</v>
      </c>
      <c r="K470" s="14" t="s">
        <v>130</v>
      </c>
      <c r="L470" s="14" t="s">
        <v>131</v>
      </c>
      <c r="M470" s="14">
        <v>4</v>
      </c>
      <c r="N470" s="14">
        <v>21996</v>
      </c>
      <c r="O470" s="14">
        <v>17200</v>
      </c>
      <c r="P470" s="14">
        <v>0</v>
      </c>
      <c r="Q470" s="14" t="s">
        <v>103</v>
      </c>
      <c r="R470" s="14" t="s">
        <v>57</v>
      </c>
      <c r="S470" s="14">
        <v>45836</v>
      </c>
      <c r="T470" s="14">
        <v>4</v>
      </c>
    </row>
    <row r="471" spans="1:20" x14ac:dyDescent="0.3">
      <c r="A471" t="s">
        <v>989</v>
      </c>
      <c r="B471">
        <v>45301</v>
      </c>
      <c r="C471" t="s">
        <v>990</v>
      </c>
      <c r="D471" t="s">
        <v>377</v>
      </c>
      <c r="E471" t="s">
        <v>23</v>
      </c>
      <c r="F471">
        <v>44</v>
      </c>
      <c r="G471" t="s">
        <v>35</v>
      </c>
      <c r="H471" s="14" t="s">
        <v>36</v>
      </c>
      <c r="I471" s="14" t="s">
        <v>155</v>
      </c>
      <c r="J471" s="14" t="s">
        <v>156</v>
      </c>
      <c r="K471" s="14" t="s">
        <v>114</v>
      </c>
      <c r="L471" s="14" t="s">
        <v>157</v>
      </c>
      <c r="M471" s="14">
        <v>2</v>
      </c>
      <c r="N471" s="14">
        <v>1998</v>
      </c>
      <c r="O471" s="14">
        <v>1220</v>
      </c>
      <c r="P471" s="14">
        <v>0</v>
      </c>
      <c r="Q471" s="14" t="s">
        <v>50</v>
      </c>
      <c r="R471" s="14" t="s">
        <v>42</v>
      </c>
      <c r="S471" s="14">
        <v>45306</v>
      </c>
      <c r="T471" s="14">
        <v>5</v>
      </c>
    </row>
    <row r="472" spans="1:20" x14ac:dyDescent="0.3">
      <c r="A472" t="s">
        <v>991</v>
      </c>
      <c r="B472">
        <v>45866</v>
      </c>
      <c r="C472" t="s">
        <v>665</v>
      </c>
      <c r="D472" t="s">
        <v>666</v>
      </c>
      <c r="E472" t="s">
        <v>77</v>
      </c>
      <c r="F472">
        <v>55</v>
      </c>
      <c r="G472" t="s">
        <v>165</v>
      </c>
      <c r="H472" s="14" t="s">
        <v>166</v>
      </c>
      <c r="I472" s="14" t="s">
        <v>304</v>
      </c>
      <c r="J472" s="14" t="s">
        <v>305</v>
      </c>
      <c r="K472" s="14" t="s">
        <v>28</v>
      </c>
      <c r="L472" s="14" t="s">
        <v>231</v>
      </c>
      <c r="M472" s="14">
        <v>2</v>
      </c>
      <c r="N472" s="14">
        <v>2518.6</v>
      </c>
      <c r="O472" s="14">
        <v>2160</v>
      </c>
      <c r="P472" s="14">
        <v>30</v>
      </c>
      <c r="Q472" s="14" t="s">
        <v>103</v>
      </c>
      <c r="R472" s="14" t="s">
        <v>42</v>
      </c>
      <c r="S472" s="14">
        <v>45872</v>
      </c>
      <c r="T472" s="14">
        <v>3</v>
      </c>
    </row>
    <row r="473" spans="1:20" x14ac:dyDescent="0.3">
      <c r="A473" t="s">
        <v>992</v>
      </c>
      <c r="B473">
        <v>45724</v>
      </c>
      <c r="C473" t="s">
        <v>141</v>
      </c>
      <c r="D473" t="s">
        <v>142</v>
      </c>
      <c r="E473" t="s">
        <v>23</v>
      </c>
      <c r="F473">
        <v>57</v>
      </c>
      <c r="G473" t="s">
        <v>207</v>
      </c>
      <c r="H473" s="14" t="s">
        <v>36</v>
      </c>
      <c r="I473" s="14" t="s">
        <v>143</v>
      </c>
      <c r="J473" s="14" t="s">
        <v>144</v>
      </c>
      <c r="K473" s="14" t="s">
        <v>130</v>
      </c>
      <c r="L473" s="14" t="s">
        <v>131</v>
      </c>
      <c r="M473" s="14">
        <v>5</v>
      </c>
      <c r="N473" s="14">
        <v>21996</v>
      </c>
      <c r="O473" s="14">
        <v>21500</v>
      </c>
      <c r="P473" s="14">
        <v>20</v>
      </c>
      <c r="Q473" s="14" t="s">
        <v>103</v>
      </c>
      <c r="R473" s="14" t="s">
        <v>42</v>
      </c>
      <c r="S473" s="14">
        <v>45727</v>
      </c>
      <c r="T473" s="14">
        <v>3</v>
      </c>
    </row>
    <row r="474" spans="1:20" x14ac:dyDescent="0.3">
      <c r="A474" t="s">
        <v>993</v>
      </c>
      <c r="B474">
        <v>45431</v>
      </c>
      <c r="C474" t="s">
        <v>906</v>
      </c>
      <c r="D474" t="s">
        <v>586</v>
      </c>
      <c r="E474" t="s">
        <v>77</v>
      </c>
      <c r="F474">
        <v>20</v>
      </c>
      <c r="G474" t="s">
        <v>69</v>
      </c>
      <c r="H474" s="14" t="s">
        <v>69</v>
      </c>
      <c r="I474" s="14" t="s">
        <v>92</v>
      </c>
      <c r="J474" s="14" t="s">
        <v>93</v>
      </c>
      <c r="K474" s="14" t="s">
        <v>87</v>
      </c>
      <c r="L474" s="14" t="s">
        <v>94</v>
      </c>
      <c r="M474" s="14">
        <v>4</v>
      </c>
      <c r="N474" s="14">
        <v>3837.6</v>
      </c>
      <c r="O474" s="14">
        <v>3720</v>
      </c>
      <c r="P474" s="14">
        <v>40</v>
      </c>
      <c r="Q474" s="14" t="s">
        <v>41</v>
      </c>
      <c r="R474" s="14" t="s">
        <v>31</v>
      </c>
      <c r="S474" s="14">
        <v>45442</v>
      </c>
      <c r="T474" s="14">
        <v>5</v>
      </c>
    </row>
    <row r="475" spans="1:20" x14ac:dyDescent="0.3">
      <c r="A475" t="s">
        <v>994</v>
      </c>
      <c r="B475">
        <v>45484</v>
      </c>
      <c r="C475" t="s">
        <v>269</v>
      </c>
      <c r="D475" t="s">
        <v>270</v>
      </c>
      <c r="E475" t="s">
        <v>77</v>
      </c>
      <c r="F475">
        <v>43</v>
      </c>
      <c r="G475" t="s">
        <v>161</v>
      </c>
      <c r="H475" s="14" t="s">
        <v>25</v>
      </c>
      <c r="I475" s="14" t="s">
        <v>252</v>
      </c>
      <c r="J475" s="14" t="s">
        <v>253</v>
      </c>
      <c r="K475" s="14" t="s">
        <v>28</v>
      </c>
      <c r="L475" s="14" t="s">
        <v>254</v>
      </c>
      <c r="M475" s="14">
        <v>1</v>
      </c>
      <c r="N475" s="14">
        <v>2999</v>
      </c>
      <c r="O475" s="14">
        <v>1900</v>
      </c>
      <c r="P475" s="14">
        <v>0</v>
      </c>
      <c r="Q475" s="14" t="s">
        <v>30</v>
      </c>
      <c r="R475" s="14" t="s">
        <v>42</v>
      </c>
      <c r="S475" s="14">
        <v>45490</v>
      </c>
      <c r="T475" s="14">
        <v>4</v>
      </c>
    </row>
    <row r="476" spans="1:20" x14ac:dyDescent="0.3">
      <c r="A476" t="s">
        <v>995</v>
      </c>
      <c r="B476">
        <v>45420</v>
      </c>
      <c r="C476" t="s">
        <v>996</v>
      </c>
      <c r="D476" t="s">
        <v>997</v>
      </c>
      <c r="E476" t="s">
        <v>23</v>
      </c>
      <c r="F476">
        <v>54</v>
      </c>
      <c r="G476" t="s">
        <v>161</v>
      </c>
      <c r="H476" s="14" t="s">
        <v>25</v>
      </c>
      <c r="I476" s="14" t="s">
        <v>304</v>
      </c>
      <c r="J476" s="14" t="s">
        <v>305</v>
      </c>
      <c r="K476" s="14" t="s">
        <v>28</v>
      </c>
      <c r="L476" s="14" t="s">
        <v>231</v>
      </c>
      <c r="M476" s="14">
        <v>1</v>
      </c>
      <c r="N476" s="14">
        <v>1619.1</v>
      </c>
      <c r="O476" s="14">
        <v>1080</v>
      </c>
      <c r="P476" s="14">
        <v>10</v>
      </c>
      <c r="Q476" s="14" t="s">
        <v>73</v>
      </c>
      <c r="R476" s="14" t="s">
        <v>42</v>
      </c>
      <c r="S476" s="14">
        <v>45425</v>
      </c>
      <c r="T476" s="14">
        <v>4</v>
      </c>
    </row>
    <row r="477" spans="1:20" x14ac:dyDescent="0.3">
      <c r="A477" t="s">
        <v>998</v>
      </c>
      <c r="B477">
        <v>45722</v>
      </c>
      <c r="C477" t="s">
        <v>999</v>
      </c>
      <c r="D477" t="s">
        <v>210</v>
      </c>
      <c r="E477" t="s">
        <v>23</v>
      </c>
      <c r="F477">
        <v>47</v>
      </c>
      <c r="G477" t="s">
        <v>101</v>
      </c>
      <c r="H477" s="14" t="s">
        <v>102</v>
      </c>
      <c r="I477" s="14" t="s">
        <v>245</v>
      </c>
      <c r="J477" s="14" t="s">
        <v>246</v>
      </c>
      <c r="K477" s="14" t="s">
        <v>130</v>
      </c>
      <c r="L477" s="14" t="s">
        <v>247</v>
      </c>
      <c r="M477" s="14">
        <v>4</v>
      </c>
      <c r="N477" s="14">
        <v>9996</v>
      </c>
      <c r="O477" s="14">
        <v>7480</v>
      </c>
      <c r="P477" s="14">
        <v>0</v>
      </c>
      <c r="Q477" s="14" t="s">
        <v>41</v>
      </c>
      <c r="R477" s="14" t="s">
        <v>42</v>
      </c>
      <c r="S477" s="14">
        <v>45726</v>
      </c>
      <c r="T477" s="14">
        <v>2</v>
      </c>
    </row>
    <row r="478" spans="1:20" x14ac:dyDescent="0.3">
      <c r="A478" t="s">
        <v>1000</v>
      </c>
      <c r="B478">
        <v>45564</v>
      </c>
      <c r="C478" t="s">
        <v>1001</v>
      </c>
      <c r="D478" t="s">
        <v>363</v>
      </c>
      <c r="E478" t="s">
        <v>77</v>
      </c>
      <c r="F478">
        <v>33</v>
      </c>
      <c r="G478" t="s">
        <v>46</v>
      </c>
      <c r="H478" s="14" t="s">
        <v>25</v>
      </c>
      <c r="I478" s="14" t="s">
        <v>222</v>
      </c>
      <c r="J478" s="14" t="s">
        <v>223</v>
      </c>
      <c r="K478" s="14" t="s">
        <v>114</v>
      </c>
      <c r="L478" s="14" t="s">
        <v>115</v>
      </c>
      <c r="M478" s="14">
        <v>4</v>
      </c>
      <c r="N478" s="14">
        <v>3236.4</v>
      </c>
      <c r="O478" s="14">
        <v>2040</v>
      </c>
      <c r="P478" s="14">
        <v>10</v>
      </c>
      <c r="Q478" s="14" t="s">
        <v>30</v>
      </c>
      <c r="R478" s="14" t="s">
        <v>57</v>
      </c>
      <c r="S478" s="14">
        <v>45570</v>
      </c>
      <c r="T478" s="14">
        <v>5</v>
      </c>
    </row>
    <row r="479" spans="1:20" x14ac:dyDescent="0.3">
      <c r="A479" t="s">
        <v>1002</v>
      </c>
      <c r="B479">
        <v>45304</v>
      </c>
      <c r="C479" t="s">
        <v>490</v>
      </c>
      <c r="D479" t="s">
        <v>139</v>
      </c>
      <c r="E479" t="s">
        <v>77</v>
      </c>
      <c r="F479">
        <v>33</v>
      </c>
      <c r="G479" t="s">
        <v>90</v>
      </c>
      <c r="H479" s="14" t="s">
        <v>91</v>
      </c>
      <c r="I479" s="14" t="s">
        <v>47</v>
      </c>
      <c r="J479" s="14" t="s">
        <v>48</v>
      </c>
      <c r="K479" s="14" t="s">
        <v>39</v>
      </c>
      <c r="L479" s="14" t="s">
        <v>49</v>
      </c>
      <c r="M479" s="14">
        <v>4</v>
      </c>
      <c r="N479" s="14">
        <v>1356.6</v>
      </c>
      <c r="O479" s="14">
        <v>840</v>
      </c>
      <c r="P479" s="14">
        <v>15</v>
      </c>
      <c r="Q479" s="14" t="s">
        <v>73</v>
      </c>
      <c r="R479" s="14" t="s">
        <v>42</v>
      </c>
      <c r="S479" s="14">
        <v>45313</v>
      </c>
      <c r="T479" s="14">
        <v>3</v>
      </c>
    </row>
    <row r="480" spans="1:20" x14ac:dyDescent="0.3">
      <c r="A480" t="s">
        <v>1003</v>
      </c>
      <c r="B480">
        <v>45825</v>
      </c>
      <c r="C480" t="s">
        <v>1004</v>
      </c>
      <c r="D480" t="s">
        <v>341</v>
      </c>
      <c r="E480" t="s">
        <v>23</v>
      </c>
      <c r="F480">
        <v>21</v>
      </c>
      <c r="G480" t="s">
        <v>101</v>
      </c>
      <c r="H480" s="14" t="s">
        <v>102</v>
      </c>
      <c r="I480" s="14" t="s">
        <v>47</v>
      </c>
      <c r="J480" s="14" t="s">
        <v>48</v>
      </c>
      <c r="K480" s="14" t="s">
        <v>39</v>
      </c>
      <c r="L480" s="14" t="s">
        <v>49</v>
      </c>
      <c r="M480" s="14">
        <v>3</v>
      </c>
      <c r="N480" s="14">
        <v>897.75</v>
      </c>
      <c r="O480" s="14">
        <v>630</v>
      </c>
      <c r="P480" s="14">
        <v>25</v>
      </c>
      <c r="Q480" s="14" t="s">
        <v>30</v>
      </c>
      <c r="R480" s="14" t="s">
        <v>1005</v>
      </c>
      <c r="S480" s="14">
        <v>45827</v>
      </c>
      <c r="T480" s="14">
        <v>3</v>
      </c>
    </row>
    <row r="481" spans="1:20" x14ac:dyDescent="0.3">
      <c r="A481" t="s">
        <v>1006</v>
      </c>
      <c r="B481">
        <v>45551</v>
      </c>
      <c r="C481" t="s">
        <v>1007</v>
      </c>
      <c r="D481" t="s">
        <v>210</v>
      </c>
      <c r="E481" t="s">
        <v>23</v>
      </c>
      <c r="F481">
        <v>19</v>
      </c>
      <c r="G481" t="s">
        <v>35</v>
      </c>
      <c r="H481" s="14" t="s">
        <v>36</v>
      </c>
      <c r="I481" s="14" t="s">
        <v>70</v>
      </c>
      <c r="J481" s="14" t="s">
        <v>71</v>
      </c>
      <c r="K481" s="14" t="s">
        <v>28</v>
      </c>
      <c r="L481" s="14" t="s">
        <v>72</v>
      </c>
      <c r="M481" s="14">
        <v>3</v>
      </c>
      <c r="N481" s="14">
        <v>4497</v>
      </c>
      <c r="O481" s="14">
        <v>2760</v>
      </c>
      <c r="P481" s="14">
        <v>0</v>
      </c>
      <c r="Q481" s="14" t="s">
        <v>30</v>
      </c>
      <c r="R481" s="14" t="s">
        <v>42</v>
      </c>
      <c r="S481" s="14">
        <v>45556</v>
      </c>
      <c r="T481" s="14">
        <v>5</v>
      </c>
    </row>
    <row r="482" spans="1:20" x14ac:dyDescent="0.3">
      <c r="A482" t="s">
        <v>1008</v>
      </c>
      <c r="B482">
        <v>45624</v>
      </c>
      <c r="C482" t="s">
        <v>1009</v>
      </c>
      <c r="D482" t="s">
        <v>1010</v>
      </c>
      <c r="E482" t="s">
        <v>23</v>
      </c>
      <c r="F482">
        <v>53</v>
      </c>
      <c r="G482" t="s">
        <v>78</v>
      </c>
      <c r="H482" s="14" t="s">
        <v>79</v>
      </c>
      <c r="I482" s="14" t="s">
        <v>128</v>
      </c>
      <c r="J482" s="14" t="s">
        <v>129</v>
      </c>
      <c r="K482" s="14" t="s">
        <v>130</v>
      </c>
      <c r="L482" s="14" t="s">
        <v>131</v>
      </c>
      <c r="M482" s="14">
        <v>5</v>
      </c>
      <c r="N482" s="14">
        <v>30870.25</v>
      </c>
      <c r="O482" s="14">
        <v>25500</v>
      </c>
      <c r="P482" s="14">
        <v>5</v>
      </c>
      <c r="Q482" s="14" t="s">
        <v>103</v>
      </c>
      <c r="R482" s="14" t="s">
        <v>57</v>
      </c>
      <c r="S482" s="14">
        <v>45629</v>
      </c>
      <c r="T482" s="14">
        <v>2</v>
      </c>
    </row>
    <row r="483" spans="1:20" x14ac:dyDescent="0.3">
      <c r="A483" t="s">
        <v>1011</v>
      </c>
      <c r="B483">
        <v>45335</v>
      </c>
      <c r="C483" t="s">
        <v>1012</v>
      </c>
      <c r="D483" t="s">
        <v>388</v>
      </c>
      <c r="E483" t="s">
        <v>23</v>
      </c>
      <c r="F483">
        <v>36</v>
      </c>
      <c r="G483" t="s">
        <v>101</v>
      </c>
      <c r="H483" s="14" t="s">
        <v>102</v>
      </c>
      <c r="I483" s="14" t="s">
        <v>85</v>
      </c>
      <c r="J483" s="14" t="s">
        <v>86</v>
      </c>
      <c r="K483" s="14" t="s">
        <v>87</v>
      </c>
      <c r="L483" s="14" t="s">
        <v>88</v>
      </c>
      <c r="M483" s="14">
        <v>5</v>
      </c>
      <c r="N483" s="14">
        <v>6295.5</v>
      </c>
      <c r="O483" s="14">
        <v>3950</v>
      </c>
      <c r="P483" s="14">
        <v>10</v>
      </c>
      <c r="Q483" s="14" t="s">
        <v>41</v>
      </c>
      <c r="R483" s="14" t="s">
        <v>57</v>
      </c>
      <c r="S483" s="14">
        <v>45338</v>
      </c>
      <c r="T483" s="14">
        <v>4</v>
      </c>
    </row>
    <row r="484" spans="1:20" x14ac:dyDescent="0.3">
      <c r="A484" t="s">
        <v>1013</v>
      </c>
      <c r="B484">
        <v>45453</v>
      </c>
      <c r="C484" t="s">
        <v>455</v>
      </c>
      <c r="D484" t="s">
        <v>311</v>
      </c>
      <c r="E484" t="s">
        <v>23</v>
      </c>
      <c r="F484">
        <v>42</v>
      </c>
      <c r="G484" t="s">
        <v>46</v>
      </c>
      <c r="H484" s="14" t="s">
        <v>25</v>
      </c>
      <c r="I484" s="14" t="s">
        <v>107</v>
      </c>
      <c r="J484" s="14" t="s">
        <v>108</v>
      </c>
      <c r="K484" s="14" t="s">
        <v>87</v>
      </c>
      <c r="L484" s="14" t="s">
        <v>88</v>
      </c>
      <c r="M484" s="14">
        <v>5</v>
      </c>
      <c r="N484" s="14">
        <v>2996.25</v>
      </c>
      <c r="O484" s="14">
        <v>2100</v>
      </c>
      <c r="P484" s="14">
        <v>25</v>
      </c>
      <c r="Q484" s="14" t="s">
        <v>73</v>
      </c>
      <c r="R484" s="14" t="s">
        <v>42</v>
      </c>
      <c r="S484" s="14">
        <v>45460</v>
      </c>
      <c r="T484" s="14">
        <v>3</v>
      </c>
    </row>
    <row r="485" spans="1:20" x14ac:dyDescent="0.3">
      <c r="A485" t="s">
        <v>1014</v>
      </c>
      <c r="B485">
        <v>46010</v>
      </c>
      <c r="C485" t="s">
        <v>523</v>
      </c>
      <c r="D485" t="s">
        <v>524</v>
      </c>
      <c r="E485" t="s">
        <v>77</v>
      </c>
      <c r="F485">
        <v>49</v>
      </c>
      <c r="G485" t="s">
        <v>69</v>
      </c>
      <c r="H485" s="14" t="s">
        <v>69</v>
      </c>
      <c r="I485" s="14" t="s">
        <v>252</v>
      </c>
      <c r="J485" s="14" t="s">
        <v>253</v>
      </c>
      <c r="K485" s="14" t="s">
        <v>28</v>
      </c>
      <c r="L485" s="14" t="s">
        <v>254</v>
      </c>
      <c r="M485" s="14">
        <v>4</v>
      </c>
      <c r="N485" s="14">
        <v>10196.6</v>
      </c>
      <c r="O485" s="14">
        <v>7600</v>
      </c>
      <c r="P485" s="14">
        <v>60</v>
      </c>
      <c r="Q485" s="14" t="s">
        <v>41</v>
      </c>
      <c r="R485" s="14" t="s">
        <v>65</v>
      </c>
    </row>
    <row r="486" spans="1:20" x14ac:dyDescent="0.3">
      <c r="A486" t="s">
        <v>1015</v>
      </c>
      <c r="B486">
        <v>45952</v>
      </c>
      <c r="C486" t="s">
        <v>729</v>
      </c>
      <c r="D486" t="s">
        <v>276</v>
      </c>
      <c r="E486" t="s">
        <v>77</v>
      </c>
      <c r="F486">
        <v>25</v>
      </c>
      <c r="G486" t="s">
        <v>61</v>
      </c>
      <c r="H486" s="14" t="s">
        <v>62</v>
      </c>
      <c r="I486" s="14" t="s">
        <v>177</v>
      </c>
      <c r="J486" s="14" t="s">
        <v>178</v>
      </c>
      <c r="K486" s="14" t="s">
        <v>87</v>
      </c>
      <c r="L486" s="14" t="s">
        <v>179</v>
      </c>
      <c r="M486" s="14">
        <v>2</v>
      </c>
      <c r="N486" s="14">
        <v>4998</v>
      </c>
      <c r="O486" s="14">
        <v>3240</v>
      </c>
      <c r="P486" s="14">
        <v>0</v>
      </c>
      <c r="Q486" s="14" t="s">
        <v>103</v>
      </c>
      <c r="R486" s="14" t="s">
        <v>42</v>
      </c>
      <c r="S486" s="14">
        <v>45956</v>
      </c>
      <c r="T486" s="14">
        <v>4</v>
      </c>
    </row>
    <row r="487" spans="1:20" x14ac:dyDescent="0.3">
      <c r="A487" t="s">
        <v>1016</v>
      </c>
      <c r="B487">
        <v>45332</v>
      </c>
      <c r="C487" t="s">
        <v>1017</v>
      </c>
      <c r="D487" t="s">
        <v>1018</v>
      </c>
      <c r="E487" t="s">
        <v>23</v>
      </c>
      <c r="F487">
        <v>25</v>
      </c>
      <c r="G487" t="s">
        <v>61</v>
      </c>
      <c r="H487" s="14" t="s">
        <v>62</v>
      </c>
      <c r="I487" s="14" t="s">
        <v>222</v>
      </c>
      <c r="J487" s="14" t="s">
        <v>223</v>
      </c>
      <c r="K487" s="14" t="s">
        <v>114</v>
      </c>
      <c r="L487" s="14" t="s">
        <v>115</v>
      </c>
      <c r="M487" s="14">
        <v>3</v>
      </c>
      <c r="N487" s="14">
        <v>1618.2</v>
      </c>
      <c r="O487" s="14">
        <v>1530</v>
      </c>
      <c r="P487" s="14">
        <v>40</v>
      </c>
      <c r="Q487" s="14" t="s">
        <v>30</v>
      </c>
      <c r="R487" s="14" t="s">
        <v>65</v>
      </c>
    </row>
    <row r="488" spans="1:20" x14ac:dyDescent="0.3">
      <c r="A488" t="s">
        <v>1019</v>
      </c>
      <c r="B488">
        <v>45483</v>
      </c>
      <c r="C488" t="s">
        <v>401</v>
      </c>
      <c r="D488" t="s">
        <v>402</v>
      </c>
      <c r="E488" t="s">
        <v>23</v>
      </c>
      <c r="F488">
        <v>53</v>
      </c>
      <c r="G488" t="s">
        <v>211</v>
      </c>
      <c r="H488" s="14" t="s">
        <v>127</v>
      </c>
      <c r="I488" s="14" t="s">
        <v>183</v>
      </c>
      <c r="J488" s="14" t="s">
        <v>184</v>
      </c>
      <c r="K488" s="14" t="s">
        <v>130</v>
      </c>
      <c r="L488" s="14" t="s">
        <v>185</v>
      </c>
      <c r="M488" s="14">
        <v>4</v>
      </c>
      <c r="N488" s="14">
        <v>12796.8</v>
      </c>
      <c r="O488" s="14">
        <v>12200</v>
      </c>
      <c r="P488" s="14">
        <v>20</v>
      </c>
      <c r="Q488" s="14" t="s">
        <v>50</v>
      </c>
      <c r="R488" s="14" t="s">
        <v>57</v>
      </c>
      <c r="S488" s="14">
        <v>45493</v>
      </c>
      <c r="T488" s="14">
        <v>3</v>
      </c>
    </row>
    <row r="489" spans="1:20" x14ac:dyDescent="0.3">
      <c r="A489" t="s">
        <v>1020</v>
      </c>
      <c r="B489">
        <v>45362</v>
      </c>
      <c r="C489" t="s">
        <v>272</v>
      </c>
      <c r="D489" t="s">
        <v>273</v>
      </c>
      <c r="E489" t="s">
        <v>23</v>
      </c>
      <c r="F489">
        <v>46</v>
      </c>
      <c r="G489" t="s">
        <v>173</v>
      </c>
      <c r="H489" s="14" t="s">
        <v>79</v>
      </c>
      <c r="I489" s="14" t="s">
        <v>63</v>
      </c>
      <c r="J489" s="14" t="s">
        <v>64</v>
      </c>
      <c r="K489" s="14" t="s">
        <v>39</v>
      </c>
      <c r="L489" s="14" t="s">
        <v>40</v>
      </c>
      <c r="M489" s="14">
        <v>3</v>
      </c>
      <c r="N489" s="14">
        <v>1437.6</v>
      </c>
      <c r="O489" s="14">
        <v>990</v>
      </c>
      <c r="P489" s="14">
        <v>20</v>
      </c>
      <c r="Q489" s="14" t="s">
        <v>50</v>
      </c>
      <c r="R489" s="14" t="s">
        <v>42</v>
      </c>
      <c r="S489" s="14">
        <v>45371</v>
      </c>
      <c r="T489" s="14">
        <v>2</v>
      </c>
    </row>
    <row r="490" spans="1:20" x14ac:dyDescent="0.3">
      <c r="A490" t="s">
        <v>1021</v>
      </c>
      <c r="B490">
        <v>45945</v>
      </c>
      <c r="C490" t="s">
        <v>337</v>
      </c>
      <c r="D490" t="s">
        <v>338</v>
      </c>
      <c r="E490" t="s">
        <v>77</v>
      </c>
      <c r="F490">
        <v>25</v>
      </c>
      <c r="G490" t="s">
        <v>165</v>
      </c>
      <c r="H490" s="14" t="s">
        <v>166</v>
      </c>
      <c r="I490" s="14" t="s">
        <v>177</v>
      </c>
      <c r="J490" s="14" t="s">
        <v>178</v>
      </c>
      <c r="K490" s="14" t="s">
        <v>87</v>
      </c>
      <c r="L490" s="14" t="s">
        <v>179</v>
      </c>
      <c r="M490" s="14">
        <v>2</v>
      </c>
      <c r="N490" s="14">
        <v>4998</v>
      </c>
      <c r="O490" s="14">
        <v>3240</v>
      </c>
      <c r="P490" s="14">
        <v>0</v>
      </c>
      <c r="Q490" s="14" t="s">
        <v>50</v>
      </c>
      <c r="R490" s="14" t="s">
        <v>57</v>
      </c>
      <c r="S490" s="14">
        <v>45952</v>
      </c>
      <c r="T490" s="14">
        <v>4</v>
      </c>
    </row>
    <row r="491" spans="1:20" x14ac:dyDescent="0.3">
      <c r="A491" t="s">
        <v>1022</v>
      </c>
      <c r="B491">
        <v>45620</v>
      </c>
      <c r="C491" t="s">
        <v>671</v>
      </c>
      <c r="D491" t="s">
        <v>60</v>
      </c>
      <c r="E491" t="s">
        <v>23</v>
      </c>
      <c r="F491">
        <v>38</v>
      </c>
      <c r="G491" t="s">
        <v>165</v>
      </c>
      <c r="H491" s="14" t="s">
        <v>166</v>
      </c>
      <c r="I491" s="14" t="s">
        <v>70</v>
      </c>
      <c r="J491" s="14" t="s">
        <v>71</v>
      </c>
      <c r="K491" s="14" t="s">
        <v>28</v>
      </c>
      <c r="L491" s="14" t="s">
        <v>72</v>
      </c>
      <c r="M491" s="14">
        <v>5</v>
      </c>
      <c r="N491" s="14">
        <v>4497</v>
      </c>
      <c r="O491" s="14">
        <v>4600</v>
      </c>
      <c r="P491" s="14">
        <v>40</v>
      </c>
      <c r="Q491" s="14" t="s">
        <v>50</v>
      </c>
      <c r="R491" s="14" t="s">
        <v>42</v>
      </c>
      <c r="S491" s="14">
        <v>45631</v>
      </c>
      <c r="T491" s="14">
        <v>4</v>
      </c>
    </row>
    <row r="492" spans="1:20" x14ac:dyDescent="0.3">
      <c r="A492" t="s">
        <v>1023</v>
      </c>
      <c r="B492">
        <v>45622</v>
      </c>
      <c r="C492" t="s">
        <v>775</v>
      </c>
      <c r="D492" t="s">
        <v>244</v>
      </c>
      <c r="E492" t="s">
        <v>77</v>
      </c>
      <c r="F492">
        <v>46</v>
      </c>
      <c r="G492" t="s">
        <v>126</v>
      </c>
      <c r="H492" s="14" t="s">
        <v>127</v>
      </c>
      <c r="I492" s="14" t="s">
        <v>229</v>
      </c>
      <c r="J492" s="14" t="s">
        <v>230</v>
      </c>
      <c r="K492" s="14" t="s">
        <v>28</v>
      </c>
      <c r="L492" s="14" t="s">
        <v>231</v>
      </c>
      <c r="M492" s="14">
        <v>1</v>
      </c>
      <c r="N492" s="14">
        <v>1899.05</v>
      </c>
      <c r="O492" s="14">
        <v>1230</v>
      </c>
      <c r="P492" s="14">
        <v>5</v>
      </c>
      <c r="Q492" s="14" t="s">
        <v>73</v>
      </c>
      <c r="R492" s="14" t="s">
        <v>57</v>
      </c>
      <c r="S492" s="14">
        <v>45626</v>
      </c>
      <c r="T492" s="14">
        <v>3</v>
      </c>
    </row>
    <row r="493" spans="1:20" x14ac:dyDescent="0.3">
      <c r="A493" t="s">
        <v>1024</v>
      </c>
      <c r="B493">
        <v>45324</v>
      </c>
      <c r="C493" t="s">
        <v>398</v>
      </c>
      <c r="D493" t="s">
        <v>399</v>
      </c>
      <c r="E493" t="s">
        <v>77</v>
      </c>
      <c r="F493">
        <v>49</v>
      </c>
      <c r="G493" t="s">
        <v>69</v>
      </c>
      <c r="H493" s="14" t="s">
        <v>69</v>
      </c>
      <c r="I493" s="14" t="s">
        <v>37</v>
      </c>
      <c r="J493" s="14" t="s">
        <v>38</v>
      </c>
      <c r="K493" s="14" t="s">
        <v>39</v>
      </c>
      <c r="L493" s="14" t="s">
        <v>40</v>
      </c>
      <c r="M493" s="14">
        <v>2</v>
      </c>
      <c r="N493" s="14">
        <v>1708.1</v>
      </c>
      <c r="O493" s="14">
        <v>1040</v>
      </c>
      <c r="P493" s="14">
        <v>5</v>
      </c>
      <c r="Q493" s="14" t="s">
        <v>73</v>
      </c>
      <c r="R493" s="14" t="s">
        <v>65</v>
      </c>
    </row>
    <row r="494" spans="1:20" x14ac:dyDescent="0.3">
      <c r="A494" t="s">
        <v>1025</v>
      </c>
      <c r="B494">
        <v>45949</v>
      </c>
      <c r="C494" t="s">
        <v>711</v>
      </c>
      <c r="D494" t="s">
        <v>712</v>
      </c>
      <c r="E494" t="s">
        <v>77</v>
      </c>
      <c r="F494">
        <v>58</v>
      </c>
      <c r="G494" t="s">
        <v>101</v>
      </c>
      <c r="H494" s="14" t="s">
        <v>102</v>
      </c>
      <c r="I494" s="14" t="s">
        <v>112</v>
      </c>
      <c r="J494" s="14" t="s">
        <v>113</v>
      </c>
      <c r="K494" s="14" t="s">
        <v>114</v>
      </c>
      <c r="L494" s="14" t="s">
        <v>115</v>
      </c>
      <c r="M494" s="14">
        <v>5</v>
      </c>
      <c r="N494" s="14">
        <v>2796</v>
      </c>
      <c r="O494" s="14">
        <v>1850</v>
      </c>
      <c r="P494" s="14">
        <v>20</v>
      </c>
      <c r="Q494" s="14" t="s">
        <v>73</v>
      </c>
      <c r="R494" s="14" t="s">
        <v>42</v>
      </c>
      <c r="S494" s="14">
        <v>45954</v>
      </c>
      <c r="T494" s="14">
        <v>3</v>
      </c>
    </row>
    <row r="495" spans="1:20" x14ac:dyDescent="0.3">
      <c r="A495" t="s">
        <v>1026</v>
      </c>
      <c r="B495">
        <v>45305</v>
      </c>
      <c r="C495" t="s">
        <v>1004</v>
      </c>
      <c r="D495" t="s">
        <v>341</v>
      </c>
      <c r="E495" t="s">
        <v>23</v>
      </c>
      <c r="F495">
        <v>21</v>
      </c>
      <c r="G495" t="s">
        <v>101</v>
      </c>
      <c r="H495" s="14" t="s">
        <v>102</v>
      </c>
      <c r="I495" s="14" t="s">
        <v>54</v>
      </c>
      <c r="J495" s="14" t="s">
        <v>55</v>
      </c>
      <c r="K495" s="14" t="s">
        <v>28</v>
      </c>
      <c r="L495" s="14" t="s">
        <v>56</v>
      </c>
      <c r="M495" s="14">
        <v>4</v>
      </c>
      <c r="N495" s="14">
        <v>2796</v>
      </c>
      <c r="O495" s="14">
        <v>1640</v>
      </c>
      <c r="P495" s="14">
        <v>0</v>
      </c>
      <c r="Q495" s="14" t="s">
        <v>41</v>
      </c>
      <c r="R495" s="14" t="s">
        <v>65</v>
      </c>
    </row>
    <row r="496" spans="1:20" x14ac:dyDescent="0.3">
      <c r="A496" t="s">
        <v>1027</v>
      </c>
      <c r="B496">
        <v>45717</v>
      </c>
      <c r="C496" t="s">
        <v>637</v>
      </c>
      <c r="D496" t="s">
        <v>638</v>
      </c>
      <c r="E496" t="s">
        <v>77</v>
      </c>
      <c r="F496">
        <v>47</v>
      </c>
      <c r="G496" t="s">
        <v>24</v>
      </c>
      <c r="H496" s="14" t="s">
        <v>25</v>
      </c>
      <c r="I496" s="14" t="s">
        <v>155</v>
      </c>
      <c r="J496" s="14" t="s">
        <v>156</v>
      </c>
      <c r="K496" s="14" t="s">
        <v>114</v>
      </c>
      <c r="L496" s="14" t="s">
        <v>157</v>
      </c>
      <c r="M496" s="14">
        <v>3</v>
      </c>
      <c r="N496" s="14">
        <v>2997</v>
      </c>
      <c r="O496" s="14">
        <v>1830</v>
      </c>
      <c r="P496" s="14">
        <v>0</v>
      </c>
      <c r="Q496" s="14" t="s">
        <v>73</v>
      </c>
      <c r="R496" s="14" t="s">
        <v>57</v>
      </c>
      <c r="S496" s="14">
        <v>45723</v>
      </c>
      <c r="T496" s="14">
        <v>3</v>
      </c>
    </row>
    <row r="497" spans="1:20" x14ac:dyDescent="0.3">
      <c r="A497" t="s">
        <v>1028</v>
      </c>
      <c r="B497">
        <v>45513</v>
      </c>
      <c r="C497" t="s">
        <v>420</v>
      </c>
      <c r="D497" t="s">
        <v>76</v>
      </c>
      <c r="E497" t="s">
        <v>77</v>
      </c>
      <c r="F497">
        <v>27</v>
      </c>
      <c r="G497" t="s">
        <v>69</v>
      </c>
      <c r="H497" s="14" t="s">
        <v>69</v>
      </c>
      <c r="I497" s="14" t="s">
        <v>229</v>
      </c>
      <c r="J497" s="14" t="s">
        <v>230</v>
      </c>
      <c r="K497" s="14" t="s">
        <v>28</v>
      </c>
      <c r="L497" s="14" t="s">
        <v>231</v>
      </c>
      <c r="M497" s="14">
        <v>2</v>
      </c>
      <c r="N497" s="14">
        <v>2798.6</v>
      </c>
      <c r="O497" s="14">
        <v>2460</v>
      </c>
      <c r="P497" s="14">
        <v>30</v>
      </c>
      <c r="Q497" s="14" t="s">
        <v>30</v>
      </c>
      <c r="R497" s="14" t="s">
        <v>42</v>
      </c>
      <c r="S497" s="14">
        <v>45523</v>
      </c>
      <c r="T497" s="14">
        <v>4</v>
      </c>
    </row>
    <row r="498" spans="1:20" x14ac:dyDescent="0.3">
      <c r="A498" t="s">
        <v>1029</v>
      </c>
      <c r="B498">
        <v>45875</v>
      </c>
      <c r="C498" t="s">
        <v>1030</v>
      </c>
      <c r="D498" t="s">
        <v>694</v>
      </c>
      <c r="E498" t="s">
        <v>23</v>
      </c>
      <c r="F498">
        <v>46</v>
      </c>
      <c r="G498" t="s">
        <v>122</v>
      </c>
      <c r="H498" s="14" t="s">
        <v>123</v>
      </c>
      <c r="I498" s="14" t="s">
        <v>177</v>
      </c>
      <c r="J498" s="14" t="s">
        <v>178</v>
      </c>
      <c r="K498" s="14" t="s">
        <v>87</v>
      </c>
      <c r="L498" s="14" t="s">
        <v>179</v>
      </c>
      <c r="M498" s="14">
        <v>1</v>
      </c>
      <c r="N498" s="14">
        <v>1874.25</v>
      </c>
      <c r="O498" s="14">
        <v>1620</v>
      </c>
      <c r="P498" s="14">
        <v>25</v>
      </c>
      <c r="Q498" s="14" t="s">
        <v>103</v>
      </c>
      <c r="R498" s="14" t="s">
        <v>31</v>
      </c>
      <c r="S498" s="14">
        <v>45887</v>
      </c>
      <c r="T498" s="14">
        <v>5</v>
      </c>
    </row>
    <row r="499" spans="1:20" x14ac:dyDescent="0.3">
      <c r="A499" t="s">
        <v>1031</v>
      </c>
      <c r="B499">
        <v>45398</v>
      </c>
      <c r="C499" t="s">
        <v>190</v>
      </c>
      <c r="D499" t="s">
        <v>191</v>
      </c>
      <c r="E499" t="s">
        <v>23</v>
      </c>
      <c r="F499">
        <v>45</v>
      </c>
      <c r="G499" t="s">
        <v>78</v>
      </c>
      <c r="H499" s="14" t="s">
        <v>79</v>
      </c>
      <c r="I499" s="14" t="s">
        <v>222</v>
      </c>
      <c r="J499" s="14" t="s">
        <v>223</v>
      </c>
      <c r="K499" s="14" t="s">
        <v>114</v>
      </c>
      <c r="L499" s="14" t="s">
        <v>115</v>
      </c>
      <c r="M499" s="14">
        <v>4</v>
      </c>
      <c r="N499" s="14">
        <v>2697</v>
      </c>
      <c r="O499" s="14">
        <v>2040</v>
      </c>
      <c r="P499" s="14">
        <v>25</v>
      </c>
      <c r="Q499" s="14" t="s">
        <v>30</v>
      </c>
      <c r="R499" s="14" t="s">
        <v>65</v>
      </c>
    </row>
    <row r="500" spans="1:20" x14ac:dyDescent="0.3">
      <c r="A500" t="s">
        <v>1032</v>
      </c>
      <c r="B500">
        <v>45906</v>
      </c>
      <c r="C500" t="s">
        <v>138</v>
      </c>
      <c r="D500" t="s">
        <v>139</v>
      </c>
      <c r="E500" t="s">
        <v>77</v>
      </c>
      <c r="F500">
        <v>42</v>
      </c>
      <c r="G500" t="s">
        <v>211</v>
      </c>
      <c r="H500" s="14" t="s">
        <v>127</v>
      </c>
      <c r="I500" s="14" t="s">
        <v>183</v>
      </c>
      <c r="J500" s="14" t="s">
        <v>184</v>
      </c>
      <c r="K500" s="14" t="s">
        <v>130</v>
      </c>
      <c r="L500" s="14" t="s">
        <v>185</v>
      </c>
      <c r="M500" s="14">
        <v>5</v>
      </c>
      <c r="N500" s="14">
        <v>14996.25</v>
      </c>
      <c r="O500" s="14">
        <v>15250</v>
      </c>
      <c r="P500" s="14">
        <v>25</v>
      </c>
      <c r="Q500" s="14" t="s">
        <v>41</v>
      </c>
      <c r="R500" s="14" t="s">
        <v>42</v>
      </c>
      <c r="S500" s="14">
        <v>45918</v>
      </c>
      <c r="T500" s="14">
        <v>5</v>
      </c>
    </row>
    <row r="501" spans="1:20" x14ac:dyDescent="0.3">
      <c r="A501" t="s">
        <v>1033</v>
      </c>
      <c r="B501">
        <v>45623</v>
      </c>
      <c r="C501" t="s">
        <v>196</v>
      </c>
      <c r="D501" t="s">
        <v>197</v>
      </c>
      <c r="E501" t="s">
        <v>23</v>
      </c>
      <c r="F501">
        <v>22</v>
      </c>
      <c r="G501" t="s">
        <v>154</v>
      </c>
      <c r="H501" s="14" t="s">
        <v>91</v>
      </c>
      <c r="I501" s="14" t="s">
        <v>47</v>
      </c>
      <c r="J501" s="14" t="s">
        <v>48</v>
      </c>
      <c r="K501" s="14" t="s">
        <v>39</v>
      </c>
      <c r="L501" s="14" t="s">
        <v>49</v>
      </c>
      <c r="M501" s="14">
        <v>5</v>
      </c>
      <c r="N501" s="14">
        <v>1596</v>
      </c>
      <c r="O501" s="14">
        <v>1050</v>
      </c>
      <c r="P501" s="14">
        <v>20</v>
      </c>
      <c r="Q501" s="14" t="s">
        <v>41</v>
      </c>
      <c r="R501" s="14" t="s">
        <v>42</v>
      </c>
      <c r="S501" s="14">
        <v>45632</v>
      </c>
      <c r="T501" s="14">
        <v>5</v>
      </c>
    </row>
    <row r="502" spans="1:20" x14ac:dyDescent="0.3">
      <c r="A502" t="s">
        <v>1034</v>
      </c>
      <c r="B502">
        <v>45292</v>
      </c>
      <c r="C502" t="s">
        <v>943</v>
      </c>
      <c r="D502" t="s">
        <v>206</v>
      </c>
      <c r="E502" t="s">
        <v>77</v>
      </c>
      <c r="F502">
        <v>42</v>
      </c>
      <c r="G502" t="s">
        <v>35</v>
      </c>
      <c r="H502" s="14" t="s">
        <v>36</v>
      </c>
      <c r="I502" s="14" t="s">
        <v>155</v>
      </c>
      <c r="J502" s="14" t="s">
        <v>156</v>
      </c>
      <c r="K502" s="14" t="s">
        <v>114</v>
      </c>
      <c r="L502" s="14" t="s">
        <v>157</v>
      </c>
      <c r="M502" s="14">
        <v>1</v>
      </c>
      <c r="N502" s="14">
        <v>899.1</v>
      </c>
      <c r="O502" s="14">
        <v>610</v>
      </c>
      <c r="P502" s="14">
        <v>10</v>
      </c>
      <c r="Q502" s="14" t="s">
        <v>41</v>
      </c>
      <c r="R502" s="14" t="s">
        <v>42</v>
      </c>
      <c r="S502" s="14">
        <v>45298</v>
      </c>
      <c r="T502" s="14">
        <v>4</v>
      </c>
    </row>
    <row r="503" spans="1:20" x14ac:dyDescent="0.3">
      <c r="A503" t="s">
        <v>1035</v>
      </c>
      <c r="B503">
        <v>45511</v>
      </c>
      <c r="C503" t="s">
        <v>1036</v>
      </c>
      <c r="D503" t="s">
        <v>1037</v>
      </c>
      <c r="E503" t="s">
        <v>23</v>
      </c>
      <c r="F503">
        <v>30</v>
      </c>
      <c r="G503" t="s">
        <v>161</v>
      </c>
      <c r="H503" s="14" t="s">
        <v>25</v>
      </c>
      <c r="I503" s="14" t="s">
        <v>85</v>
      </c>
      <c r="J503" s="14" t="s">
        <v>86</v>
      </c>
      <c r="K503" s="14" t="s">
        <v>87</v>
      </c>
      <c r="L503" s="14" t="s">
        <v>88</v>
      </c>
      <c r="M503" s="14">
        <v>3</v>
      </c>
      <c r="N503" s="14">
        <v>3777.3</v>
      </c>
      <c r="O503" s="14">
        <v>2370</v>
      </c>
      <c r="P503" s="14">
        <v>10</v>
      </c>
      <c r="Q503" s="14" t="s">
        <v>73</v>
      </c>
      <c r="R503" s="14" t="s">
        <v>42</v>
      </c>
      <c r="S503" s="14">
        <v>45520</v>
      </c>
      <c r="T503" s="14">
        <v>4</v>
      </c>
    </row>
    <row r="504" spans="1:20" x14ac:dyDescent="0.3">
      <c r="A504" t="s">
        <v>1038</v>
      </c>
      <c r="B504">
        <v>45451</v>
      </c>
      <c r="C504" t="s">
        <v>847</v>
      </c>
      <c r="D504" t="s">
        <v>402</v>
      </c>
      <c r="E504" t="s">
        <v>23</v>
      </c>
      <c r="F504">
        <v>43</v>
      </c>
      <c r="G504" t="s">
        <v>207</v>
      </c>
      <c r="H504" s="14" t="s">
        <v>36</v>
      </c>
      <c r="I504" s="14" t="s">
        <v>245</v>
      </c>
      <c r="J504" s="14" t="s">
        <v>246</v>
      </c>
      <c r="K504" s="14" t="s">
        <v>130</v>
      </c>
      <c r="L504" s="14" t="s">
        <v>247</v>
      </c>
      <c r="M504" s="14">
        <v>5</v>
      </c>
      <c r="N504" s="14">
        <v>10620.75</v>
      </c>
      <c r="O504" s="14">
        <v>9350</v>
      </c>
      <c r="P504" s="14">
        <v>15</v>
      </c>
      <c r="Q504" s="14" t="s">
        <v>30</v>
      </c>
      <c r="R504" s="14" t="s">
        <v>42</v>
      </c>
      <c r="S504" s="14">
        <v>45457</v>
      </c>
      <c r="T504" s="14">
        <v>3</v>
      </c>
    </row>
    <row r="505" spans="1:20" x14ac:dyDescent="0.3">
      <c r="A505" t="s">
        <v>1039</v>
      </c>
      <c r="B505">
        <v>45876</v>
      </c>
      <c r="C505" t="s">
        <v>1040</v>
      </c>
      <c r="D505" t="s">
        <v>315</v>
      </c>
      <c r="E505" t="s">
        <v>77</v>
      </c>
      <c r="F505">
        <v>53</v>
      </c>
      <c r="G505" t="s">
        <v>154</v>
      </c>
      <c r="H505" s="14" t="s">
        <v>91</v>
      </c>
      <c r="I505" s="14" t="s">
        <v>177</v>
      </c>
      <c r="J505" s="14" t="s">
        <v>178</v>
      </c>
      <c r="K505" s="14" t="s">
        <v>87</v>
      </c>
      <c r="L505" s="14" t="s">
        <v>179</v>
      </c>
      <c r="M505" s="14">
        <v>1</v>
      </c>
      <c r="N505" s="14">
        <v>1874.25</v>
      </c>
      <c r="O505" s="14">
        <v>1620</v>
      </c>
      <c r="P505" s="14">
        <v>25</v>
      </c>
      <c r="Q505" s="14" t="s">
        <v>103</v>
      </c>
      <c r="R505" s="14" t="s">
        <v>42</v>
      </c>
      <c r="S505" s="14">
        <v>45885</v>
      </c>
      <c r="T505" s="14">
        <v>3</v>
      </c>
    </row>
    <row r="506" spans="1:20" x14ac:dyDescent="0.3">
      <c r="A506" t="s">
        <v>1041</v>
      </c>
      <c r="B506">
        <v>45901</v>
      </c>
      <c r="C506" t="s">
        <v>1042</v>
      </c>
      <c r="D506" t="s">
        <v>238</v>
      </c>
      <c r="E506" t="s">
        <v>23</v>
      </c>
      <c r="F506">
        <v>33</v>
      </c>
      <c r="G506" t="s">
        <v>24</v>
      </c>
      <c r="H506" s="14" t="s">
        <v>25</v>
      </c>
      <c r="I506" s="14" t="s">
        <v>177</v>
      </c>
      <c r="J506" s="14" t="s">
        <v>178</v>
      </c>
      <c r="K506" s="14" t="s">
        <v>87</v>
      </c>
      <c r="L506" s="14" t="s">
        <v>179</v>
      </c>
      <c r="M506" s="14">
        <v>5</v>
      </c>
      <c r="N506" s="14">
        <v>8746.5</v>
      </c>
      <c r="O506" s="14">
        <v>8100</v>
      </c>
      <c r="P506" s="14">
        <v>30</v>
      </c>
      <c r="Q506" s="14" t="s">
        <v>73</v>
      </c>
      <c r="R506" s="14" t="s">
        <v>57</v>
      </c>
      <c r="S506" s="14">
        <v>45903</v>
      </c>
      <c r="T506" s="14">
        <v>4</v>
      </c>
    </row>
    <row r="507" spans="1:20" x14ac:dyDescent="0.3">
      <c r="A507" t="s">
        <v>1043</v>
      </c>
      <c r="B507">
        <v>45648</v>
      </c>
      <c r="C507" t="s">
        <v>1044</v>
      </c>
      <c r="D507" t="s">
        <v>1045</v>
      </c>
      <c r="E507" t="s">
        <v>77</v>
      </c>
      <c r="F507">
        <v>31</v>
      </c>
      <c r="G507" t="s">
        <v>122</v>
      </c>
      <c r="H507" s="14" t="s">
        <v>123</v>
      </c>
      <c r="I507" s="14" t="s">
        <v>229</v>
      </c>
      <c r="J507" s="14" t="s">
        <v>230</v>
      </c>
      <c r="K507" s="14" t="s">
        <v>28</v>
      </c>
      <c r="L507" s="14" t="s">
        <v>231</v>
      </c>
      <c r="M507" s="14">
        <v>2</v>
      </c>
      <c r="N507" s="14">
        <v>3998</v>
      </c>
      <c r="O507" s="14">
        <v>2460</v>
      </c>
      <c r="P507" s="14">
        <v>0</v>
      </c>
      <c r="Q507" s="14" t="s">
        <v>103</v>
      </c>
      <c r="R507" s="14" t="s">
        <v>42</v>
      </c>
      <c r="S507" s="14">
        <v>45654</v>
      </c>
      <c r="T507" s="14">
        <v>2</v>
      </c>
    </row>
    <row r="508" spans="1:20" x14ac:dyDescent="0.3">
      <c r="A508" t="s">
        <v>1046</v>
      </c>
      <c r="B508">
        <v>45618</v>
      </c>
      <c r="C508" t="s">
        <v>99</v>
      </c>
      <c r="D508" t="s">
        <v>100</v>
      </c>
      <c r="E508" t="s">
        <v>23</v>
      </c>
      <c r="F508">
        <v>34</v>
      </c>
      <c r="G508" t="s">
        <v>173</v>
      </c>
      <c r="H508" s="14" t="s">
        <v>79</v>
      </c>
      <c r="I508" s="14" t="s">
        <v>183</v>
      </c>
      <c r="J508" s="14" t="s">
        <v>184</v>
      </c>
      <c r="K508" s="14" t="s">
        <v>130</v>
      </c>
      <c r="L508" s="14" t="s">
        <v>185</v>
      </c>
      <c r="M508" s="14">
        <v>5</v>
      </c>
      <c r="N508" s="14">
        <v>16995.75</v>
      </c>
      <c r="O508" s="14">
        <v>15250</v>
      </c>
      <c r="P508" s="14">
        <v>15</v>
      </c>
      <c r="Q508" s="14" t="s">
        <v>30</v>
      </c>
      <c r="R508" s="14" t="s">
        <v>42</v>
      </c>
      <c r="S508" s="14">
        <v>45630</v>
      </c>
      <c r="T508" s="14">
        <v>5</v>
      </c>
    </row>
    <row r="509" spans="1:20" x14ac:dyDescent="0.3">
      <c r="A509" t="s">
        <v>1047</v>
      </c>
      <c r="B509">
        <v>45748</v>
      </c>
      <c r="C509" t="s">
        <v>930</v>
      </c>
      <c r="D509" t="s">
        <v>556</v>
      </c>
      <c r="E509" t="s">
        <v>23</v>
      </c>
      <c r="F509">
        <v>48</v>
      </c>
      <c r="G509" t="s">
        <v>46</v>
      </c>
      <c r="H509" s="14" t="s">
        <v>25</v>
      </c>
      <c r="I509" s="14" t="s">
        <v>304</v>
      </c>
      <c r="J509" s="14" t="s">
        <v>305</v>
      </c>
      <c r="K509" s="14" t="s">
        <v>28</v>
      </c>
      <c r="L509" s="14" t="s">
        <v>231</v>
      </c>
      <c r="M509" s="14">
        <v>4</v>
      </c>
      <c r="N509" s="14">
        <v>5756.8</v>
      </c>
      <c r="O509" s="14">
        <v>4320</v>
      </c>
      <c r="P509" s="14">
        <v>20</v>
      </c>
      <c r="Q509" s="14" t="s">
        <v>103</v>
      </c>
      <c r="R509" s="14" t="s">
        <v>42</v>
      </c>
      <c r="S509" s="14">
        <v>45752</v>
      </c>
      <c r="T509" s="14">
        <v>4</v>
      </c>
    </row>
    <row r="510" spans="1:20" x14ac:dyDescent="0.3">
      <c r="A510" t="s">
        <v>1048</v>
      </c>
      <c r="B510">
        <v>45376</v>
      </c>
      <c r="C510" t="s">
        <v>340</v>
      </c>
      <c r="D510" t="s">
        <v>341</v>
      </c>
      <c r="E510" t="s">
        <v>23</v>
      </c>
      <c r="F510">
        <v>21</v>
      </c>
      <c r="G510" t="s">
        <v>24</v>
      </c>
      <c r="H510" s="14" t="s">
        <v>25</v>
      </c>
      <c r="I510" s="14" t="s">
        <v>222</v>
      </c>
      <c r="J510" s="14" t="s">
        <v>223</v>
      </c>
      <c r="K510" s="14" t="s">
        <v>114</v>
      </c>
      <c r="L510" s="14" t="s">
        <v>115</v>
      </c>
      <c r="M510" s="14">
        <v>4</v>
      </c>
      <c r="N510" s="14">
        <v>2876.8</v>
      </c>
      <c r="O510" s="14">
        <v>2040</v>
      </c>
      <c r="P510" s="14">
        <v>20</v>
      </c>
      <c r="Q510" s="14" t="s">
        <v>73</v>
      </c>
      <c r="R510" s="14" t="s">
        <v>42</v>
      </c>
      <c r="S510" s="14">
        <v>45386</v>
      </c>
      <c r="T510" s="14">
        <v>5</v>
      </c>
    </row>
    <row r="511" spans="1:20" x14ac:dyDescent="0.3">
      <c r="A511" t="s">
        <v>1049</v>
      </c>
      <c r="B511">
        <v>46006</v>
      </c>
      <c r="C511" t="s">
        <v>700</v>
      </c>
      <c r="D511" t="s">
        <v>250</v>
      </c>
      <c r="E511" t="s">
        <v>23</v>
      </c>
      <c r="F511">
        <v>48</v>
      </c>
      <c r="G511" t="s">
        <v>173</v>
      </c>
      <c r="H511" s="14" t="s">
        <v>79</v>
      </c>
      <c r="I511" s="14" t="s">
        <v>37</v>
      </c>
      <c r="J511" s="14" t="s">
        <v>38</v>
      </c>
      <c r="K511" s="14" t="s">
        <v>39</v>
      </c>
      <c r="L511" s="14" t="s">
        <v>40</v>
      </c>
      <c r="M511" s="14">
        <v>5</v>
      </c>
      <c r="N511" s="14">
        <v>3820.75</v>
      </c>
      <c r="O511" s="14">
        <v>2600</v>
      </c>
      <c r="P511" s="14">
        <v>15</v>
      </c>
      <c r="Q511" s="14" t="s">
        <v>103</v>
      </c>
      <c r="R511" s="14" t="s">
        <v>42</v>
      </c>
      <c r="S511" s="14">
        <v>46018</v>
      </c>
      <c r="T511" s="14">
        <v>4</v>
      </c>
    </row>
    <row r="512" spans="1:20" x14ac:dyDescent="0.3">
      <c r="A512" t="s">
        <v>1050</v>
      </c>
      <c r="B512">
        <v>45866</v>
      </c>
      <c r="C512" t="s">
        <v>1051</v>
      </c>
      <c r="D512" t="s">
        <v>1052</v>
      </c>
      <c r="E512" t="s">
        <v>77</v>
      </c>
      <c r="F512">
        <v>47</v>
      </c>
      <c r="H512" s="14" t="s">
        <v>91</v>
      </c>
      <c r="I512" s="14" t="s">
        <v>304</v>
      </c>
      <c r="J512" s="14" t="s">
        <v>305</v>
      </c>
      <c r="K512" s="14" t="s">
        <v>28</v>
      </c>
      <c r="L512" s="14" t="s">
        <v>231</v>
      </c>
      <c r="M512" s="14">
        <v>1</v>
      </c>
      <c r="N512" s="14">
        <v>1439.2</v>
      </c>
      <c r="O512" s="14">
        <v>1080</v>
      </c>
      <c r="P512" s="14">
        <v>20</v>
      </c>
      <c r="Q512" s="14" t="s">
        <v>103</v>
      </c>
      <c r="R512" s="14" t="s">
        <v>42</v>
      </c>
      <c r="S512" s="14">
        <v>45878</v>
      </c>
      <c r="T512" s="14">
        <v>3</v>
      </c>
    </row>
    <row r="513" spans="1:20" x14ac:dyDescent="0.3">
      <c r="A513" t="s">
        <v>1053</v>
      </c>
      <c r="B513">
        <v>45407</v>
      </c>
      <c r="C513" t="s">
        <v>732</v>
      </c>
      <c r="D513" t="s">
        <v>733</v>
      </c>
      <c r="E513" t="s">
        <v>77</v>
      </c>
      <c r="F513">
        <v>33</v>
      </c>
      <c r="G513" t="s">
        <v>122</v>
      </c>
      <c r="H513" s="14" t="s">
        <v>123</v>
      </c>
      <c r="I513" s="14" t="s">
        <v>245</v>
      </c>
      <c r="J513" s="14" t="s">
        <v>246</v>
      </c>
      <c r="K513" s="14" t="s">
        <v>130</v>
      </c>
      <c r="L513" s="14" t="s">
        <v>247</v>
      </c>
      <c r="M513" s="14">
        <v>3</v>
      </c>
      <c r="N513" s="14">
        <v>6372.45</v>
      </c>
      <c r="O513" s="14">
        <v>5610</v>
      </c>
      <c r="P513" s="14">
        <v>15</v>
      </c>
      <c r="Q513" s="14" t="s">
        <v>41</v>
      </c>
      <c r="R513" s="14" t="s">
        <v>42</v>
      </c>
      <c r="S513" s="14">
        <v>45418</v>
      </c>
      <c r="T513" s="14">
        <v>2</v>
      </c>
    </row>
    <row r="514" spans="1:20" x14ac:dyDescent="0.3">
      <c r="A514" t="s">
        <v>1054</v>
      </c>
      <c r="B514">
        <v>45604</v>
      </c>
      <c r="C514" t="s">
        <v>441</v>
      </c>
      <c r="D514" t="s">
        <v>442</v>
      </c>
      <c r="E514" t="s">
        <v>77</v>
      </c>
      <c r="F514">
        <v>44</v>
      </c>
      <c r="G514" t="s">
        <v>211</v>
      </c>
      <c r="H514" s="14" t="s">
        <v>127</v>
      </c>
      <c r="I514" s="14" t="s">
        <v>155</v>
      </c>
      <c r="J514" s="14" t="s">
        <v>156</v>
      </c>
      <c r="K514" s="14" t="s">
        <v>114</v>
      </c>
      <c r="L514" s="14" t="s">
        <v>157</v>
      </c>
      <c r="M514" s="14">
        <v>4</v>
      </c>
      <c r="N514" s="14">
        <v>3596.4</v>
      </c>
      <c r="O514" s="14">
        <v>2440</v>
      </c>
      <c r="P514" s="14">
        <v>10</v>
      </c>
      <c r="Q514" s="14" t="s">
        <v>103</v>
      </c>
      <c r="R514" s="14" t="s">
        <v>42</v>
      </c>
      <c r="S514" s="14">
        <v>45609</v>
      </c>
      <c r="T514" s="14">
        <v>4</v>
      </c>
    </row>
    <row r="515" spans="1:20" x14ac:dyDescent="0.3">
      <c r="A515" t="s">
        <v>1055</v>
      </c>
      <c r="B515">
        <v>45993</v>
      </c>
      <c r="C515" t="s">
        <v>520</v>
      </c>
      <c r="D515" t="s">
        <v>506</v>
      </c>
      <c r="E515" t="s">
        <v>77</v>
      </c>
      <c r="F515">
        <v>36</v>
      </c>
      <c r="G515" t="s">
        <v>173</v>
      </c>
      <c r="H515" s="14" t="s">
        <v>79</v>
      </c>
      <c r="I515" s="14" t="s">
        <v>177</v>
      </c>
      <c r="J515" s="14" t="s">
        <v>178</v>
      </c>
      <c r="K515" s="14" t="s">
        <v>87</v>
      </c>
      <c r="L515" s="14" t="s">
        <v>179</v>
      </c>
      <c r="M515" s="14">
        <v>1</v>
      </c>
      <c r="N515" s="14">
        <v>2374.0500000000002</v>
      </c>
      <c r="O515" s="14">
        <v>1620</v>
      </c>
      <c r="P515" s="14">
        <v>5</v>
      </c>
      <c r="Q515" s="14" t="s">
        <v>73</v>
      </c>
      <c r="R515" s="14" t="s">
        <v>42</v>
      </c>
      <c r="S515" s="14">
        <v>46004</v>
      </c>
      <c r="T515" s="14">
        <v>3</v>
      </c>
    </row>
    <row r="516" spans="1:20" x14ac:dyDescent="0.3">
      <c r="A516" t="s">
        <v>1056</v>
      </c>
      <c r="B516">
        <v>45586</v>
      </c>
      <c r="C516" t="s">
        <v>1009</v>
      </c>
      <c r="D516" t="s">
        <v>1010</v>
      </c>
      <c r="E516" t="s">
        <v>23</v>
      </c>
      <c r="F516">
        <v>53</v>
      </c>
      <c r="G516" t="s">
        <v>126</v>
      </c>
      <c r="H516" s="14" t="s">
        <v>127</v>
      </c>
      <c r="I516" s="14" t="s">
        <v>85</v>
      </c>
      <c r="J516" s="14" t="s">
        <v>86</v>
      </c>
      <c r="K516" s="14" t="s">
        <v>87</v>
      </c>
      <c r="L516" s="14" t="s">
        <v>88</v>
      </c>
      <c r="M516" s="14">
        <v>1</v>
      </c>
      <c r="N516" s="14">
        <v>1119.2</v>
      </c>
      <c r="O516" s="14">
        <v>790</v>
      </c>
      <c r="P516" s="14">
        <v>20</v>
      </c>
      <c r="Q516" s="14" t="s">
        <v>103</v>
      </c>
      <c r="R516" s="14" t="s">
        <v>42</v>
      </c>
      <c r="S516" s="14">
        <v>45588</v>
      </c>
      <c r="T516" s="14">
        <v>4</v>
      </c>
    </row>
    <row r="517" spans="1:20" x14ac:dyDescent="0.3">
      <c r="A517" t="s">
        <v>1057</v>
      </c>
      <c r="B517">
        <v>45506</v>
      </c>
      <c r="C517" t="s">
        <v>886</v>
      </c>
      <c r="D517" t="s">
        <v>887</v>
      </c>
      <c r="E517" t="s">
        <v>77</v>
      </c>
      <c r="F517">
        <v>49</v>
      </c>
      <c r="G517" t="s">
        <v>154</v>
      </c>
      <c r="H517" s="14" t="s">
        <v>91</v>
      </c>
      <c r="I517" s="14" t="s">
        <v>70</v>
      </c>
      <c r="J517" s="14" t="s">
        <v>71</v>
      </c>
      <c r="K517" s="14" t="s">
        <v>28</v>
      </c>
      <c r="L517" s="14" t="s">
        <v>72</v>
      </c>
      <c r="M517" s="14">
        <v>5</v>
      </c>
      <c r="N517" s="14">
        <v>5996</v>
      </c>
      <c r="O517" s="14">
        <v>4600</v>
      </c>
      <c r="P517" s="14">
        <v>20</v>
      </c>
      <c r="Q517" s="14" t="s">
        <v>50</v>
      </c>
      <c r="R517" s="14" t="s">
        <v>42</v>
      </c>
      <c r="S517" s="14">
        <v>45517</v>
      </c>
      <c r="T517" s="14">
        <v>3</v>
      </c>
    </row>
    <row r="518" spans="1:20" x14ac:dyDescent="0.3">
      <c r="A518" t="s">
        <v>1058</v>
      </c>
      <c r="B518">
        <v>46003</v>
      </c>
      <c r="C518" t="s">
        <v>805</v>
      </c>
      <c r="D518" t="s">
        <v>806</v>
      </c>
      <c r="E518" t="s">
        <v>77</v>
      </c>
      <c r="F518">
        <v>46</v>
      </c>
      <c r="G518" t="s">
        <v>165</v>
      </c>
      <c r="H518" s="14" t="s">
        <v>166</v>
      </c>
      <c r="I518" s="14" t="s">
        <v>198</v>
      </c>
      <c r="J518" s="14" t="s">
        <v>199</v>
      </c>
      <c r="K518" s="14" t="s">
        <v>114</v>
      </c>
      <c r="L518" s="14" t="s">
        <v>200</v>
      </c>
      <c r="M518" s="14">
        <v>5</v>
      </c>
      <c r="N518" s="14">
        <v>6495</v>
      </c>
      <c r="O518" s="14">
        <v>3800</v>
      </c>
      <c r="P518" s="14">
        <v>0</v>
      </c>
      <c r="Q518" s="14" t="s">
        <v>41</v>
      </c>
      <c r="R518" s="14" t="s">
        <v>42</v>
      </c>
      <c r="S518" s="14">
        <v>46005</v>
      </c>
      <c r="T518" s="14">
        <v>4</v>
      </c>
    </row>
    <row r="519" spans="1:20" x14ac:dyDescent="0.3">
      <c r="A519" t="s">
        <v>1059</v>
      </c>
      <c r="B519">
        <v>45497</v>
      </c>
      <c r="C519" t="s">
        <v>1060</v>
      </c>
      <c r="D519" t="s">
        <v>625</v>
      </c>
      <c r="E519" t="s">
        <v>77</v>
      </c>
      <c r="F519">
        <v>23</v>
      </c>
      <c r="G519" t="s">
        <v>24</v>
      </c>
      <c r="H519" s="14" t="s">
        <v>25</v>
      </c>
      <c r="I519" s="14" t="s">
        <v>63</v>
      </c>
      <c r="J519" s="14" t="s">
        <v>64</v>
      </c>
      <c r="K519" s="14" t="s">
        <v>39</v>
      </c>
      <c r="L519" s="14" t="s">
        <v>40</v>
      </c>
      <c r="M519" s="14">
        <v>1</v>
      </c>
      <c r="N519" s="14">
        <v>569.04999999999995</v>
      </c>
      <c r="O519" s="14">
        <v>330</v>
      </c>
      <c r="P519" s="14">
        <v>5</v>
      </c>
      <c r="Q519" s="14" t="s">
        <v>103</v>
      </c>
      <c r="R519" s="14" t="s">
        <v>31</v>
      </c>
      <c r="S519" s="14">
        <v>45503</v>
      </c>
      <c r="T519" s="14">
        <v>4</v>
      </c>
    </row>
    <row r="520" spans="1:20" x14ac:dyDescent="0.3">
      <c r="A520" t="s">
        <v>1061</v>
      </c>
      <c r="B520">
        <v>45402</v>
      </c>
      <c r="C520" t="s">
        <v>805</v>
      </c>
      <c r="D520" t="s">
        <v>806</v>
      </c>
      <c r="E520" t="s">
        <v>77</v>
      </c>
      <c r="F520">
        <v>46</v>
      </c>
      <c r="G520" t="s">
        <v>35</v>
      </c>
      <c r="H520" s="14" t="s">
        <v>36</v>
      </c>
      <c r="I520" s="14" t="s">
        <v>92</v>
      </c>
      <c r="J520" s="14" t="s">
        <v>93</v>
      </c>
      <c r="K520" s="14" t="s">
        <v>87</v>
      </c>
      <c r="L520" s="14" t="s">
        <v>94</v>
      </c>
      <c r="M520" s="14">
        <v>4</v>
      </c>
      <c r="N520" s="14">
        <v>5436.6</v>
      </c>
      <c r="O520" s="14">
        <v>3720</v>
      </c>
      <c r="P520" s="14">
        <v>15</v>
      </c>
      <c r="Q520" s="14" t="s">
        <v>103</v>
      </c>
      <c r="R520" s="14" t="s">
        <v>65</v>
      </c>
    </row>
    <row r="521" spans="1:20" x14ac:dyDescent="0.3">
      <c r="A521" t="s">
        <v>1062</v>
      </c>
      <c r="B521">
        <v>46018</v>
      </c>
      <c r="C521" t="s">
        <v>240</v>
      </c>
      <c r="D521" t="s">
        <v>241</v>
      </c>
      <c r="E521" t="s">
        <v>23</v>
      </c>
      <c r="F521">
        <v>25</v>
      </c>
      <c r="G521" t="s">
        <v>126</v>
      </c>
      <c r="H521" s="14" t="s">
        <v>127</v>
      </c>
      <c r="I521" s="14" t="s">
        <v>37</v>
      </c>
      <c r="J521" s="14" t="s">
        <v>38</v>
      </c>
      <c r="K521" s="14" t="s">
        <v>39</v>
      </c>
      <c r="L521" s="14" t="s">
        <v>40</v>
      </c>
      <c r="M521" s="14">
        <v>5</v>
      </c>
      <c r="N521" s="14">
        <v>4270.25</v>
      </c>
      <c r="O521" s="14">
        <v>2600</v>
      </c>
      <c r="P521" s="14">
        <v>5</v>
      </c>
      <c r="Q521" s="14" t="s">
        <v>30</v>
      </c>
      <c r="R521" s="14" t="s">
        <v>42</v>
      </c>
      <c r="S521" s="14">
        <v>46028</v>
      </c>
      <c r="T521" s="14">
        <v>5</v>
      </c>
    </row>
    <row r="522" spans="1:20" x14ac:dyDescent="0.3">
      <c r="A522" t="s">
        <v>1063</v>
      </c>
      <c r="B522">
        <v>45866</v>
      </c>
      <c r="C522" t="s">
        <v>1064</v>
      </c>
      <c r="D522" t="s">
        <v>182</v>
      </c>
      <c r="E522" t="s">
        <v>23</v>
      </c>
      <c r="F522">
        <v>45</v>
      </c>
      <c r="G522" t="s">
        <v>24</v>
      </c>
      <c r="H522" s="14" t="s">
        <v>25</v>
      </c>
      <c r="I522" s="14" t="s">
        <v>304</v>
      </c>
      <c r="J522" s="14" t="s">
        <v>305</v>
      </c>
      <c r="K522" s="14" t="s">
        <v>28</v>
      </c>
      <c r="L522" s="14" t="s">
        <v>231</v>
      </c>
      <c r="M522" s="14">
        <v>5</v>
      </c>
      <c r="N522" s="14">
        <v>7196</v>
      </c>
      <c r="O522" s="14">
        <v>5400</v>
      </c>
      <c r="P522" s="14">
        <v>20</v>
      </c>
      <c r="Q522" s="14" t="s">
        <v>41</v>
      </c>
      <c r="R522" s="14" t="s">
        <v>42</v>
      </c>
      <c r="S522" s="14">
        <v>45874</v>
      </c>
      <c r="T522" s="14">
        <v>3</v>
      </c>
    </row>
    <row r="523" spans="1:20" x14ac:dyDescent="0.3">
      <c r="A523" t="s">
        <v>1065</v>
      </c>
      <c r="B523">
        <v>45310</v>
      </c>
      <c r="C523" t="s">
        <v>729</v>
      </c>
      <c r="D523" t="s">
        <v>276</v>
      </c>
      <c r="E523" t="s">
        <v>77</v>
      </c>
      <c r="F523">
        <v>25</v>
      </c>
      <c r="G523" t="s">
        <v>211</v>
      </c>
      <c r="H523" s="14" t="s">
        <v>127</v>
      </c>
      <c r="I523" s="14" t="s">
        <v>245</v>
      </c>
      <c r="J523" s="14" t="s">
        <v>246</v>
      </c>
      <c r="K523" s="14" t="s">
        <v>130</v>
      </c>
      <c r="L523" s="14" t="s">
        <v>247</v>
      </c>
      <c r="M523" s="14">
        <v>3</v>
      </c>
      <c r="N523" s="14">
        <v>6372.45</v>
      </c>
      <c r="O523" s="14">
        <v>5610</v>
      </c>
      <c r="P523" s="14">
        <v>15</v>
      </c>
      <c r="Q523" s="14" t="s">
        <v>50</v>
      </c>
      <c r="R523" s="14" t="s">
        <v>42</v>
      </c>
      <c r="S523" s="14">
        <v>45312</v>
      </c>
      <c r="T523" s="14">
        <v>4</v>
      </c>
    </row>
    <row r="524" spans="1:20" x14ac:dyDescent="0.3">
      <c r="A524" t="s">
        <v>1066</v>
      </c>
      <c r="B524">
        <v>45688</v>
      </c>
      <c r="C524" t="s">
        <v>266</v>
      </c>
      <c r="D524" t="s">
        <v>267</v>
      </c>
      <c r="E524" t="s">
        <v>77</v>
      </c>
      <c r="F524">
        <v>56</v>
      </c>
      <c r="G524" t="s">
        <v>207</v>
      </c>
      <c r="H524" s="14" t="s">
        <v>36</v>
      </c>
      <c r="I524" s="14" t="s">
        <v>304</v>
      </c>
      <c r="J524" s="14" t="s">
        <v>305</v>
      </c>
      <c r="K524" s="14" t="s">
        <v>28</v>
      </c>
      <c r="L524" s="14" t="s">
        <v>231</v>
      </c>
      <c r="M524" s="14">
        <v>2</v>
      </c>
      <c r="N524" s="14">
        <v>2698.5</v>
      </c>
      <c r="O524" s="14">
        <v>2160</v>
      </c>
      <c r="P524" s="14">
        <v>25</v>
      </c>
      <c r="Q524" s="14" t="s">
        <v>103</v>
      </c>
      <c r="R524" s="14" t="s">
        <v>31</v>
      </c>
      <c r="S524" s="14">
        <v>45692</v>
      </c>
      <c r="T524" s="14">
        <v>3</v>
      </c>
    </row>
    <row r="525" spans="1:20" x14ac:dyDescent="0.3">
      <c r="A525" t="s">
        <v>1067</v>
      </c>
      <c r="B525">
        <v>45683</v>
      </c>
      <c r="C525" t="s">
        <v>585</v>
      </c>
      <c r="D525" t="s">
        <v>586</v>
      </c>
      <c r="E525" t="s">
        <v>77</v>
      </c>
      <c r="F525">
        <v>51</v>
      </c>
      <c r="G525" t="s">
        <v>90</v>
      </c>
      <c r="H525" s="14" t="s">
        <v>91</v>
      </c>
      <c r="I525" s="14" t="s">
        <v>134</v>
      </c>
      <c r="J525" s="14" t="s">
        <v>135</v>
      </c>
      <c r="K525" s="14" t="s">
        <v>39</v>
      </c>
      <c r="L525" s="14" t="s">
        <v>136</v>
      </c>
      <c r="M525" s="14">
        <v>2</v>
      </c>
      <c r="N525" s="14">
        <v>358.2</v>
      </c>
      <c r="O525" s="14">
        <v>180</v>
      </c>
      <c r="P525" s="14">
        <v>10</v>
      </c>
      <c r="Q525" s="14" t="s">
        <v>103</v>
      </c>
      <c r="R525" s="14" t="s">
        <v>42</v>
      </c>
      <c r="S525" s="14">
        <v>45694</v>
      </c>
      <c r="T525" s="14">
        <v>4</v>
      </c>
    </row>
    <row r="526" spans="1:20" x14ac:dyDescent="0.3">
      <c r="A526" t="s">
        <v>1068</v>
      </c>
      <c r="B526">
        <v>45751</v>
      </c>
      <c r="C526" t="s">
        <v>133</v>
      </c>
      <c r="D526" t="s">
        <v>857</v>
      </c>
      <c r="E526" t="s">
        <v>77</v>
      </c>
      <c r="F526">
        <v>56</v>
      </c>
      <c r="G526" t="s">
        <v>173</v>
      </c>
      <c r="H526" s="14" t="s">
        <v>79</v>
      </c>
      <c r="I526" s="14" t="s">
        <v>70</v>
      </c>
      <c r="J526" s="14" t="s">
        <v>71</v>
      </c>
      <c r="K526" s="14" t="s">
        <v>28</v>
      </c>
      <c r="L526" s="14" t="s">
        <v>72</v>
      </c>
      <c r="M526" s="14">
        <v>2</v>
      </c>
      <c r="N526" s="14">
        <v>2548.3000000000002</v>
      </c>
      <c r="O526" s="14">
        <v>1840</v>
      </c>
      <c r="P526" s="14">
        <v>15</v>
      </c>
      <c r="Q526" s="14" t="s">
        <v>30</v>
      </c>
      <c r="R526" s="14" t="s">
        <v>42</v>
      </c>
      <c r="S526" s="14">
        <v>45761</v>
      </c>
      <c r="T526" s="14">
        <v>3</v>
      </c>
    </row>
    <row r="527" spans="1:20" x14ac:dyDescent="0.3">
      <c r="A527" t="s">
        <v>1069</v>
      </c>
      <c r="B527">
        <v>45732</v>
      </c>
      <c r="C527" t="s">
        <v>193</v>
      </c>
      <c r="D527" t="s">
        <v>194</v>
      </c>
      <c r="E527" t="s">
        <v>23</v>
      </c>
      <c r="F527">
        <v>19</v>
      </c>
      <c r="G527" t="s">
        <v>78</v>
      </c>
      <c r="H527" s="14" t="s">
        <v>79</v>
      </c>
      <c r="I527" s="14" t="s">
        <v>183</v>
      </c>
      <c r="J527" s="14" t="s">
        <v>184</v>
      </c>
      <c r="K527" s="14" t="s">
        <v>130</v>
      </c>
      <c r="L527" s="14" t="s">
        <v>185</v>
      </c>
      <c r="M527" s="14">
        <v>1</v>
      </c>
      <c r="N527" s="14">
        <v>3799.05</v>
      </c>
      <c r="O527" s="14">
        <v>3050</v>
      </c>
      <c r="P527" s="14">
        <v>5</v>
      </c>
      <c r="Q527" s="14" t="s">
        <v>30</v>
      </c>
      <c r="R527" s="14" t="s">
        <v>42</v>
      </c>
      <c r="S527" s="14">
        <v>45736</v>
      </c>
      <c r="T527" s="14">
        <v>2</v>
      </c>
    </row>
    <row r="528" spans="1:20" x14ac:dyDescent="0.3">
      <c r="A528" t="s">
        <v>1070</v>
      </c>
      <c r="B528">
        <v>45618</v>
      </c>
      <c r="C528" t="s">
        <v>732</v>
      </c>
      <c r="D528" t="s">
        <v>733</v>
      </c>
      <c r="E528" t="s">
        <v>77</v>
      </c>
      <c r="F528">
        <v>33</v>
      </c>
      <c r="G528" t="s">
        <v>122</v>
      </c>
      <c r="H528" s="14" t="s">
        <v>123</v>
      </c>
      <c r="I528" s="14" t="s">
        <v>143</v>
      </c>
      <c r="J528" s="14" t="s">
        <v>144</v>
      </c>
      <c r="K528" s="14" t="s">
        <v>130</v>
      </c>
      <c r="L528" s="14" t="s">
        <v>131</v>
      </c>
      <c r="M528" s="14">
        <v>4</v>
      </c>
      <c r="N528" s="14">
        <v>17596.8</v>
      </c>
      <c r="O528" s="14">
        <v>17200</v>
      </c>
      <c r="P528" s="14">
        <v>20</v>
      </c>
      <c r="Q528" s="14" t="s">
        <v>30</v>
      </c>
      <c r="R528" s="14" t="s">
        <v>57</v>
      </c>
      <c r="S528" s="14">
        <v>45623</v>
      </c>
      <c r="T528" s="14">
        <v>3</v>
      </c>
    </row>
    <row r="529" spans="1:20" x14ac:dyDescent="0.3">
      <c r="A529" t="s">
        <v>1071</v>
      </c>
      <c r="B529">
        <v>45426</v>
      </c>
      <c r="C529" t="s">
        <v>889</v>
      </c>
      <c r="D529" t="s">
        <v>890</v>
      </c>
      <c r="E529" t="s">
        <v>23</v>
      </c>
      <c r="F529">
        <v>53</v>
      </c>
      <c r="G529" t="s">
        <v>161</v>
      </c>
      <c r="H529" s="14" t="s">
        <v>25</v>
      </c>
      <c r="I529" s="14" t="s">
        <v>155</v>
      </c>
      <c r="J529" s="14" t="s">
        <v>156</v>
      </c>
      <c r="K529" s="14" t="s">
        <v>114</v>
      </c>
      <c r="L529" s="14" t="s">
        <v>157</v>
      </c>
      <c r="M529" s="14">
        <v>5</v>
      </c>
      <c r="N529" s="14">
        <v>3996</v>
      </c>
      <c r="O529" s="14">
        <v>3050</v>
      </c>
      <c r="P529" s="14">
        <v>20</v>
      </c>
      <c r="Q529" s="14" t="s">
        <v>50</v>
      </c>
      <c r="R529" s="14" t="s">
        <v>65</v>
      </c>
    </row>
    <row r="530" spans="1:20" x14ac:dyDescent="0.3">
      <c r="A530" t="s">
        <v>1072</v>
      </c>
      <c r="B530">
        <v>45919</v>
      </c>
      <c r="C530" t="s">
        <v>1073</v>
      </c>
      <c r="D530" t="s">
        <v>1074</v>
      </c>
      <c r="E530" t="s">
        <v>77</v>
      </c>
      <c r="F530">
        <v>38</v>
      </c>
      <c r="G530" t="s">
        <v>90</v>
      </c>
      <c r="H530" s="14" t="s">
        <v>91</v>
      </c>
      <c r="I530" s="14" t="s">
        <v>304</v>
      </c>
      <c r="J530" s="14" t="s">
        <v>305</v>
      </c>
      <c r="K530" s="14" t="s">
        <v>28</v>
      </c>
      <c r="L530" s="14" t="s">
        <v>231</v>
      </c>
      <c r="M530" s="14">
        <v>1</v>
      </c>
      <c r="N530" s="14">
        <v>1349.25</v>
      </c>
      <c r="O530" s="14">
        <v>1080</v>
      </c>
      <c r="P530" s="14">
        <v>25</v>
      </c>
      <c r="Q530" s="14" t="s">
        <v>73</v>
      </c>
      <c r="R530" s="14" t="s">
        <v>31</v>
      </c>
      <c r="S530" s="14">
        <v>45928</v>
      </c>
      <c r="T530" s="14">
        <v>3</v>
      </c>
    </row>
    <row r="531" spans="1:20" x14ac:dyDescent="0.3">
      <c r="A531" t="s">
        <v>1075</v>
      </c>
      <c r="B531">
        <v>45806</v>
      </c>
      <c r="C531" t="s">
        <v>458</v>
      </c>
      <c r="D531" t="s">
        <v>329</v>
      </c>
      <c r="E531" t="s">
        <v>77</v>
      </c>
      <c r="F531">
        <v>42</v>
      </c>
      <c r="G531" t="s">
        <v>211</v>
      </c>
      <c r="H531" s="14" t="s">
        <v>127</v>
      </c>
      <c r="I531" s="14" t="s">
        <v>319</v>
      </c>
      <c r="J531" s="14" t="s">
        <v>320</v>
      </c>
      <c r="K531" s="14" t="s">
        <v>28</v>
      </c>
      <c r="L531" s="14" t="s">
        <v>29</v>
      </c>
      <c r="M531" s="14">
        <v>4</v>
      </c>
      <c r="N531" s="14">
        <v>2877.6</v>
      </c>
      <c r="O531" s="14">
        <v>2840</v>
      </c>
      <c r="P531" s="14">
        <v>40</v>
      </c>
      <c r="Q531" s="14" t="s">
        <v>103</v>
      </c>
      <c r="R531" s="14" t="s">
        <v>42</v>
      </c>
      <c r="S531" s="14">
        <v>45810</v>
      </c>
      <c r="T531" s="14">
        <v>4</v>
      </c>
    </row>
    <row r="532" spans="1:20" x14ac:dyDescent="0.3">
      <c r="A532" t="s">
        <v>1076</v>
      </c>
      <c r="B532">
        <v>45523</v>
      </c>
      <c r="C532" t="s">
        <v>624</v>
      </c>
      <c r="D532" t="s">
        <v>625</v>
      </c>
      <c r="E532" t="s">
        <v>77</v>
      </c>
      <c r="F532">
        <v>47</v>
      </c>
      <c r="G532" t="s">
        <v>122</v>
      </c>
      <c r="H532" s="14" t="s">
        <v>123</v>
      </c>
      <c r="I532" s="14" t="s">
        <v>80</v>
      </c>
      <c r="J532" s="14" t="s">
        <v>81</v>
      </c>
      <c r="K532" s="14" t="s">
        <v>28</v>
      </c>
      <c r="L532" s="14" t="s">
        <v>29</v>
      </c>
      <c r="M532" s="14">
        <v>3</v>
      </c>
      <c r="N532" s="14">
        <v>1677.9</v>
      </c>
      <c r="O532" s="14">
        <v>1410</v>
      </c>
      <c r="P532" s="14">
        <v>30</v>
      </c>
      <c r="Q532" s="14" t="s">
        <v>30</v>
      </c>
      <c r="R532" s="14" t="s">
        <v>31</v>
      </c>
      <c r="S532" s="14">
        <v>45535</v>
      </c>
      <c r="T532" s="14">
        <v>4</v>
      </c>
    </row>
    <row r="533" spans="1:20" x14ac:dyDescent="0.3">
      <c r="A533" t="s">
        <v>1077</v>
      </c>
      <c r="B533">
        <v>45501</v>
      </c>
      <c r="C533" t="s">
        <v>769</v>
      </c>
      <c r="D533" t="s">
        <v>326</v>
      </c>
      <c r="E533" t="s">
        <v>23</v>
      </c>
      <c r="F533">
        <v>20</v>
      </c>
      <c r="G533" t="s">
        <v>78</v>
      </c>
      <c r="H533" s="14" t="s">
        <v>79</v>
      </c>
      <c r="I533" s="14" t="s">
        <v>63</v>
      </c>
      <c r="J533" s="14" t="s">
        <v>64</v>
      </c>
      <c r="K533" s="14" t="s">
        <v>39</v>
      </c>
      <c r="L533" s="14" t="s">
        <v>40</v>
      </c>
      <c r="M533" s="14">
        <v>5</v>
      </c>
      <c r="N533" s="14">
        <v>1797</v>
      </c>
      <c r="O533" s="14">
        <v>1650</v>
      </c>
      <c r="P533" s="14">
        <v>40</v>
      </c>
      <c r="Q533" s="14" t="s">
        <v>41</v>
      </c>
      <c r="R533" s="14" t="s">
        <v>57</v>
      </c>
      <c r="S533" s="14">
        <v>45510</v>
      </c>
      <c r="T533" s="14">
        <v>4</v>
      </c>
    </row>
    <row r="534" spans="1:20" x14ac:dyDescent="0.3">
      <c r="A534" t="s">
        <v>1078</v>
      </c>
      <c r="B534">
        <v>45729</v>
      </c>
      <c r="C534" t="s">
        <v>412</v>
      </c>
      <c r="D534" t="s">
        <v>413</v>
      </c>
      <c r="E534" t="s">
        <v>77</v>
      </c>
      <c r="F534">
        <v>38</v>
      </c>
      <c r="G534" t="s">
        <v>24</v>
      </c>
      <c r="H534" s="14" t="s">
        <v>25</v>
      </c>
      <c r="I534" s="14" t="s">
        <v>155</v>
      </c>
      <c r="J534" s="14" t="s">
        <v>156</v>
      </c>
      <c r="K534" s="14" t="s">
        <v>1079</v>
      </c>
      <c r="L534" s="14" t="s">
        <v>157</v>
      </c>
      <c r="M534" s="14">
        <v>4</v>
      </c>
      <c r="N534" s="14">
        <v>2997</v>
      </c>
      <c r="O534" s="14">
        <v>2440</v>
      </c>
      <c r="P534" s="14">
        <v>25</v>
      </c>
      <c r="Q534" s="14" t="s">
        <v>103</v>
      </c>
      <c r="R534" s="14" t="s">
        <v>65</v>
      </c>
    </row>
    <row r="535" spans="1:20" x14ac:dyDescent="0.3">
      <c r="A535" t="s">
        <v>1080</v>
      </c>
      <c r="B535">
        <v>45877</v>
      </c>
      <c r="C535" t="s">
        <v>523</v>
      </c>
      <c r="D535" t="s">
        <v>524</v>
      </c>
      <c r="E535" t="s">
        <v>77</v>
      </c>
      <c r="F535">
        <v>49</v>
      </c>
      <c r="G535" t="s">
        <v>24</v>
      </c>
      <c r="H535" s="14" t="s">
        <v>25</v>
      </c>
      <c r="I535" s="14" t="s">
        <v>112</v>
      </c>
      <c r="J535" s="14" t="s">
        <v>113</v>
      </c>
      <c r="K535" s="14" t="s">
        <v>114</v>
      </c>
      <c r="L535" s="14" t="s">
        <v>115</v>
      </c>
      <c r="M535" s="14">
        <v>1</v>
      </c>
      <c r="N535" s="14">
        <v>419.4</v>
      </c>
      <c r="O535" s="14">
        <v>370</v>
      </c>
      <c r="P535" s="14">
        <v>40</v>
      </c>
      <c r="Q535" s="14" t="s">
        <v>103</v>
      </c>
      <c r="R535" s="14" t="s">
        <v>57</v>
      </c>
      <c r="S535" s="14">
        <v>45879</v>
      </c>
      <c r="T535" s="14">
        <v>4</v>
      </c>
    </row>
    <row r="536" spans="1:20" x14ac:dyDescent="0.3">
      <c r="A536" t="s">
        <v>1081</v>
      </c>
      <c r="B536">
        <v>45823</v>
      </c>
      <c r="C536" t="s">
        <v>886</v>
      </c>
      <c r="D536" t="s">
        <v>887</v>
      </c>
      <c r="E536" t="s">
        <v>77</v>
      </c>
      <c r="F536">
        <v>49</v>
      </c>
      <c r="G536" t="s">
        <v>165</v>
      </c>
      <c r="H536" s="14" t="s">
        <v>166</v>
      </c>
      <c r="I536" s="14" t="s">
        <v>177</v>
      </c>
      <c r="J536" s="14" t="s">
        <v>178</v>
      </c>
      <c r="K536" s="14" t="s">
        <v>87</v>
      </c>
      <c r="L536" s="14" t="s">
        <v>179</v>
      </c>
      <c r="M536" s="14">
        <v>1</v>
      </c>
      <c r="N536" s="14">
        <v>1749.3</v>
      </c>
      <c r="O536" s="14">
        <v>1620</v>
      </c>
      <c r="P536" s="14">
        <v>30</v>
      </c>
      <c r="Q536" s="14" t="s">
        <v>50</v>
      </c>
      <c r="R536" s="14" t="s">
        <v>57</v>
      </c>
      <c r="S536" s="14">
        <v>45835</v>
      </c>
      <c r="T536" s="14">
        <v>2</v>
      </c>
    </row>
    <row r="537" spans="1:20" x14ac:dyDescent="0.3">
      <c r="A537" t="s">
        <v>1082</v>
      </c>
      <c r="B537">
        <v>45486</v>
      </c>
      <c r="C537" t="s">
        <v>1083</v>
      </c>
      <c r="D537" t="s">
        <v>1084</v>
      </c>
      <c r="E537" t="s">
        <v>77</v>
      </c>
      <c r="F537">
        <v>20</v>
      </c>
      <c r="G537" t="s">
        <v>61</v>
      </c>
      <c r="H537" s="14" t="s">
        <v>62</v>
      </c>
      <c r="I537" s="14" t="s">
        <v>47</v>
      </c>
      <c r="J537" s="14" t="s">
        <v>48</v>
      </c>
      <c r="K537" s="14" t="s">
        <v>39</v>
      </c>
      <c r="L537" s="14" t="s">
        <v>49</v>
      </c>
      <c r="M537" s="14">
        <v>3</v>
      </c>
      <c r="N537" s="14">
        <v>957.6</v>
      </c>
      <c r="O537" s="14">
        <v>630</v>
      </c>
      <c r="P537" s="14">
        <v>20</v>
      </c>
      <c r="Q537" s="14" t="s">
        <v>103</v>
      </c>
      <c r="R537" s="14" t="s">
        <v>42</v>
      </c>
      <c r="S537" s="14">
        <v>45494</v>
      </c>
      <c r="T537" s="14">
        <v>4</v>
      </c>
    </row>
    <row r="538" spans="1:20" x14ac:dyDescent="0.3">
      <c r="A538" t="s">
        <v>1085</v>
      </c>
      <c r="B538">
        <v>45919</v>
      </c>
      <c r="C538" t="s">
        <v>1086</v>
      </c>
      <c r="D538" t="s">
        <v>1087</v>
      </c>
      <c r="E538" t="s">
        <v>23</v>
      </c>
      <c r="F538">
        <v>22</v>
      </c>
      <c r="G538" t="s">
        <v>173</v>
      </c>
      <c r="H538" s="14" t="s">
        <v>79</v>
      </c>
      <c r="I538" s="14" t="s">
        <v>63</v>
      </c>
      <c r="J538" s="14" t="s">
        <v>64</v>
      </c>
      <c r="K538" s="14" t="s">
        <v>39</v>
      </c>
      <c r="L538" s="14" t="s">
        <v>40</v>
      </c>
      <c r="M538" s="14">
        <v>4</v>
      </c>
      <c r="N538" s="14">
        <v>2276.1999999999998</v>
      </c>
      <c r="O538" s="14">
        <v>1320</v>
      </c>
      <c r="P538" s="14">
        <v>5</v>
      </c>
      <c r="Q538" s="14" t="s">
        <v>50</v>
      </c>
      <c r="R538" s="14" t="s">
        <v>42</v>
      </c>
      <c r="S538" s="14">
        <v>45923</v>
      </c>
      <c r="T538" s="14">
        <v>3</v>
      </c>
    </row>
    <row r="539" spans="1:20" x14ac:dyDescent="0.3">
      <c r="A539" t="s">
        <v>1088</v>
      </c>
      <c r="B539">
        <v>45694</v>
      </c>
      <c r="C539" t="s">
        <v>732</v>
      </c>
      <c r="D539" t="s">
        <v>733</v>
      </c>
      <c r="E539" t="s">
        <v>77</v>
      </c>
      <c r="F539">
        <v>33</v>
      </c>
      <c r="G539" t="s">
        <v>126</v>
      </c>
      <c r="H539" s="14" t="s">
        <v>127</v>
      </c>
      <c r="I539" s="14" t="s">
        <v>63</v>
      </c>
      <c r="J539" s="14" t="s">
        <v>64</v>
      </c>
      <c r="K539" s="14" t="s">
        <v>39</v>
      </c>
      <c r="L539" s="14" t="s">
        <v>40</v>
      </c>
      <c r="M539" s="14">
        <v>1</v>
      </c>
      <c r="N539" s="14">
        <v>539.1</v>
      </c>
      <c r="O539" s="14">
        <v>330</v>
      </c>
      <c r="P539" s="14">
        <v>10</v>
      </c>
      <c r="Q539" s="14" t="s">
        <v>103</v>
      </c>
      <c r="R539" s="14" t="s">
        <v>65</v>
      </c>
    </row>
    <row r="540" spans="1:20" x14ac:dyDescent="0.3">
      <c r="A540" t="s">
        <v>1089</v>
      </c>
      <c r="B540">
        <v>46021</v>
      </c>
      <c r="C540" t="s">
        <v>398</v>
      </c>
      <c r="D540" t="s">
        <v>399</v>
      </c>
      <c r="E540" t="s">
        <v>77</v>
      </c>
      <c r="F540">
        <v>49</v>
      </c>
      <c r="G540" t="s">
        <v>61</v>
      </c>
      <c r="H540" s="14" t="s">
        <v>62</v>
      </c>
      <c r="I540" s="14" t="s">
        <v>54</v>
      </c>
      <c r="J540" s="14" t="s">
        <v>55</v>
      </c>
      <c r="K540" s="14" t="s">
        <v>28</v>
      </c>
      <c r="L540" s="14" t="s">
        <v>56</v>
      </c>
      <c r="M540" s="14">
        <v>3</v>
      </c>
      <c r="N540" s="14">
        <v>1572.75</v>
      </c>
      <c r="O540" s="14">
        <v>1230</v>
      </c>
      <c r="P540" s="14">
        <v>25</v>
      </c>
      <c r="Q540" s="14" t="s">
        <v>30</v>
      </c>
      <c r="R540" s="14" t="s">
        <v>31</v>
      </c>
      <c r="S540" s="14">
        <v>46024</v>
      </c>
      <c r="T540" s="14">
        <v>3</v>
      </c>
    </row>
    <row r="541" spans="1:20" x14ac:dyDescent="0.3">
      <c r="A541" t="s">
        <v>1090</v>
      </c>
      <c r="B541">
        <v>45408</v>
      </c>
      <c r="C541" t="s">
        <v>1091</v>
      </c>
      <c r="D541" t="s">
        <v>963</v>
      </c>
      <c r="E541" t="s">
        <v>77</v>
      </c>
      <c r="F541">
        <v>42</v>
      </c>
      <c r="G541" t="s">
        <v>211</v>
      </c>
      <c r="H541" s="14" t="s">
        <v>127</v>
      </c>
      <c r="I541" s="14" t="s">
        <v>54</v>
      </c>
      <c r="J541" s="14" t="s">
        <v>55</v>
      </c>
      <c r="K541" s="14" t="s">
        <v>28</v>
      </c>
      <c r="L541" s="14" t="s">
        <v>56</v>
      </c>
      <c r="M541" s="14">
        <v>5</v>
      </c>
      <c r="N541" s="14">
        <v>2446.5</v>
      </c>
      <c r="O541" s="14">
        <v>2050</v>
      </c>
      <c r="P541" s="14">
        <v>30</v>
      </c>
      <c r="Q541" s="14" t="s">
        <v>50</v>
      </c>
      <c r="R541" s="14" t="s">
        <v>65</v>
      </c>
    </row>
    <row r="542" spans="1:20" x14ac:dyDescent="0.3">
      <c r="A542" t="s">
        <v>1092</v>
      </c>
      <c r="B542">
        <v>45455</v>
      </c>
      <c r="C542" t="s">
        <v>595</v>
      </c>
      <c r="D542" t="s">
        <v>596</v>
      </c>
      <c r="E542" t="s">
        <v>23</v>
      </c>
      <c r="F542">
        <v>23</v>
      </c>
      <c r="G542" t="s">
        <v>165</v>
      </c>
      <c r="H542" s="14" t="s">
        <v>166</v>
      </c>
      <c r="I542" s="14" t="s">
        <v>26</v>
      </c>
      <c r="J542" s="14" t="s">
        <v>27</v>
      </c>
      <c r="K542" s="14" t="s">
        <v>28</v>
      </c>
      <c r="L542" s="14" t="s">
        <v>29</v>
      </c>
      <c r="M542" s="14">
        <v>2</v>
      </c>
      <c r="N542" s="14">
        <v>1948.5</v>
      </c>
      <c r="O542" s="14">
        <v>1580</v>
      </c>
      <c r="P542" s="14">
        <v>25</v>
      </c>
      <c r="Q542" s="14" t="s">
        <v>50</v>
      </c>
      <c r="R542" s="14" t="s">
        <v>57</v>
      </c>
      <c r="S542" s="14">
        <v>45467</v>
      </c>
      <c r="T542" s="14">
        <v>3</v>
      </c>
    </row>
    <row r="543" spans="1:20" x14ac:dyDescent="0.3">
      <c r="A543" t="s">
        <v>1093</v>
      </c>
      <c r="B543">
        <v>45458</v>
      </c>
      <c r="C543" t="s">
        <v>193</v>
      </c>
      <c r="D543" t="s">
        <v>194</v>
      </c>
      <c r="E543" t="s">
        <v>23</v>
      </c>
      <c r="F543">
        <v>19</v>
      </c>
      <c r="G543" t="s">
        <v>78</v>
      </c>
      <c r="H543" s="14" t="s">
        <v>79</v>
      </c>
      <c r="I543" s="14" t="s">
        <v>85</v>
      </c>
      <c r="J543" s="14" t="s">
        <v>86</v>
      </c>
      <c r="K543" s="14" t="s">
        <v>87</v>
      </c>
      <c r="L543" s="14" t="s">
        <v>88</v>
      </c>
      <c r="M543" s="14">
        <v>1</v>
      </c>
      <c r="N543" s="14">
        <v>979.3</v>
      </c>
      <c r="O543" s="14">
        <v>790</v>
      </c>
      <c r="P543" s="14">
        <v>30</v>
      </c>
      <c r="Q543" s="14" t="s">
        <v>41</v>
      </c>
      <c r="R543" s="14" t="s">
        <v>42</v>
      </c>
      <c r="S543" s="14">
        <v>45467</v>
      </c>
      <c r="T543" s="14">
        <v>4</v>
      </c>
    </row>
    <row r="544" spans="1:20" x14ac:dyDescent="0.3">
      <c r="A544" t="s">
        <v>1094</v>
      </c>
      <c r="B544">
        <v>45933</v>
      </c>
      <c r="C544" t="s">
        <v>967</v>
      </c>
      <c r="D544" t="s">
        <v>968</v>
      </c>
      <c r="E544" t="s">
        <v>23</v>
      </c>
      <c r="F544">
        <v>29</v>
      </c>
      <c r="G544" t="s">
        <v>69</v>
      </c>
      <c r="H544" s="14" t="s">
        <v>69</v>
      </c>
      <c r="I544" s="14" t="s">
        <v>252</v>
      </c>
      <c r="J544" s="14" t="s">
        <v>253</v>
      </c>
      <c r="K544" s="14" t="s">
        <v>28</v>
      </c>
      <c r="L544" s="14" t="s">
        <v>254</v>
      </c>
      <c r="M544" s="14">
        <v>2</v>
      </c>
      <c r="N544" s="14">
        <v>5998</v>
      </c>
      <c r="O544" s="14">
        <v>3800</v>
      </c>
      <c r="P544" s="14">
        <v>0</v>
      </c>
      <c r="Q544" s="14" t="s">
        <v>50</v>
      </c>
      <c r="R544" s="14" t="s">
        <v>57</v>
      </c>
      <c r="S544" s="14">
        <v>45939</v>
      </c>
      <c r="T544" s="14">
        <v>2</v>
      </c>
    </row>
    <row r="545" spans="1:20" x14ac:dyDescent="0.3">
      <c r="A545" t="s">
        <v>1095</v>
      </c>
      <c r="B545">
        <v>45761</v>
      </c>
      <c r="C545" t="s">
        <v>406</v>
      </c>
      <c r="D545" t="s">
        <v>407</v>
      </c>
      <c r="E545" t="s">
        <v>23</v>
      </c>
      <c r="F545">
        <v>37</v>
      </c>
      <c r="G545" t="s">
        <v>101</v>
      </c>
      <c r="H545" s="14" t="s">
        <v>102</v>
      </c>
      <c r="I545" s="14" t="s">
        <v>222</v>
      </c>
      <c r="J545" s="14" t="s">
        <v>223</v>
      </c>
      <c r="K545" s="14" t="s">
        <v>114</v>
      </c>
      <c r="L545" s="14" t="s">
        <v>115</v>
      </c>
      <c r="M545" s="14">
        <v>1</v>
      </c>
      <c r="N545" s="14">
        <v>539.4</v>
      </c>
      <c r="O545" s="14">
        <v>510</v>
      </c>
      <c r="P545" s="14">
        <v>40</v>
      </c>
      <c r="Q545" s="14" t="s">
        <v>30</v>
      </c>
      <c r="R545" s="14" t="s">
        <v>42</v>
      </c>
      <c r="S545" s="14">
        <v>45772</v>
      </c>
      <c r="T545" s="14">
        <v>5</v>
      </c>
    </row>
    <row r="546" spans="1:20" x14ac:dyDescent="0.3">
      <c r="A546" t="s">
        <v>1096</v>
      </c>
      <c r="B546">
        <v>45756</v>
      </c>
      <c r="C546" t="s">
        <v>775</v>
      </c>
      <c r="D546" t="s">
        <v>244</v>
      </c>
      <c r="E546" t="s">
        <v>77</v>
      </c>
      <c r="F546">
        <v>46</v>
      </c>
      <c r="G546" t="s">
        <v>61</v>
      </c>
      <c r="H546" s="14" t="s">
        <v>62</v>
      </c>
      <c r="I546" s="14" t="s">
        <v>54</v>
      </c>
      <c r="J546" s="14" t="s">
        <v>55</v>
      </c>
      <c r="K546" s="14" t="s">
        <v>28</v>
      </c>
      <c r="L546" s="14" t="s">
        <v>56</v>
      </c>
      <c r="M546" s="14">
        <v>5</v>
      </c>
      <c r="N546" s="14">
        <v>3495</v>
      </c>
      <c r="O546" s="14">
        <v>2050</v>
      </c>
      <c r="P546" s="14">
        <v>0</v>
      </c>
      <c r="Q546" s="14" t="s">
        <v>30</v>
      </c>
      <c r="R546" s="14" t="s">
        <v>65</v>
      </c>
    </row>
    <row r="547" spans="1:20" x14ac:dyDescent="0.3">
      <c r="A547" t="s">
        <v>1097</v>
      </c>
      <c r="B547">
        <v>45576</v>
      </c>
      <c r="C547" t="s">
        <v>581</v>
      </c>
      <c r="D547" t="s">
        <v>582</v>
      </c>
      <c r="E547" t="s">
        <v>23</v>
      </c>
      <c r="F547">
        <v>37</v>
      </c>
      <c r="G547" t="s">
        <v>154</v>
      </c>
      <c r="H547" s="14" t="s">
        <v>91</v>
      </c>
      <c r="I547" s="14" t="s">
        <v>26</v>
      </c>
      <c r="J547" s="14" t="s">
        <v>27</v>
      </c>
      <c r="K547" s="14" t="s">
        <v>28</v>
      </c>
      <c r="L547" s="14" t="s">
        <v>29</v>
      </c>
      <c r="M547" s="14">
        <v>2</v>
      </c>
      <c r="N547" s="14">
        <v>2338.1999999999998</v>
      </c>
      <c r="O547" s="14">
        <v>1580</v>
      </c>
      <c r="P547" s="14">
        <v>10</v>
      </c>
      <c r="Q547" s="14" t="s">
        <v>73</v>
      </c>
      <c r="R547" s="14" t="s">
        <v>31</v>
      </c>
      <c r="S547" s="14">
        <v>45583</v>
      </c>
      <c r="T547" s="14">
        <v>2</v>
      </c>
    </row>
    <row r="548" spans="1:20" x14ac:dyDescent="0.3">
      <c r="A548" t="s">
        <v>1098</v>
      </c>
      <c r="B548">
        <v>45440</v>
      </c>
      <c r="C548" t="s">
        <v>624</v>
      </c>
      <c r="D548" t="s">
        <v>625</v>
      </c>
      <c r="E548" t="s">
        <v>77</v>
      </c>
      <c r="F548">
        <v>47</v>
      </c>
      <c r="G548" t="s">
        <v>35</v>
      </c>
      <c r="H548" s="14" t="s">
        <v>36</v>
      </c>
      <c r="I548" s="14" t="s">
        <v>183</v>
      </c>
      <c r="J548" s="14" t="s">
        <v>184</v>
      </c>
      <c r="K548" s="14" t="s">
        <v>130</v>
      </c>
      <c r="L548" s="14" t="s">
        <v>185</v>
      </c>
      <c r="M548" s="14">
        <v>1</v>
      </c>
      <c r="N548" s="14">
        <v>3999</v>
      </c>
      <c r="O548" s="14">
        <v>3050</v>
      </c>
      <c r="P548" s="14">
        <v>0</v>
      </c>
      <c r="Q548" s="14" t="s">
        <v>73</v>
      </c>
      <c r="R548" s="14" t="s">
        <v>42</v>
      </c>
      <c r="S548" s="14">
        <v>45444</v>
      </c>
      <c r="T548" s="14">
        <v>3</v>
      </c>
    </row>
    <row r="549" spans="1:20" x14ac:dyDescent="0.3">
      <c r="A549" t="s">
        <v>1099</v>
      </c>
      <c r="B549">
        <v>45980</v>
      </c>
      <c r="C549" t="s">
        <v>438</v>
      </c>
      <c r="D549" t="s">
        <v>439</v>
      </c>
      <c r="E549" t="s">
        <v>23</v>
      </c>
      <c r="F549">
        <v>27</v>
      </c>
      <c r="G549" t="s">
        <v>78</v>
      </c>
      <c r="H549" s="14" t="s">
        <v>79</v>
      </c>
      <c r="I549" s="14" t="s">
        <v>63</v>
      </c>
      <c r="J549" s="14" t="s">
        <v>64</v>
      </c>
      <c r="K549" s="14" t="s">
        <v>39</v>
      </c>
      <c r="L549" s="14" t="s">
        <v>40</v>
      </c>
      <c r="M549" s="14">
        <v>5</v>
      </c>
      <c r="N549" s="14">
        <v>2246.25</v>
      </c>
      <c r="O549" s="14">
        <v>1650</v>
      </c>
      <c r="P549" s="14">
        <v>25</v>
      </c>
      <c r="Q549" s="14" t="s">
        <v>73</v>
      </c>
      <c r="R549" s="14" t="s">
        <v>42</v>
      </c>
      <c r="S549" s="14">
        <v>45986</v>
      </c>
      <c r="T549" s="14">
        <v>4</v>
      </c>
    </row>
    <row r="550" spans="1:20" x14ac:dyDescent="0.3">
      <c r="A550" t="s">
        <v>1100</v>
      </c>
      <c r="B550">
        <v>45669</v>
      </c>
      <c r="C550" t="s">
        <v>59</v>
      </c>
      <c r="D550" t="s">
        <v>60</v>
      </c>
      <c r="E550" t="s">
        <v>23</v>
      </c>
      <c r="F550">
        <v>37</v>
      </c>
      <c r="G550" t="s">
        <v>46</v>
      </c>
      <c r="H550" s="14" t="s">
        <v>25</v>
      </c>
      <c r="I550" s="14" t="s">
        <v>134</v>
      </c>
      <c r="J550" s="14" t="s">
        <v>135</v>
      </c>
      <c r="K550" s="14" t="s">
        <v>39</v>
      </c>
      <c r="L550" s="14" t="s">
        <v>136</v>
      </c>
      <c r="M550" s="14">
        <v>5</v>
      </c>
      <c r="N550" s="14">
        <v>945.25</v>
      </c>
      <c r="O550" s="14">
        <v>450</v>
      </c>
      <c r="P550" s="14">
        <v>5</v>
      </c>
      <c r="Q550" s="14" t="s">
        <v>41</v>
      </c>
      <c r="R550" s="14" t="s">
        <v>42</v>
      </c>
      <c r="S550" s="14">
        <v>45673</v>
      </c>
      <c r="T550" s="14">
        <v>3</v>
      </c>
    </row>
    <row r="551" spans="1:20" x14ac:dyDescent="0.3">
      <c r="A551" t="s">
        <v>1101</v>
      </c>
      <c r="B551">
        <v>46003</v>
      </c>
      <c r="C551" t="s">
        <v>21</v>
      </c>
      <c r="D551" t="s">
        <v>22</v>
      </c>
      <c r="E551" t="s">
        <v>23</v>
      </c>
      <c r="F551">
        <v>39</v>
      </c>
      <c r="G551" t="s">
        <v>126</v>
      </c>
      <c r="H551" s="14" t="s">
        <v>127</v>
      </c>
      <c r="I551" s="14" t="s">
        <v>112</v>
      </c>
      <c r="J551" s="14" t="s">
        <v>113</v>
      </c>
      <c r="K551" s="14" t="s">
        <v>114</v>
      </c>
      <c r="L551" s="14" t="s">
        <v>115</v>
      </c>
      <c r="M551" s="14">
        <v>4</v>
      </c>
      <c r="N551" s="14">
        <v>2376.6</v>
      </c>
      <c r="O551" s="14">
        <v>1480</v>
      </c>
      <c r="P551" s="14">
        <v>15</v>
      </c>
      <c r="Q551" s="14" t="s">
        <v>30</v>
      </c>
      <c r="R551" s="14" t="s">
        <v>65</v>
      </c>
    </row>
    <row r="552" spans="1:20" x14ac:dyDescent="0.3">
      <c r="A552" t="s">
        <v>1102</v>
      </c>
      <c r="B552">
        <v>45351</v>
      </c>
      <c r="C552" t="s">
        <v>1103</v>
      </c>
      <c r="D552" t="s">
        <v>1104</v>
      </c>
      <c r="E552" t="s">
        <v>77</v>
      </c>
      <c r="F552">
        <v>50</v>
      </c>
      <c r="G552" t="s">
        <v>46</v>
      </c>
      <c r="H552" s="14" t="s">
        <v>25</v>
      </c>
      <c r="I552" s="14" t="s">
        <v>37</v>
      </c>
      <c r="J552" s="14" t="s">
        <v>38</v>
      </c>
      <c r="K552" s="14" t="s">
        <v>39</v>
      </c>
      <c r="L552" s="14" t="s">
        <v>40</v>
      </c>
      <c r="M552" s="14">
        <v>5</v>
      </c>
      <c r="N552" s="14">
        <v>3596</v>
      </c>
      <c r="O552" s="14">
        <v>2600</v>
      </c>
      <c r="P552" s="14">
        <v>20</v>
      </c>
      <c r="Q552" s="14" t="s">
        <v>103</v>
      </c>
      <c r="R552" s="14" t="s">
        <v>65</v>
      </c>
    </row>
    <row r="553" spans="1:20" x14ac:dyDescent="0.3">
      <c r="A553" t="s">
        <v>1105</v>
      </c>
      <c r="B553">
        <v>45616</v>
      </c>
      <c r="C553" t="s">
        <v>1106</v>
      </c>
      <c r="D553" t="s">
        <v>953</v>
      </c>
      <c r="E553" t="s">
        <v>23</v>
      </c>
      <c r="F553">
        <v>25</v>
      </c>
      <c r="G553" t="s">
        <v>211</v>
      </c>
      <c r="H553" s="14" t="s">
        <v>127</v>
      </c>
      <c r="I553" s="14" t="s">
        <v>252</v>
      </c>
      <c r="J553" s="14" t="s">
        <v>253</v>
      </c>
      <c r="K553" s="14" t="s">
        <v>28</v>
      </c>
      <c r="L553" s="14" t="s">
        <v>254</v>
      </c>
      <c r="M553" s="14">
        <v>5</v>
      </c>
      <c r="N553" s="14">
        <v>8997</v>
      </c>
      <c r="O553" s="14">
        <v>9500</v>
      </c>
      <c r="P553" s="14">
        <v>40</v>
      </c>
      <c r="Q553" s="14" t="s">
        <v>50</v>
      </c>
      <c r="R553" s="14" t="s">
        <v>31</v>
      </c>
      <c r="S553" s="14">
        <v>45628</v>
      </c>
      <c r="T553" s="14">
        <v>5</v>
      </c>
    </row>
    <row r="554" spans="1:20" x14ac:dyDescent="0.3">
      <c r="A554" t="s">
        <v>1107</v>
      </c>
      <c r="B554">
        <v>45796</v>
      </c>
      <c r="C554" t="s">
        <v>967</v>
      </c>
      <c r="D554" t="s">
        <v>968</v>
      </c>
      <c r="E554" t="s">
        <v>23</v>
      </c>
      <c r="F554">
        <v>29</v>
      </c>
      <c r="G554" t="s">
        <v>90</v>
      </c>
      <c r="H554" s="14" t="s">
        <v>91</v>
      </c>
      <c r="I554" s="14" t="s">
        <v>85</v>
      </c>
      <c r="J554" s="14" t="s">
        <v>86</v>
      </c>
      <c r="K554" s="14" t="s">
        <v>87</v>
      </c>
      <c r="L554" s="14" t="s">
        <v>88</v>
      </c>
      <c r="M554" s="14">
        <v>3</v>
      </c>
      <c r="N554" s="14">
        <v>3567.45</v>
      </c>
      <c r="O554" s="14">
        <v>2370</v>
      </c>
      <c r="P554" s="14">
        <v>15</v>
      </c>
      <c r="Q554" s="14" t="s">
        <v>73</v>
      </c>
      <c r="R554" s="14" t="s">
        <v>42</v>
      </c>
      <c r="S554" s="14">
        <v>45798</v>
      </c>
      <c r="T554" s="14">
        <v>5</v>
      </c>
    </row>
    <row r="555" spans="1:20" x14ac:dyDescent="0.3">
      <c r="A555" t="s">
        <v>1108</v>
      </c>
      <c r="B555">
        <v>45932</v>
      </c>
      <c r="C555" t="s">
        <v>517</v>
      </c>
      <c r="D555" t="s">
        <v>518</v>
      </c>
      <c r="E555" t="s">
        <v>23</v>
      </c>
      <c r="F555">
        <v>38</v>
      </c>
      <c r="G555" t="s">
        <v>154</v>
      </c>
      <c r="H555" s="14" t="s">
        <v>91</v>
      </c>
      <c r="I555" s="14" t="s">
        <v>155</v>
      </c>
      <c r="J555" s="14" t="s">
        <v>156</v>
      </c>
      <c r="K555" s="14" t="s">
        <v>114</v>
      </c>
      <c r="L555" s="14" t="s">
        <v>157</v>
      </c>
      <c r="M555" s="14">
        <v>4</v>
      </c>
      <c r="N555" s="14">
        <v>2797.2</v>
      </c>
      <c r="O555" s="14">
        <v>2440</v>
      </c>
      <c r="P555" s="14">
        <v>30</v>
      </c>
      <c r="Q555" s="14" t="s">
        <v>73</v>
      </c>
      <c r="R555" s="14" t="s">
        <v>42</v>
      </c>
      <c r="S555" s="14">
        <v>45939</v>
      </c>
      <c r="T555" s="14">
        <v>4</v>
      </c>
    </row>
    <row r="556" spans="1:20" x14ac:dyDescent="0.3">
      <c r="A556" t="s">
        <v>1109</v>
      </c>
      <c r="B556">
        <v>45303</v>
      </c>
      <c r="C556" t="s">
        <v>398</v>
      </c>
      <c r="D556" t="s">
        <v>399</v>
      </c>
      <c r="E556" t="s">
        <v>77</v>
      </c>
      <c r="F556">
        <v>49</v>
      </c>
      <c r="G556" t="s">
        <v>35</v>
      </c>
      <c r="H556" s="14" t="s">
        <v>36</v>
      </c>
      <c r="I556" s="14" t="s">
        <v>128</v>
      </c>
      <c r="J556" s="14" t="s">
        <v>129</v>
      </c>
      <c r="K556" s="14" t="s">
        <v>130</v>
      </c>
      <c r="L556" s="14" t="s">
        <v>131</v>
      </c>
      <c r="M556" s="14">
        <v>1</v>
      </c>
      <c r="N556" s="14">
        <v>5199.2</v>
      </c>
      <c r="O556" s="14">
        <v>5100</v>
      </c>
      <c r="P556" s="14">
        <v>20</v>
      </c>
      <c r="Q556" s="14" t="s">
        <v>41</v>
      </c>
      <c r="R556" s="14" t="s">
        <v>65</v>
      </c>
    </row>
    <row r="557" spans="1:20" x14ac:dyDescent="0.3">
      <c r="A557" t="s">
        <v>1110</v>
      </c>
      <c r="B557">
        <v>45855</v>
      </c>
      <c r="C557" t="s">
        <v>852</v>
      </c>
      <c r="D557" t="s">
        <v>724</v>
      </c>
      <c r="E557" t="s">
        <v>77</v>
      </c>
      <c r="F557">
        <v>39</v>
      </c>
      <c r="G557" t="s">
        <v>161</v>
      </c>
      <c r="H557" s="14" t="s">
        <v>25</v>
      </c>
      <c r="I557" s="14" t="s">
        <v>229</v>
      </c>
      <c r="J557" s="14" t="s">
        <v>230</v>
      </c>
      <c r="K557" s="14" t="s">
        <v>28</v>
      </c>
      <c r="L557" s="14" t="s">
        <v>231</v>
      </c>
      <c r="M557" s="14">
        <v>3</v>
      </c>
      <c r="N557" s="14">
        <v>4497.75</v>
      </c>
      <c r="O557" s="14">
        <v>3690</v>
      </c>
      <c r="P557" s="14">
        <v>25</v>
      </c>
      <c r="Q557" s="14" t="s">
        <v>103</v>
      </c>
      <c r="R557" s="14" t="s">
        <v>31</v>
      </c>
      <c r="S557" s="14">
        <v>45866</v>
      </c>
      <c r="T557" s="14">
        <v>2</v>
      </c>
    </row>
    <row r="558" spans="1:20" x14ac:dyDescent="0.3">
      <c r="A558" t="s">
        <v>1111</v>
      </c>
      <c r="B558">
        <v>45471</v>
      </c>
      <c r="C558" t="s">
        <v>791</v>
      </c>
      <c r="D558" t="s">
        <v>792</v>
      </c>
      <c r="E558" t="s">
        <v>23</v>
      </c>
      <c r="F558">
        <v>42</v>
      </c>
      <c r="G558" t="s">
        <v>126</v>
      </c>
      <c r="H558" s="14" t="s">
        <v>127</v>
      </c>
      <c r="I558" s="14" t="s">
        <v>183</v>
      </c>
      <c r="J558" s="14" t="s">
        <v>184</v>
      </c>
      <c r="K558" s="14" t="s">
        <v>130</v>
      </c>
      <c r="L558" s="14" t="s">
        <v>185</v>
      </c>
      <c r="M558" s="14">
        <v>4</v>
      </c>
      <c r="N558" s="14">
        <v>9597.6</v>
      </c>
      <c r="O558" s="14">
        <v>12200</v>
      </c>
      <c r="P558" s="14">
        <v>40</v>
      </c>
      <c r="Q558" s="14" t="s">
        <v>73</v>
      </c>
      <c r="R558" s="14" t="s">
        <v>31</v>
      </c>
      <c r="S558" s="14">
        <v>45475</v>
      </c>
      <c r="T558" s="14">
        <v>5</v>
      </c>
    </row>
    <row r="559" spans="1:20" x14ac:dyDescent="0.3">
      <c r="A559" t="s">
        <v>1112</v>
      </c>
      <c r="B559">
        <v>45451</v>
      </c>
      <c r="C559" t="s">
        <v>310</v>
      </c>
      <c r="D559" t="s">
        <v>311</v>
      </c>
      <c r="E559" t="s">
        <v>23</v>
      </c>
      <c r="F559">
        <v>19</v>
      </c>
      <c r="G559" t="s">
        <v>126</v>
      </c>
      <c r="H559" s="14" t="s">
        <v>127</v>
      </c>
      <c r="I559" s="14" t="s">
        <v>63</v>
      </c>
      <c r="J559" s="14" t="s">
        <v>64</v>
      </c>
      <c r="K559" s="14" t="s">
        <v>39</v>
      </c>
      <c r="L559" s="14" t="s">
        <v>40</v>
      </c>
      <c r="M559" s="14">
        <v>4</v>
      </c>
      <c r="N559" s="14">
        <v>2396</v>
      </c>
      <c r="O559" s="14">
        <v>1320</v>
      </c>
      <c r="P559" s="14">
        <v>0</v>
      </c>
      <c r="Q559" s="14" t="s">
        <v>50</v>
      </c>
      <c r="R559" s="14" t="s">
        <v>42</v>
      </c>
      <c r="S559" s="14">
        <v>45462</v>
      </c>
      <c r="T559" s="14">
        <v>4</v>
      </c>
    </row>
    <row r="560" spans="1:20" x14ac:dyDescent="0.3">
      <c r="A560" t="s">
        <v>1113</v>
      </c>
      <c r="B560">
        <v>45860</v>
      </c>
      <c r="C560" t="s">
        <v>523</v>
      </c>
      <c r="D560" t="s">
        <v>524</v>
      </c>
      <c r="E560" t="s">
        <v>77</v>
      </c>
      <c r="F560">
        <v>49</v>
      </c>
      <c r="G560" t="s">
        <v>161</v>
      </c>
      <c r="H560" s="14" t="s">
        <v>25</v>
      </c>
      <c r="I560" s="14" t="s">
        <v>70</v>
      </c>
      <c r="J560" s="14" t="s">
        <v>71</v>
      </c>
      <c r="K560" s="14" t="s">
        <v>28</v>
      </c>
      <c r="L560" s="14" t="s">
        <v>72</v>
      </c>
      <c r="M560" s="14">
        <v>5</v>
      </c>
      <c r="N560" s="14">
        <v>5621.25</v>
      </c>
      <c r="O560" s="14">
        <v>4600</v>
      </c>
      <c r="P560" s="14">
        <v>25</v>
      </c>
      <c r="Q560" s="14" t="s">
        <v>41</v>
      </c>
      <c r="R560" s="14" t="s">
        <v>42</v>
      </c>
      <c r="S560" s="14">
        <v>45864</v>
      </c>
      <c r="T560" s="14">
        <v>4</v>
      </c>
    </row>
    <row r="561" spans="1:20" x14ac:dyDescent="0.3">
      <c r="A561" t="s">
        <v>1114</v>
      </c>
      <c r="B561">
        <v>45323</v>
      </c>
      <c r="C561" t="s">
        <v>345</v>
      </c>
      <c r="D561" t="s">
        <v>346</v>
      </c>
      <c r="E561" t="s">
        <v>23</v>
      </c>
      <c r="F561">
        <v>18</v>
      </c>
      <c r="G561" t="s">
        <v>165</v>
      </c>
      <c r="H561" s="14" t="s">
        <v>166</v>
      </c>
      <c r="I561" s="14" t="s">
        <v>92</v>
      </c>
      <c r="J561" s="14" t="s">
        <v>93</v>
      </c>
      <c r="K561" s="14" t="s">
        <v>87</v>
      </c>
      <c r="L561" s="14" t="s">
        <v>94</v>
      </c>
      <c r="M561" s="14">
        <v>5</v>
      </c>
      <c r="N561" s="14">
        <v>7195.5</v>
      </c>
      <c r="O561" s="14">
        <v>4650</v>
      </c>
      <c r="P561" s="14">
        <v>10</v>
      </c>
      <c r="Q561" s="14" t="s">
        <v>50</v>
      </c>
      <c r="R561" s="14" t="s">
        <v>65</v>
      </c>
    </row>
    <row r="562" spans="1:20" x14ac:dyDescent="0.3">
      <c r="A562" t="s">
        <v>1115</v>
      </c>
      <c r="B562">
        <v>45690</v>
      </c>
      <c r="C562" t="s">
        <v>390</v>
      </c>
      <c r="D562" t="s">
        <v>391</v>
      </c>
      <c r="E562" t="s">
        <v>23</v>
      </c>
      <c r="F562">
        <v>52</v>
      </c>
      <c r="G562" t="s">
        <v>69</v>
      </c>
      <c r="H562" s="14" t="s">
        <v>69</v>
      </c>
      <c r="I562" s="14" t="s">
        <v>143</v>
      </c>
      <c r="J562" s="14" t="s">
        <v>144</v>
      </c>
      <c r="K562" s="14" t="s">
        <v>130</v>
      </c>
      <c r="L562" s="14" t="s">
        <v>131</v>
      </c>
      <c r="M562" s="14">
        <v>3</v>
      </c>
      <c r="N562" s="14">
        <v>16497</v>
      </c>
      <c r="O562" s="14">
        <v>12900</v>
      </c>
      <c r="P562" s="14">
        <v>0</v>
      </c>
      <c r="Q562" s="14" t="s">
        <v>41</v>
      </c>
      <c r="R562" s="14" t="s">
        <v>42</v>
      </c>
      <c r="S562" s="14">
        <v>45693</v>
      </c>
      <c r="T562" s="14">
        <v>5</v>
      </c>
    </row>
    <row r="563" spans="1:20" x14ac:dyDescent="0.3">
      <c r="A563" t="s">
        <v>1116</v>
      </c>
      <c r="B563">
        <v>45535</v>
      </c>
      <c r="C563" t="s">
        <v>669</v>
      </c>
      <c r="D563" t="s">
        <v>509</v>
      </c>
      <c r="E563" t="s">
        <v>77</v>
      </c>
      <c r="F563">
        <v>28</v>
      </c>
      <c r="G563" t="s">
        <v>61</v>
      </c>
      <c r="H563" s="14" t="s">
        <v>62</v>
      </c>
      <c r="I563" s="14" t="s">
        <v>143</v>
      </c>
      <c r="J563" s="14" t="s">
        <v>144</v>
      </c>
      <c r="K563" s="14" t="s">
        <v>130</v>
      </c>
      <c r="L563" s="14" t="s">
        <v>131</v>
      </c>
      <c r="M563" s="14">
        <v>2</v>
      </c>
      <c r="N563" s="14">
        <v>8798.4</v>
      </c>
      <c r="O563" s="14">
        <v>8600</v>
      </c>
      <c r="P563" s="14">
        <v>20</v>
      </c>
      <c r="Q563" s="14" t="s">
        <v>30</v>
      </c>
      <c r="R563" s="14" t="s">
        <v>42</v>
      </c>
      <c r="S563" s="14">
        <v>45542</v>
      </c>
      <c r="T563" s="14">
        <v>2</v>
      </c>
    </row>
    <row r="564" spans="1:20" x14ac:dyDescent="0.3">
      <c r="A564" t="s">
        <v>1117</v>
      </c>
      <c r="B564">
        <v>45498</v>
      </c>
      <c r="C564" t="s">
        <v>926</v>
      </c>
      <c r="D564" t="s">
        <v>927</v>
      </c>
      <c r="E564" t="s">
        <v>23</v>
      </c>
      <c r="F564">
        <v>42</v>
      </c>
      <c r="G564" t="s">
        <v>61</v>
      </c>
      <c r="H564" s="14" t="s">
        <v>62</v>
      </c>
      <c r="I564" s="14" t="s">
        <v>112</v>
      </c>
      <c r="J564" s="14" t="s">
        <v>113</v>
      </c>
      <c r="K564" s="14" t="s">
        <v>114</v>
      </c>
      <c r="L564" s="14" t="s">
        <v>115</v>
      </c>
      <c r="M564" s="14">
        <v>1</v>
      </c>
      <c r="N564" s="14">
        <v>419.4</v>
      </c>
      <c r="O564" s="14">
        <v>370</v>
      </c>
      <c r="P564" s="14">
        <v>40</v>
      </c>
      <c r="Q564" s="14" t="s">
        <v>50</v>
      </c>
      <c r="R564" s="14" t="s">
        <v>42</v>
      </c>
      <c r="S564" s="14">
        <v>45503</v>
      </c>
      <c r="T564" s="14">
        <v>4</v>
      </c>
    </row>
    <row r="565" spans="1:20" x14ac:dyDescent="0.3">
      <c r="A565" t="s">
        <v>1118</v>
      </c>
      <c r="B565">
        <v>45787</v>
      </c>
      <c r="C565" t="s">
        <v>1051</v>
      </c>
      <c r="D565" t="s">
        <v>1052</v>
      </c>
      <c r="E565" t="s">
        <v>77</v>
      </c>
      <c r="F565">
        <v>47</v>
      </c>
      <c r="G565" t="s">
        <v>35</v>
      </c>
      <c r="H565" s="14" t="s">
        <v>36</v>
      </c>
      <c r="I565" s="14" t="s">
        <v>183</v>
      </c>
      <c r="J565" s="14" t="s">
        <v>184</v>
      </c>
      <c r="K565" s="14" t="s">
        <v>130</v>
      </c>
      <c r="L565" s="14" t="s">
        <v>185</v>
      </c>
      <c r="M565" s="14">
        <v>2</v>
      </c>
      <c r="N565" s="14">
        <v>7598.1</v>
      </c>
      <c r="O565" s="14">
        <v>6100</v>
      </c>
      <c r="P565" s="14">
        <v>5</v>
      </c>
      <c r="Q565" s="14" t="s">
        <v>50</v>
      </c>
      <c r="R565" s="14" t="s">
        <v>31</v>
      </c>
      <c r="S565" s="14">
        <v>45791</v>
      </c>
      <c r="T565" s="14">
        <v>4</v>
      </c>
    </row>
    <row r="566" spans="1:20" x14ac:dyDescent="0.3">
      <c r="A566" t="s">
        <v>1119</v>
      </c>
      <c r="B566">
        <v>45329</v>
      </c>
      <c r="C566" t="s">
        <v>310</v>
      </c>
      <c r="D566" t="s">
        <v>311</v>
      </c>
      <c r="E566" t="s">
        <v>23</v>
      </c>
      <c r="F566">
        <v>19</v>
      </c>
      <c r="G566" t="s">
        <v>165</v>
      </c>
      <c r="H566" s="14" t="s">
        <v>166</v>
      </c>
      <c r="I566" s="14" t="s">
        <v>85</v>
      </c>
      <c r="J566" s="14" t="s">
        <v>86</v>
      </c>
      <c r="K566" s="14" t="s">
        <v>87</v>
      </c>
      <c r="L566" s="14" t="s">
        <v>88</v>
      </c>
      <c r="M566" s="14">
        <v>5</v>
      </c>
      <c r="N566" s="14">
        <v>6645.25</v>
      </c>
      <c r="O566" s="14">
        <v>3950</v>
      </c>
      <c r="P566" s="14">
        <v>5</v>
      </c>
      <c r="Q566" s="14" t="s">
        <v>73</v>
      </c>
      <c r="R566" s="14" t="s">
        <v>42</v>
      </c>
      <c r="S566" s="14">
        <v>45331</v>
      </c>
      <c r="T566" s="14">
        <v>3</v>
      </c>
    </row>
    <row r="567" spans="1:20" x14ac:dyDescent="0.3">
      <c r="A567" t="s">
        <v>1120</v>
      </c>
      <c r="B567">
        <v>45633</v>
      </c>
      <c r="C567" t="s">
        <v>1121</v>
      </c>
      <c r="D567" t="s">
        <v>1122</v>
      </c>
      <c r="E567" t="s">
        <v>77</v>
      </c>
      <c r="F567">
        <v>47</v>
      </c>
      <c r="G567" t="s">
        <v>24</v>
      </c>
      <c r="H567" s="14" t="s">
        <v>25</v>
      </c>
      <c r="I567" s="14" t="s">
        <v>229</v>
      </c>
      <c r="J567" s="14" t="s">
        <v>230</v>
      </c>
      <c r="K567" s="14" t="s">
        <v>28</v>
      </c>
      <c r="L567" s="14" t="s">
        <v>231</v>
      </c>
      <c r="M567" s="14">
        <v>5</v>
      </c>
      <c r="N567" s="14">
        <v>7996</v>
      </c>
      <c r="O567" s="14">
        <v>6150</v>
      </c>
      <c r="P567" s="14">
        <v>20</v>
      </c>
      <c r="Q567" s="14" t="s">
        <v>73</v>
      </c>
      <c r="R567" s="14" t="s">
        <v>65</v>
      </c>
    </row>
    <row r="568" spans="1:20" x14ac:dyDescent="0.3">
      <c r="A568" t="s">
        <v>1123</v>
      </c>
      <c r="B568">
        <v>45611</v>
      </c>
      <c r="C568" t="s">
        <v>849</v>
      </c>
      <c r="D568" t="s">
        <v>850</v>
      </c>
      <c r="E568" t="s">
        <v>23</v>
      </c>
      <c r="F568">
        <v>21</v>
      </c>
      <c r="G568" t="s">
        <v>126</v>
      </c>
      <c r="H568" s="14" t="s">
        <v>127</v>
      </c>
      <c r="I568" s="14" t="s">
        <v>70</v>
      </c>
      <c r="J568" s="14" t="s">
        <v>71</v>
      </c>
      <c r="K568" s="14" t="s">
        <v>28</v>
      </c>
      <c r="L568" s="14" t="s">
        <v>72</v>
      </c>
      <c r="M568" s="14">
        <v>2</v>
      </c>
      <c r="N568" s="14">
        <v>2398.4</v>
      </c>
      <c r="O568" s="14">
        <v>1840</v>
      </c>
      <c r="P568" s="14">
        <v>20</v>
      </c>
      <c r="Q568" s="14" t="s">
        <v>41</v>
      </c>
      <c r="R568" s="14" t="s">
        <v>65</v>
      </c>
    </row>
    <row r="569" spans="1:20" x14ac:dyDescent="0.3">
      <c r="A569" t="s">
        <v>1124</v>
      </c>
      <c r="B569">
        <v>45618</v>
      </c>
      <c r="C569" t="s">
        <v>217</v>
      </c>
      <c r="D569" t="s">
        <v>218</v>
      </c>
      <c r="E569" t="s">
        <v>77</v>
      </c>
      <c r="F569">
        <v>18</v>
      </c>
      <c r="G569" t="s">
        <v>69</v>
      </c>
      <c r="H569" s="14" t="s">
        <v>69</v>
      </c>
      <c r="I569" s="14" t="s">
        <v>128</v>
      </c>
      <c r="J569" s="14" t="s">
        <v>129</v>
      </c>
      <c r="K569" s="14" t="s">
        <v>130</v>
      </c>
      <c r="L569" s="14" t="s">
        <v>131</v>
      </c>
      <c r="M569" s="14">
        <v>2</v>
      </c>
      <c r="N569" s="14">
        <v>11698.2</v>
      </c>
      <c r="O569" s="14">
        <v>10200</v>
      </c>
      <c r="P569" s="14">
        <v>10</v>
      </c>
      <c r="Q569" s="14" t="s">
        <v>41</v>
      </c>
      <c r="R569" s="14" t="s">
        <v>42</v>
      </c>
      <c r="S569" s="14">
        <v>45620</v>
      </c>
      <c r="T569" s="14">
        <v>3</v>
      </c>
    </row>
    <row r="570" spans="1:20" x14ac:dyDescent="0.3">
      <c r="A570" t="s">
        <v>1125</v>
      </c>
      <c r="B570">
        <v>45503</v>
      </c>
      <c r="C570" t="s">
        <v>133</v>
      </c>
      <c r="D570" t="s">
        <v>857</v>
      </c>
      <c r="E570" t="s">
        <v>77</v>
      </c>
      <c r="F570">
        <v>56</v>
      </c>
      <c r="G570" t="s">
        <v>211</v>
      </c>
      <c r="H570" s="14" t="s">
        <v>127</v>
      </c>
      <c r="I570" s="14" t="s">
        <v>222</v>
      </c>
      <c r="J570" s="14" t="s">
        <v>223</v>
      </c>
      <c r="K570" s="14" t="s">
        <v>114</v>
      </c>
      <c r="L570" s="14" t="s">
        <v>115</v>
      </c>
      <c r="M570" s="14">
        <v>3</v>
      </c>
      <c r="N570" s="14">
        <v>2157.6</v>
      </c>
      <c r="O570" s="14">
        <v>1530</v>
      </c>
      <c r="P570" s="14">
        <v>20</v>
      </c>
      <c r="Q570" s="14" t="s">
        <v>30</v>
      </c>
      <c r="R570" s="14" t="s">
        <v>31</v>
      </c>
      <c r="S570" s="14">
        <v>45509</v>
      </c>
      <c r="T570" s="14">
        <v>4</v>
      </c>
    </row>
    <row r="571" spans="1:20" x14ac:dyDescent="0.3">
      <c r="A571" t="s">
        <v>1126</v>
      </c>
      <c r="B571">
        <v>45467</v>
      </c>
      <c r="C571" t="s">
        <v>657</v>
      </c>
      <c r="D571" t="s">
        <v>658</v>
      </c>
      <c r="E571" t="s">
        <v>23</v>
      </c>
      <c r="F571">
        <v>31</v>
      </c>
      <c r="G571" t="s">
        <v>35</v>
      </c>
      <c r="H571" s="14" t="s">
        <v>36</v>
      </c>
      <c r="I571" s="14" t="s">
        <v>155</v>
      </c>
      <c r="J571" s="14" t="s">
        <v>156</v>
      </c>
      <c r="K571" s="14" t="s">
        <v>114</v>
      </c>
      <c r="L571" s="14" t="s">
        <v>157</v>
      </c>
      <c r="M571" s="14">
        <v>3</v>
      </c>
      <c r="N571" s="14">
        <v>1798.2</v>
      </c>
      <c r="O571" s="14">
        <v>1830</v>
      </c>
      <c r="P571" s="14">
        <v>40</v>
      </c>
      <c r="Q571" s="14" t="s">
        <v>73</v>
      </c>
      <c r="R571" s="14" t="s">
        <v>42</v>
      </c>
      <c r="S571" s="14">
        <v>45469</v>
      </c>
      <c r="T571" s="14">
        <v>5</v>
      </c>
    </row>
    <row r="572" spans="1:20" x14ac:dyDescent="0.3">
      <c r="A572" t="s">
        <v>1127</v>
      </c>
      <c r="B572">
        <v>45983</v>
      </c>
      <c r="C572" t="s">
        <v>818</v>
      </c>
      <c r="D572" t="s">
        <v>819</v>
      </c>
      <c r="E572" t="s">
        <v>23</v>
      </c>
      <c r="F572">
        <v>40</v>
      </c>
      <c r="G572" t="s">
        <v>69</v>
      </c>
      <c r="H572" s="14" t="s">
        <v>69</v>
      </c>
      <c r="I572" s="14" t="s">
        <v>47</v>
      </c>
      <c r="J572" s="14" t="s">
        <v>48</v>
      </c>
      <c r="K572" s="14" t="s">
        <v>39</v>
      </c>
      <c r="L572" s="14" t="s">
        <v>49</v>
      </c>
      <c r="M572" s="14">
        <v>1</v>
      </c>
      <c r="N572" s="14">
        <v>379.05</v>
      </c>
      <c r="O572" s="14">
        <v>210</v>
      </c>
      <c r="P572" s="14">
        <v>5</v>
      </c>
      <c r="Q572" s="14" t="s">
        <v>103</v>
      </c>
      <c r="R572" s="14" t="s">
        <v>42</v>
      </c>
      <c r="S572" s="14">
        <v>45987</v>
      </c>
      <c r="T572" s="14">
        <v>5</v>
      </c>
    </row>
    <row r="573" spans="1:20" x14ac:dyDescent="0.3">
      <c r="A573" t="s">
        <v>1128</v>
      </c>
      <c r="B573">
        <v>45923</v>
      </c>
      <c r="C573" t="s">
        <v>893</v>
      </c>
      <c r="D573" t="s">
        <v>894</v>
      </c>
      <c r="E573" t="s">
        <v>77</v>
      </c>
      <c r="F573">
        <v>42</v>
      </c>
      <c r="G573" t="s">
        <v>35</v>
      </c>
      <c r="H573" s="14" t="s">
        <v>36</v>
      </c>
      <c r="I573" s="14" t="s">
        <v>183</v>
      </c>
      <c r="J573" s="14" t="s">
        <v>184</v>
      </c>
      <c r="K573" s="14" t="s">
        <v>130</v>
      </c>
      <c r="L573" s="14" t="s">
        <v>185</v>
      </c>
      <c r="M573" s="14">
        <v>2</v>
      </c>
      <c r="N573" s="14">
        <v>7598.1</v>
      </c>
      <c r="O573" s="14">
        <v>6100</v>
      </c>
      <c r="P573" s="14">
        <v>5</v>
      </c>
      <c r="Q573" s="14" t="s">
        <v>103</v>
      </c>
      <c r="R573" s="14" t="s">
        <v>65</v>
      </c>
    </row>
    <row r="574" spans="1:20" x14ac:dyDescent="0.3">
      <c r="A574" t="s">
        <v>1129</v>
      </c>
      <c r="B574">
        <v>45426</v>
      </c>
      <c r="C574" t="s">
        <v>926</v>
      </c>
      <c r="D574" t="s">
        <v>927</v>
      </c>
      <c r="E574" t="s">
        <v>23</v>
      </c>
      <c r="F574">
        <v>42</v>
      </c>
      <c r="G574" t="s">
        <v>61</v>
      </c>
      <c r="H574" s="14" t="s">
        <v>62</v>
      </c>
      <c r="I574" s="14" t="s">
        <v>229</v>
      </c>
      <c r="J574" s="14" t="s">
        <v>230</v>
      </c>
      <c r="K574" s="14" t="s">
        <v>28</v>
      </c>
      <c r="L574" s="14" t="s">
        <v>231</v>
      </c>
      <c r="M574" s="14">
        <v>4</v>
      </c>
      <c r="N574" s="14">
        <v>6396.8</v>
      </c>
      <c r="O574" s="14">
        <v>4920</v>
      </c>
      <c r="P574" s="14">
        <v>20</v>
      </c>
      <c r="Q574" s="14" t="s">
        <v>103</v>
      </c>
      <c r="R574" s="14" t="s">
        <v>42</v>
      </c>
      <c r="S574" s="14">
        <v>45431</v>
      </c>
      <c r="T574" s="14">
        <v>4</v>
      </c>
    </row>
    <row r="575" spans="1:20" x14ac:dyDescent="0.3">
      <c r="A575" t="s">
        <v>1130</v>
      </c>
      <c r="B575">
        <v>45439</v>
      </c>
      <c r="C575" t="s">
        <v>1106</v>
      </c>
      <c r="D575" t="s">
        <v>953</v>
      </c>
      <c r="E575" t="s">
        <v>23</v>
      </c>
      <c r="F575">
        <v>25</v>
      </c>
      <c r="G575" t="s">
        <v>211</v>
      </c>
      <c r="H575" s="14" t="s">
        <v>127</v>
      </c>
      <c r="I575" s="14" t="s">
        <v>47</v>
      </c>
      <c r="J575" s="14" t="s">
        <v>48</v>
      </c>
      <c r="K575" s="14" t="s">
        <v>39</v>
      </c>
      <c r="L575" s="14" t="s">
        <v>49</v>
      </c>
      <c r="M575" s="14">
        <v>2</v>
      </c>
      <c r="N575" s="14">
        <v>598.5</v>
      </c>
      <c r="O575" s="14">
        <v>420</v>
      </c>
      <c r="P575" s="14">
        <v>25</v>
      </c>
      <c r="Q575" s="14" t="s">
        <v>41</v>
      </c>
      <c r="R575" s="14" t="s">
        <v>42</v>
      </c>
      <c r="S575" s="14">
        <v>45448</v>
      </c>
      <c r="T575" s="14">
        <v>2</v>
      </c>
    </row>
    <row r="576" spans="1:20" x14ac:dyDescent="0.3">
      <c r="A576" t="s">
        <v>1131</v>
      </c>
      <c r="B576">
        <v>45358</v>
      </c>
      <c r="C576" t="s">
        <v>340</v>
      </c>
      <c r="D576" t="s">
        <v>341</v>
      </c>
      <c r="E576" t="s">
        <v>23</v>
      </c>
      <c r="F576">
        <v>21</v>
      </c>
      <c r="G576" t="s">
        <v>69</v>
      </c>
      <c r="H576" s="14" t="s">
        <v>69</v>
      </c>
      <c r="I576" s="14" t="s">
        <v>245</v>
      </c>
      <c r="J576" s="14" t="s">
        <v>246</v>
      </c>
      <c r="K576" s="14" t="s">
        <v>130</v>
      </c>
      <c r="L576" s="14" t="s">
        <v>247</v>
      </c>
      <c r="M576" s="14">
        <v>4</v>
      </c>
      <c r="N576" s="14">
        <v>5997.6</v>
      </c>
      <c r="O576" s="14">
        <v>7480</v>
      </c>
      <c r="P576" s="14">
        <v>40</v>
      </c>
      <c r="Q576" s="14" t="s">
        <v>30</v>
      </c>
      <c r="R576" s="14" t="s">
        <v>42</v>
      </c>
      <c r="S576" s="14">
        <v>45365</v>
      </c>
      <c r="T576" s="14">
        <v>3</v>
      </c>
    </row>
    <row r="577" spans="1:20" x14ac:dyDescent="0.3">
      <c r="A577" t="s">
        <v>1132</v>
      </c>
      <c r="B577">
        <v>45812</v>
      </c>
      <c r="C577" t="s">
        <v>650</v>
      </c>
      <c r="D577" t="s">
        <v>638</v>
      </c>
      <c r="E577" t="s">
        <v>77</v>
      </c>
      <c r="F577">
        <v>25</v>
      </c>
      <c r="G577" t="s">
        <v>165</v>
      </c>
      <c r="H577" s="14" t="s">
        <v>166</v>
      </c>
      <c r="I577" s="14" t="s">
        <v>85</v>
      </c>
      <c r="J577" s="14" t="s">
        <v>86</v>
      </c>
      <c r="K577" s="14" t="s">
        <v>87</v>
      </c>
      <c r="L577" s="14" t="s">
        <v>88</v>
      </c>
      <c r="M577" s="14">
        <v>1</v>
      </c>
      <c r="N577" s="14">
        <v>1049.25</v>
      </c>
      <c r="O577" s="14">
        <v>790</v>
      </c>
      <c r="P577" s="14">
        <v>25</v>
      </c>
      <c r="Q577" s="14" t="s">
        <v>50</v>
      </c>
      <c r="R577" s="14" t="s">
        <v>31</v>
      </c>
      <c r="S577" s="14">
        <v>45815</v>
      </c>
      <c r="T577" s="14">
        <v>4</v>
      </c>
    </row>
    <row r="578" spans="1:20" x14ac:dyDescent="0.3">
      <c r="A578" t="s">
        <v>1133</v>
      </c>
      <c r="B578">
        <v>45837</v>
      </c>
      <c r="C578" t="s">
        <v>146</v>
      </c>
      <c r="D578" t="s">
        <v>147</v>
      </c>
      <c r="E578" t="s">
        <v>23</v>
      </c>
      <c r="F578">
        <v>45</v>
      </c>
      <c r="G578" t="s">
        <v>165</v>
      </c>
      <c r="H578" s="14" t="s">
        <v>166</v>
      </c>
      <c r="I578" s="14" t="s">
        <v>198</v>
      </c>
      <c r="J578" s="14" t="s">
        <v>199</v>
      </c>
      <c r="K578" s="14" t="s">
        <v>114</v>
      </c>
      <c r="L578" s="14" t="s">
        <v>200</v>
      </c>
      <c r="M578" s="14">
        <v>4</v>
      </c>
      <c r="N578" s="14">
        <v>4416.6000000000004</v>
      </c>
      <c r="O578" s="14">
        <v>3040</v>
      </c>
      <c r="P578" s="14">
        <v>15</v>
      </c>
      <c r="Q578" s="14" t="s">
        <v>50</v>
      </c>
      <c r="R578" s="14" t="s">
        <v>42</v>
      </c>
      <c r="S578" s="14">
        <v>45847</v>
      </c>
      <c r="T578" s="14">
        <v>3</v>
      </c>
    </row>
    <row r="579" spans="1:20" x14ac:dyDescent="0.3">
      <c r="A579" t="s">
        <v>1134</v>
      </c>
      <c r="B579">
        <v>45785</v>
      </c>
      <c r="C579" t="s">
        <v>152</v>
      </c>
      <c r="D579" t="s">
        <v>153</v>
      </c>
      <c r="E579" t="s">
        <v>23</v>
      </c>
      <c r="F579">
        <v>33</v>
      </c>
      <c r="G579" t="s">
        <v>46</v>
      </c>
      <c r="H579" s="14" t="s">
        <v>25</v>
      </c>
      <c r="I579" s="14" t="s">
        <v>183</v>
      </c>
      <c r="J579" s="14" t="s">
        <v>184</v>
      </c>
      <c r="K579" s="14" t="s">
        <v>130</v>
      </c>
      <c r="L579" s="14" t="s">
        <v>185</v>
      </c>
      <c r="M579" s="14">
        <v>2</v>
      </c>
      <c r="N579" s="14">
        <v>5598.6</v>
      </c>
      <c r="O579" s="14">
        <v>6100</v>
      </c>
      <c r="P579" s="14">
        <v>30</v>
      </c>
      <c r="Q579" s="14" t="s">
        <v>103</v>
      </c>
      <c r="R579" s="14" t="s">
        <v>65</v>
      </c>
    </row>
    <row r="580" spans="1:20" x14ac:dyDescent="0.3">
      <c r="A580" t="s">
        <v>1135</v>
      </c>
      <c r="B580">
        <v>45642</v>
      </c>
      <c r="C580" t="s">
        <v>401</v>
      </c>
      <c r="D580" t="s">
        <v>402</v>
      </c>
      <c r="E580" t="s">
        <v>23</v>
      </c>
      <c r="F580">
        <v>53</v>
      </c>
      <c r="G580" t="s">
        <v>90</v>
      </c>
      <c r="H580" s="14" t="s">
        <v>91</v>
      </c>
      <c r="I580" s="14" t="s">
        <v>319</v>
      </c>
      <c r="J580" s="14" t="s">
        <v>320</v>
      </c>
      <c r="K580" s="14" t="s">
        <v>28</v>
      </c>
      <c r="L580" s="14" t="s">
        <v>29</v>
      </c>
      <c r="M580" s="14">
        <v>1</v>
      </c>
      <c r="N580" s="14">
        <v>719.4</v>
      </c>
      <c r="O580" s="14">
        <v>710</v>
      </c>
      <c r="P580" s="14">
        <v>40</v>
      </c>
      <c r="Q580" s="14" t="s">
        <v>73</v>
      </c>
      <c r="R580" s="14" t="s">
        <v>65</v>
      </c>
    </row>
    <row r="581" spans="1:20" x14ac:dyDescent="0.3">
      <c r="A581" t="s">
        <v>1136</v>
      </c>
      <c r="B581">
        <v>45902</v>
      </c>
      <c r="C581" t="s">
        <v>1137</v>
      </c>
      <c r="D581" t="s">
        <v>1018</v>
      </c>
      <c r="E581" t="s">
        <v>23</v>
      </c>
      <c r="F581">
        <v>29</v>
      </c>
      <c r="G581" t="s">
        <v>126</v>
      </c>
      <c r="H581" s="14" t="s">
        <v>127</v>
      </c>
      <c r="I581" s="14" t="s">
        <v>222</v>
      </c>
      <c r="J581" s="14" t="s">
        <v>223</v>
      </c>
      <c r="K581" s="14" t="s">
        <v>114</v>
      </c>
      <c r="L581" s="14" t="s">
        <v>115</v>
      </c>
      <c r="M581" s="14">
        <v>1</v>
      </c>
      <c r="N581" s="14">
        <v>539.4</v>
      </c>
      <c r="O581" s="14">
        <v>510</v>
      </c>
      <c r="P581" s="14">
        <v>40</v>
      </c>
      <c r="Q581" s="14" t="s">
        <v>30</v>
      </c>
      <c r="R581" s="14" t="s">
        <v>42</v>
      </c>
      <c r="S581" s="14">
        <v>45910</v>
      </c>
      <c r="T581" s="14">
        <v>3</v>
      </c>
    </row>
    <row r="582" spans="1:20" x14ac:dyDescent="0.3">
      <c r="A582" t="s">
        <v>1138</v>
      </c>
      <c r="B582">
        <v>45904</v>
      </c>
      <c r="C582" t="s">
        <v>1103</v>
      </c>
      <c r="D582" t="s">
        <v>1104</v>
      </c>
      <c r="E582" t="s">
        <v>77</v>
      </c>
      <c r="F582">
        <v>50</v>
      </c>
      <c r="G582" t="s">
        <v>165</v>
      </c>
      <c r="H582" s="14" t="s">
        <v>166</v>
      </c>
      <c r="I582" s="14" t="s">
        <v>183</v>
      </c>
      <c r="J582" s="14" t="s">
        <v>184</v>
      </c>
      <c r="K582" s="14" t="s">
        <v>130</v>
      </c>
      <c r="L582" s="14" t="s">
        <v>185</v>
      </c>
      <c r="M582" s="14">
        <v>4</v>
      </c>
      <c r="N582" s="14">
        <v>15996</v>
      </c>
      <c r="O582" s="14">
        <v>12200</v>
      </c>
      <c r="P582" s="14">
        <v>0</v>
      </c>
      <c r="Q582" s="14" t="s">
        <v>73</v>
      </c>
      <c r="R582" s="14" t="s">
        <v>42</v>
      </c>
      <c r="S582" s="14">
        <v>45908</v>
      </c>
      <c r="T582" s="14">
        <v>2</v>
      </c>
    </row>
    <row r="583" spans="1:20" x14ac:dyDescent="0.3">
      <c r="A583" t="s">
        <v>1139</v>
      </c>
      <c r="B583">
        <v>45442</v>
      </c>
      <c r="C583" t="s">
        <v>52</v>
      </c>
      <c r="D583" t="s">
        <v>53</v>
      </c>
      <c r="E583" t="s">
        <v>23</v>
      </c>
      <c r="F583">
        <v>18</v>
      </c>
      <c r="G583" t="s">
        <v>61</v>
      </c>
      <c r="H583" s="14" t="s">
        <v>62</v>
      </c>
      <c r="I583" s="14" t="s">
        <v>222</v>
      </c>
      <c r="J583" s="14" t="s">
        <v>223</v>
      </c>
      <c r="K583" s="14" t="s">
        <v>114</v>
      </c>
      <c r="L583" s="14" t="s">
        <v>115</v>
      </c>
      <c r="M583" s="14">
        <v>3</v>
      </c>
      <c r="N583" s="14">
        <v>1887.9</v>
      </c>
      <c r="O583" s="14">
        <v>1530</v>
      </c>
      <c r="P583" s="14">
        <v>30</v>
      </c>
      <c r="Q583" s="14" t="s">
        <v>50</v>
      </c>
      <c r="R583" s="14" t="s">
        <v>65</v>
      </c>
    </row>
    <row r="584" spans="1:20" x14ac:dyDescent="0.3">
      <c r="A584" t="s">
        <v>1140</v>
      </c>
      <c r="B584">
        <v>45749</v>
      </c>
      <c r="C584" t="s">
        <v>970</v>
      </c>
      <c r="D584" t="s">
        <v>385</v>
      </c>
      <c r="E584" t="s">
        <v>23</v>
      </c>
      <c r="F584">
        <v>34</v>
      </c>
      <c r="G584" t="s">
        <v>154</v>
      </c>
      <c r="H584" s="14" t="s">
        <v>91</v>
      </c>
      <c r="I584" s="14" t="s">
        <v>107</v>
      </c>
      <c r="J584" s="14" t="s">
        <v>108</v>
      </c>
      <c r="K584" s="14" t="s">
        <v>87</v>
      </c>
      <c r="L584" s="14" t="s">
        <v>88</v>
      </c>
      <c r="M584" s="14">
        <v>3</v>
      </c>
      <c r="N584" s="14">
        <v>1917.6</v>
      </c>
      <c r="O584" s="14">
        <v>1260</v>
      </c>
      <c r="P584" s="14">
        <v>20</v>
      </c>
      <c r="Q584" s="14" t="s">
        <v>50</v>
      </c>
      <c r="R584" s="14" t="s">
        <v>57</v>
      </c>
      <c r="S584" s="14">
        <v>45761</v>
      </c>
      <c r="T584" s="14">
        <v>4</v>
      </c>
    </row>
    <row r="585" spans="1:20" x14ac:dyDescent="0.3">
      <c r="A585" t="s">
        <v>1141</v>
      </c>
      <c r="B585">
        <v>45737</v>
      </c>
      <c r="C585" t="s">
        <v>1142</v>
      </c>
      <c r="D585" t="s">
        <v>1143</v>
      </c>
      <c r="E585" t="s">
        <v>77</v>
      </c>
      <c r="F585">
        <v>57</v>
      </c>
      <c r="G585" t="s">
        <v>46</v>
      </c>
      <c r="H585" s="14" t="s">
        <v>25</v>
      </c>
      <c r="I585" s="14" t="s">
        <v>198</v>
      </c>
      <c r="J585" s="14" t="s">
        <v>199</v>
      </c>
      <c r="K585" s="14" t="s">
        <v>114</v>
      </c>
      <c r="L585" s="14" t="s">
        <v>200</v>
      </c>
      <c r="M585" s="14">
        <v>1</v>
      </c>
      <c r="N585" s="14">
        <v>909.3</v>
      </c>
      <c r="O585" s="14">
        <v>760</v>
      </c>
      <c r="P585" s="14">
        <v>30</v>
      </c>
      <c r="Q585" s="14" t="s">
        <v>30</v>
      </c>
      <c r="R585" s="14" t="s">
        <v>57</v>
      </c>
      <c r="S585" s="14">
        <v>45743</v>
      </c>
      <c r="T585" s="14">
        <v>2</v>
      </c>
    </row>
    <row r="586" spans="1:20" x14ac:dyDescent="0.3">
      <c r="A586" t="s">
        <v>1144</v>
      </c>
      <c r="B586">
        <v>45670</v>
      </c>
      <c r="C586" t="s">
        <v>495</v>
      </c>
      <c r="D586" t="s">
        <v>496</v>
      </c>
      <c r="E586" t="s">
        <v>77</v>
      </c>
      <c r="F586">
        <v>33</v>
      </c>
      <c r="G586" t="s">
        <v>24</v>
      </c>
      <c r="H586" s="14" t="s">
        <v>25</v>
      </c>
      <c r="I586" s="14" t="s">
        <v>80</v>
      </c>
      <c r="J586" s="14" t="s">
        <v>81</v>
      </c>
      <c r="K586" s="14" t="s">
        <v>28</v>
      </c>
      <c r="L586" s="14" t="s">
        <v>29</v>
      </c>
      <c r="M586" s="14">
        <v>5</v>
      </c>
      <c r="N586" s="14">
        <v>2996.25</v>
      </c>
      <c r="O586" s="14">
        <v>2350</v>
      </c>
      <c r="P586" s="14">
        <v>25</v>
      </c>
      <c r="Q586" s="14" t="s">
        <v>73</v>
      </c>
      <c r="R586" s="14" t="s">
        <v>57</v>
      </c>
      <c r="S586" s="14">
        <v>45676</v>
      </c>
      <c r="T586" s="14">
        <v>6</v>
      </c>
    </row>
    <row r="587" spans="1:20" x14ac:dyDescent="0.3">
      <c r="A587" t="s">
        <v>1145</v>
      </c>
      <c r="B587">
        <v>45532</v>
      </c>
      <c r="C587" t="s">
        <v>1146</v>
      </c>
      <c r="D587" t="s">
        <v>1147</v>
      </c>
      <c r="E587" t="s">
        <v>77</v>
      </c>
      <c r="F587">
        <v>47</v>
      </c>
      <c r="G587" t="s">
        <v>165</v>
      </c>
      <c r="H587" s="14" t="s">
        <v>166</v>
      </c>
      <c r="I587" s="14" t="s">
        <v>92</v>
      </c>
      <c r="J587" s="14" t="s">
        <v>93</v>
      </c>
      <c r="K587" s="14" t="s">
        <v>87</v>
      </c>
      <c r="L587" s="14" t="s">
        <v>94</v>
      </c>
      <c r="M587" s="14">
        <v>3</v>
      </c>
      <c r="N587" s="14">
        <v>3357.9</v>
      </c>
      <c r="O587" s="14">
        <v>2790</v>
      </c>
      <c r="P587" s="14">
        <v>30</v>
      </c>
      <c r="Q587" s="14" t="s">
        <v>103</v>
      </c>
      <c r="R587" s="14" t="s">
        <v>42</v>
      </c>
      <c r="S587" s="14">
        <v>45540</v>
      </c>
      <c r="T587" s="14">
        <v>4</v>
      </c>
    </row>
    <row r="588" spans="1:20" x14ac:dyDescent="0.3">
      <c r="A588" t="s">
        <v>1148</v>
      </c>
      <c r="B588">
        <v>45970</v>
      </c>
      <c r="C588" t="s">
        <v>863</v>
      </c>
      <c r="D588" t="s">
        <v>380</v>
      </c>
      <c r="E588" t="s">
        <v>77</v>
      </c>
      <c r="F588">
        <v>24</v>
      </c>
      <c r="G588" t="s">
        <v>101</v>
      </c>
      <c r="H588" s="14" t="s">
        <v>102</v>
      </c>
      <c r="I588" s="14" t="s">
        <v>252</v>
      </c>
      <c r="J588" s="14" t="s">
        <v>253</v>
      </c>
      <c r="K588" s="14" t="s">
        <v>28</v>
      </c>
      <c r="L588" s="14" t="s">
        <v>254</v>
      </c>
      <c r="M588" s="14">
        <v>2</v>
      </c>
      <c r="N588" s="14">
        <v>4198.6000000000004</v>
      </c>
      <c r="O588" s="14">
        <v>3800</v>
      </c>
      <c r="P588" s="14">
        <v>30</v>
      </c>
      <c r="Q588" s="14" t="s">
        <v>41</v>
      </c>
      <c r="R588" s="14" t="s">
        <v>57</v>
      </c>
      <c r="S588" s="14">
        <v>45978</v>
      </c>
      <c r="T588" s="14">
        <v>3</v>
      </c>
    </row>
    <row r="589" spans="1:20" x14ac:dyDescent="0.3">
      <c r="A589" t="s">
        <v>1149</v>
      </c>
      <c r="B589">
        <v>45587</v>
      </c>
      <c r="C589" t="s">
        <v>415</v>
      </c>
      <c r="D589" t="s">
        <v>416</v>
      </c>
      <c r="E589" t="s">
        <v>23</v>
      </c>
      <c r="F589">
        <v>49</v>
      </c>
      <c r="G589" t="s">
        <v>173</v>
      </c>
      <c r="H589" s="14" t="s">
        <v>79</v>
      </c>
      <c r="I589" s="14" t="s">
        <v>80</v>
      </c>
      <c r="J589" s="14" t="s">
        <v>81</v>
      </c>
      <c r="K589" s="14" t="s">
        <v>28</v>
      </c>
      <c r="L589" s="14" t="s">
        <v>29</v>
      </c>
      <c r="M589" s="14">
        <v>1</v>
      </c>
      <c r="N589" s="14">
        <v>799</v>
      </c>
      <c r="O589" s="14">
        <v>470</v>
      </c>
      <c r="P589" s="14">
        <v>0</v>
      </c>
      <c r="Q589" s="14" t="s">
        <v>30</v>
      </c>
      <c r="R589" s="14" t="s">
        <v>31</v>
      </c>
      <c r="S589" s="14">
        <v>45596</v>
      </c>
      <c r="T589" s="14">
        <v>5</v>
      </c>
    </row>
    <row r="590" spans="1:20" x14ac:dyDescent="0.3">
      <c r="A590" t="s">
        <v>1150</v>
      </c>
      <c r="B590">
        <v>45431</v>
      </c>
      <c r="C590" t="s">
        <v>351</v>
      </c>
      <c r="D590" t="s">
        <v>352</v>
      </c>
      <c r="E590" t="s">
        <v>77</v>
      </c>
      <c r="F590">
        <v>26</v>
      </c>
      <c r="G590" t="s">
        <v>173</v>
      </c>
      <c r="H590" s="14" t="s">
        <v>79</v>
      </c>
      <c r="I590" s="14" t="s">
        <v>92</v>
      </c>
      <c r="J590" s="14" t="s">
        <v>93</v>
      </c>
      <c r="K590" s="14" t="s">
        <v>87</v>
      </c>
      <c r="L590" s="14" t="s">
        <v>94</v>
      </c>
      <c r="M590" s="14">
        <v>4</v>
      </c>
      <c r="N590" s="14">
        <v>3837.6</v>
      </c>
      <c r="O590" s="14">
        <v>3720</v>
      </c>
      <c r="P590" s="14">
        <v>40</v>
      </c>
      <c r="Q590" s="14" t="s">
        <v>50</v>
      </c>
      <c r="R590" s="14" t="s">
        <v>42</v>
      </c>
      <c r="S590" s="14">
        <v>45442</v>
      </c>
      <c r="T590" s="14">
        <v>3</v>
      </c>
    </row>
    <row r="591" spans="1:20" x14ac:dyDescent="0.3">
      <c r="A591" t="s">
        <v>1151</v>
      </c>
      <c r="B591">
        <v>45757</v>
      </c>
      <c r="C591" t="s">
        <v>427</v>
      </c>
      <c r="D591" t="s">
        <v>407</v>
      </c>
      <c r="E591" t="s">
        <v>23</v>
      </c>
      <c r="F591">
        <v>40</v>
      </c>
      <c r="G591" t="s">
        <v>122</v>
      </c>
      <c r="H591" s="14" t="s">
        <v>123</v>
      </c>
      <c r="I591" s="14" t="s">
        <v>222</v>
      </c>
      <c r="J591" s="14" t="s">
        <v>223</v>
      </c>
      <c r="K591" s="14" t="s">
        <v>114</v>
      </c>
      <c r="L591" s="14" t="s">
        <v>115</v>
      </c>
      <c r="M591" s="14">
        <v>4</v>
      </c>
      <c r="N591" s="14">
        <v>2517.1999999999998</v>
      </c>
      <c r="O591" s="14">
        <v>2040</v>
      </c>
      <c r="P591" s="14">
        <v>30</v>
      </c>
      <c r="Q591" s="14" t="s">
        <v>41</v>
      </c>
      <c r="R591" s="14" t="s">
        <v>42</v>
      </c>
      <c r="S591" s="14">
        <v>45761</v>
      </c>
      <c r="T591" s="14">
        <v>5</v>
      </c>
    </row>
    <row r="592" spans="1:20" x14ac:dyDescent="0.3">
      <c r="A592" t="s">
        <v>1152</v>
      </c>
      <c r="B592">
        <v>45911</v>
      </c>
      <c r="C592" t="s">
        <v>685</v>
      </c>
      <c r="D592" t="s">
        <v>399</v>
      </c>
      <c r="E592" t="s">
        <v>77</v>
      </c>
      <c r="F592">
        <v>52</v>
      </c>
      <c r="G592" t="s">
        <v>101</v>
      </c>
      <c r="H592" s="14" t="s">
        <v>102</v>
      </c>
      <c r="I592" s="14" t="s">
        <v>177</v>
      </c>
      <c r="J592" s="14" t="s">
        <v>178</v>
      </c>
      <c r="K592" s="14" t="s">
        <v>87</v>
      </c>
      <c r="L592" s="14" t="s">
        <v>179</v>
      </c>
      <c r="M592" s="14">
        <v>2</v>
      </c>
      <c r="N592" s="14">
        <v>3998.4</v>
      </c>
      <c r="O592" s="14">
        <v>3240</v>
      </c>
      <c r="P592" s="14">
        <v>20</v>
      </c>
      <c r="Q592" s="14" t="s">
        <v>103</v>
      </c>
      <c r="R592" s="14" t="s">
        <v>65</v>
      </c>
    </row>
    <row r="593" spans="1:20" x14ac:dyDescent="0.3">
      <c r="A593" t="s">
        <v>1153</v>
      </c>
      <c r="B593">
        <v>45882</v>
      </c>
      <c r="C593" t="s">
        <v>460</v>
      </c>
      <c r="D593" t="s">
        <v>164</v>
      </c>
      <c r="E593" t="s">
        <v>77</v>
      </c>
      <c r="F593">
        <v>56</v>
      </c>
      <c r="G593" t="s">
        <v>24</v>
      </c>
      <c r="H593" s="14" t="s">
        <v>25</v>
      </c>
      <c r="I593" s="14" t="s">
        <v>26</v>
      </c>
      <c r="J593" s="14" t="s">
        <v>27</v>
      </c>
      <c r="K593" s="14" t="s">
        <v>28</v>
      </c>
      <c r="L593" s="14" t="s">
        <v>29</v>
      </c>
      <c r="M593" s="14">
        <v>5</v>
      </c>
      <c r="N593" s="14">
        <v>3897</v>
      </c>
      <c r="O593" s="14">
        <v>3950</v>
      </c>
      <c r="P593" s="14">
        <v>40</v>
      </c>
      <c r="Q593" s="14" t="s">
        <v>41</v>
      </c>
      <c r="R593" s="14" t="s">
        <v>42</v>
      </c>
      <c r="S593" s="14">
        <v>45893</v>
      </c>
      <c r="T593" s="14">
        <v>5</v>
      </c>
    </row>
    <row r="594" spans="1:20" x14ac:dyDescent="0.3">
      <c r="A594" t="s">
        <v>1154</v>
      </c>
      <c r="B594">
        <v>45999</v>
      </c>
      <c r="C594" t="s">
        <v>978</v>
      </c>
      <c r="D594" t="s">
        <v>341</v>
      </c>
      <c r="E594" t="s">
        <v>23</v>
      </c>
      <c r="F594">
        <v>52</v>
      </c>
      <c r="G594" t="s">
        <v>173</v>
      </c>
      <c r="H594" s="14" t="s">
        <v>79</v>
      </c>
      <c r="I594" s="14" t="s">
        <v>177</v>
      </c>
      <c r="J594" s="14" t="s">
        <v>178</v>
      </c>
      <c r="K594" s="14" t="s">
        <v>87</v>
      </c>
      <c r="L594" s="14" t="s">
        <v>179</v>
      </c>
      <c r="M594" s="14">
        <v>5</v>
      </c>
      <c r="N594" s="14">
        <v>9996</v>
      </c>
      <c r="O594" s="14">
        <v>8100</v>
      </c>
      <c r="P594" s="14">
        <v>20</v>
      </c>
      <c r="Q594" s="14" t="s">
        <v>103</v>
      </c>
      <c r="R594" s="14" t="s">
        <v>65</v>
      </c>
    </row>
    <row r="595" spans="1:20" x14ac:dyDescent="0.3">
      <c r="A595" t="s">
        <v>1155</v>
      </c>
      <c r="B595">
        <v>45372</v>
      </c>
      <c r="C595" t="s">
        <v>758</v>
      </c>
      <c r="D595" t="s">
        <v>635</v>
      </c>
      <c r="E595" t="s">
        <v>77</v>
      </c>
      <c r="F595">
        <v>57</v>
      </c>
      <c r="G595" t="s">
        <v>46</v>
      </c>
      <c r="H595" s="14" t="s">
        <v>25</v>
      </c>
      <c r="I595" s="14" t="s">
        <v>304</v>
      </c>
      <c r="J595" s="14" t="s">
        <v>305</v>
      </c>
      <c r="K595" s="14" t="s">
        <v>28</v>
      </c>
      <c r="L595" s="14" t="s">
        <v>231</v>
      </c>
      <c r="M595" s="14">
        <v>4</v>
      </c>
      <c r="N595" s="14">
        <v>6836.2</v>
      </c>
      <c r="O595" s="14">
        <v>4320</v>
      </c>
      <c r="P595" s="14">
        <v>5</v>
      </c>
      <c r="Q595" s="14" t="s">
        <v>50</v>
      </c>
      <c r="R595" s="14" t="s">
        <v>57</v>
      </c>
      <c r="S595" s="14">
        <v>45383</v>
      </c>
      <c r="T595" s="14">
        <v>4</v>
      </c>
    </row>
    <row r="596" spans="1:20" x14ac:dyDescent="0.3">
      <c r="A596" t="s">
        <v>1156</v>
      </c>
      <c r="B596">
        <v>45919</v>
      </c>
      <c r="C596" t="s">
        <v>1086</v>
      </c>
      <c r="D596" t="s">
        <v>1087</v>
      </c>
      <c r="E596" t="s">
        <v>23</v>
      </c>
      <c r="F596">
        <v>22</v>
      </c>
      <c r="G596" t="s">
        <v>126</v>
      </c>
      <c r="H596" s="14" t="s">
        <v>127</v>
      </c>
      <c r="I596" s="14" t="s">
        <v>222</v>
      </c>
      <c r="J596" s="14" t="s">
        <v>223</v>
      </c>
      <c r="K596" s="14" t="s">
        <v>114</v>
      </c>
      <c r="L596" s="14" t="s">
        <v>115</v>
      </c>
      <c r="M596" s="14">
        <v>1</v>
      </c>
      <c r="N596" s="14">
        <v>539.4</v>
      </c>
      <c r="O596" s="14">
        <v>510</v>
      </c>
      <c r="P596" s="14">
        <v>40</v>
      </c>
      <c r="Q596" s="14" t="s">
        <v>103</v>
      </c>
      <c r="R596" s="14" t="s">
        <v>65</v>
      </c>
    </row>
    <row r="597" spans="1:20" x14ac:dyDescent="0.3">
      <c r="A597" t="s">
        <v>1157</v>
      </c>
      <c r="B597">
        <v>45772</v>
      </c>
      <c r="C597" t="s">
        <v>33</v>
      </c>
      <c r="D597" t="s">
        <v>34</v>
      </c>
      <c r="E597" t="s">
        <v>23</v>
      </c>
      <c r="F597">
        <v>30</v>
      </c>
      <c r="G597" t="s">
        <v>126</v>
      </c>
      <c r="H597" s="14" t="s">
        <v>127</v>
      </c>
      <c r="I597" s="14" t="s">
        <v>134</v>
      </c>
      <c r="J597" s="14" t="s">
        <v>135</v>
      </c>
      <c r="K597" s="14" t="s">
        <v>39</v>
      </c>
      <c r="L597" s="14" t="s">
        <v>136</v>
      </c>
      <c r="M597" s="14">
        <v>3</v>
      </c>
      <c r="N597" s="14">
        <v>477.6</v>
      </c>
      <c r="O597" s="14">
        <v>270</v>
      </c>
      <c r="P597" s="14">
        <v>20</v>
      </c>
      <c r="Q597" s="14" t="s">
        <v>41</v>
      </c>
      <c r="R597" s="14" t="s">
        <v>42</v>
      </c>
      <c r="S597" s="14">
        <v>45774</v>
      </c>
      <c r="T597" s="14">
        <v>4</v>
      </c>
    </row>
    <row r="598" spans="1:20" x14ac:dyDescent="0.3">
      <c r="A598" t="s">
        <v>1158</v>
      </c>
      <c r="B598">
        <v>45869</v>
      </c>
      <c r="C598" t="s">
        <v>511</v>
      </c>
      <c r="D598" t="s">
        <v>512</v>
      </c>
      <c r="E598" t="s">
        <v>23</v>
      </c>
      <c r="F598">
        <v>53</v>
      </c>
      <c r="G598" t="s">
        <v>24</v>
      </c>
      <c r="H598" s="14" t="s">
        <v>25</v>
      </c>
      <c r="I598" s="14" t="s">
        <v>92</v>
      </c>
      <c r="J598" s="14" t="s">
        <v>93</v>
      </c>
      <c r="K598" s="14" t="s">
        <v>87</v>
      </c>
      <c r="L598" s="14" t="s">
        <v>94</v>
      </c>
      <c r="M598" s="14">
        <v>4</v>
      </c>
      <c r="N598" s="14">
        <v>5756.4</v>
      </c>
      <c r="O598" s="14">
        <v>3720</v>
      </c>
      <c r="P598" s="14">
        <v>10</v>
      </c>
      <c r="Q598" s="14" t="s">
        <v>50</v>
      </c>
      <c r="R598" s="14" t="s">
        <v>42</v>
      </c>
      <c r="S598" s="14">
        <v>45881</v>
      </c>
      <c r="T598" s="14">
        <v>4</v>
      </c>
    </row>
    <row r="599" spans="1:20" x14ac:dyDescent="0.3">
      <c r="A599" t="s">
        <v>1159</v>
      </c>
      <c r="B599">
        <v>45931</v>
      </c>
      <c r="C599" t="s">
        <v>374</v>
      </c>
      <c r="D599" t="s">
        <v>100</v>
      </c>
      <c r="E599" t="s">
        <v>23</v>
      </c>
      <c r="F599">
        <v>24</v>
      </c>
      <c r="G599" t="s">
        <v>35</v>
      </c>
      <c r="H599" s="14" t="s">
        <v>36</v>
      </c>
      <c r="I599" s="14" t="s">
        <v>37</v>
      </c>
      <c r="J599" s="14" t="s">
        <v>38</v>
      </c>
      <c r="K599" s="14" t="s">
        <v>39</v>
      </c>
      <c r="L599" s="14" t="s">
        <v>40</v>
      </c>
      <c r="M599" s="14">
        <v>1</v>
      </c>
      <c r="N599" s="14">
        <v>809.1</v>
      </c>
      <c r="O599" s="14">
        <v>520</v>
      </c>
      <c r="P599" s="14">
        <v>10</v>
      </c>
      <c r="Q599" s="14" t="s">
        <v>50</v>
      </c>
      <c r="R599" s="14" t="s">
        <v>42</v>
      </c>
      <c r="S599" s="14">
        <v>45937</v>
      </c>
      <c r="T599" s="14">
        <v>4</v>
      </c>
    </row>
    <row r="600" spans="1:20" x14ac:dyDescent="0.3">
      <c r="A600" t="s">
        <v>1160</v>
      </c>
      <c r="B600">
        <v>45427</v>
      </c>
      <c r="C600" t="s">
        <v>914</v>
      </c>
      <c r="D600" t="s">
        <v>260</v>
      </c>
      <c r="E600" t="s">
        <v>77</v>
      </c>
      <c r="F600">
        <v>45</v>
      </c>
      <c r="G600" t="s">
        <v>207</v>
      </c>
      <c r="H600" s="14" t="s">
        <v>36</v>
      </c>
      <c r="I600" s="14" t="s">
        <v>128</v>
      </c>
      <c r="J600" s="14" t="s">
        <v>129</v>
      </c>
      <c r="K600" s="14" t="s">
        <v>130</v>
      </c>
      <c r="L600" s="14" t="s">
        <v>131</v>
      </c>
      <c r="M600" s="14">
        <v>1</v>
      </c>
      <c r="N600" s="14">
        <v>6174.05</v>
      </c>
      <c r="O600" s="14">
        <v>5100</v>
      </c>
      <c r="P600" s="14">
        <v>5</v>
      </c>
      <c r="Q600" s="14" t="s">
        <v>50</v>
      </c>
      <c r="R600" s="14" t="s">
        <v>42</v>
      </c>
      <c r="S600" s="14">
        <v>45438</v>
      </c>
      <c r="T600" s="14">
        <v>3</v>
      </c>
    </row>
    <row r="601" spans="1:20" x14ac:dyDescent="0.3">
      <c r="A601" t="s">
        <v>437</v>
      </c>
      <c r="B601">
        <v>45823</v>
      </c>
      <c r="C601" t="s">
        <v>438</v>
      </c>
      <c r="D601" t="s">
        <v>439</v>
      </c>
      <c r="E601" t="s">
        <v>23</v>
      </c>
      <c r="F601">
        <v>27</v>
      </c>
      <c r="G601" t="s">
        <v>46</v>
      </c>
      <c r="H601" s="14" t="s">
        <v>25</v>
      </c>
      <c r="I601" s="14" t="s">
        <v>128</v>
      </c>
      <c r="J601" s="14" t="s">
        <v>129</v>
      </c>
      <c r="K601" s="14" t="s">
        <v>130</v>
      </c>
      <c r="L601" s="14" t="s">
        <v>131</v>
      </c>
      <c r="M601" s="14">
        <v>2</v>
      </c>
      <c r="N601" s="14">
        <v>10398.4</v>
      </c>
      <c r="O601" s="14">
        <v>10200</v>
      </c>
      <c r="P601" s="14">
        <v>20</v>
      </c>
      <c r="Q601" s="14" t="s">
        <v>30</v>
      </c>
      <c r="R601" s="14" t="s">
        <v>31</v>
      </c>
      <c r="S601" s="14">
        <v>45829</v>
      </c>
      <c r="T601" s="14">
        <v>3</v>
      </c>
    </row>
    <row r="602" spans="1:20" x14ac:dyDescent="0.3">
      <c r="A602" t="s">
        <v>1161</v>
      </c>
      <c r="B602">
        <v>45643</v>
      </c>
      <c r="C602" t="s">
        <v>351</v>
      </c>
      <c r="D602" t="s">
        <v>352</v>
      </c>
      <c r="E602" t="s">
        <v>77</v>
      </c>
      <c r="F602">
        <v>26</v>
      </c>
      <c r="G602" t="s">
        <v>173</v>
      </c>
      <c r="H602" s="14" t="s">
        <v>79</v>
      </c>
      <c r="I602" s="14" t="s">
        <v>155</v>
      </c>
      <c r="J602" s="14" t="s">
        <v>156</v>
      </c>
      <c r="K602" s="14" t="s">
        <v>114</v>
      </c>
      <c r="L602" s="14" t="s">
        <v>157</v>
      </c>
      <c r="M602" s="14">
        <v>2</v>
      </c>
      <c r="N602" s="14">
        <v>1198.8</v>
      </c>
      <c r="O602" s="14">
        <v>1220</v>
      </c>
      <c r="P602" s="14">
        <v>40</v>
      </c>
      <c r="Q602" s="14" t="s">
        <v>103</v>
      </c>
      <c r="R602" s="14" t="s">
        <v>57</v>
      </c>
      <c r="S602" s="14">
        <v>45651</v>
      </c>
      <c r="T602" s="14">
        <v>4</v>
      </c>
    </row>
    <row r="603" spans="1:20" x14ac:dyDescent="0.3">
      <c r="A603" t="s">
        <v>1162</v>
      </c>
      <c r="B603">
        <v>45968</v>
      </c>
      <c r="C603" t="s">
        <v>217</v>
      </c>
      <c r="D603" t="s">
        <v>218</v>
      </c>
      <c r="E603" t="s">
        <v>77</v>
      </c>
      <c r="F603">
        <v>18</v>
      </c>
      <c r="G603" t="s">
        <v>78</v>
      </c>
      <c r="H603" s="14" t="s">
        <v>79</v>
      </c>
      <c r="I603" s="14" t="s">
        <v>70</v>
      </c>
      <c r="J603" s="14" t="s">
        <v>71</v>
      </c>
      <c r="K603" s="14" t="s">
        <v>28</v>
      </c>
      <c r="L603" s="14" t="s">
        <v>72</v>
      </c>
      <c r="M603" s="14">
        <v>5</v>
      </c>
      <c r="N603" s="14">
        <v>5621.25</v>
      </c>
      <c r="O603" s="14">
        <v>4600</v>
      </c>
      <c r="P603" s="14">
        <v>25</v>
      </c>
      <c r="Q603" s="14" t="s">
        <v>73</v>
      </c>
      <c r="R603" s="14" t="s">
        <v>31</v>
      </c>
      <c r="S603" s="14">
        <v>45974</v>
      </c>
      <c r="T603" s="14">
        <v>3</v>
      </c>
    </row>
    <row r="604" spans="1:20" x14ac:dyDescent="0.3">
      <c r="A604" t="s">
        <v>1163</v>
      </c>
      <c r="B604">
        <v>45345</v>
      </c>
      <c r="C604" t="s">
        <v>190</v>
      </c>
      <c r="D604" t="s">
        <v>191</v>
      </c>
      <c r="E604" t="s">
        <v>23</v>
      </c>
      <c r="F604">
        <v>45</v>
      </c>
      <c r="G604" t="s">
        <v>61</v>
      </c>
      <c r="H604" s="14" t="s">
        <v>62</v>
      </c>
      <c r="I604" s="14" t="s">
        <v>47</v>
      </c>
      <c r="J604" s="14" t="s">
        <v>48</v>
      </c>
      <c r="K604" s="14" t="s">
        <v>39</v>
      </c>
      <c r="L604" s="14" t="s">
        <v>49</v>
      </c>
      <c r="M604" s="14">
        <v>4</v>
      </c>
      <c r="N604" s="14">
        <v>1276.8</v>
      </c>
      <c r="O604" s="14">
        <v>840</v>
      </c>
      <c r="P604" s="14">
        <v>20</v>
      </c>
      <c r="Q604" s="14" t="s">
        <v>103</v>
      </c>
      <c r="R604" s="14" t="s">
        <v>31</v>
      </c>
      <c r="S604" s="14">
        <v>45355</v>
      </c>
      <c r="T604" s="14">
        <v>4</v>
      </c>
    </row>
    <row r="605" spans="1:20" x14ac:dyDescent="0.3">
      <c r="A605" t="s">
        <v>1164</v>
      </c>
      <c r="B605">
        <v>45680</v>
      </c>
      <c r="C605" t="s">
        <v>938</v>
      </c>
      <c r="D605" t="s">
        <v>53</v>
      </c>
      <c r="E605" t="s">
        <v>23</v>
      </c>
      <c r="F605">
        <v>42</v>
      </c>
      <c r="G605" t="s">
        <v>101</v>
      </c>
      <c r="H605" s="14" t="s">
        <v>102</v>
      </c>
      <c r="I605" s="14" t="s">
        <v>128</v>
      </c>
      <c r="J605" s="14" t="s">
        <v>129</v>
      </c>
      <c r="K605" s="14" t="s">
        <v>130</v>
      </c>
      <c r="L605" s="14" t="s">
        <v>131</v>
      </c>
      <c r="M605" s="14">
        <v>2</v>
      </c>
      <c r="N605" s="14">
        <v>9098.6</v>
      </c>
      <c r="O605" s="14">
        <v>10200</v>
      </c>
      <c r="P605" s="14">
        <v>30</v>
      </c>
      <c r="Q605" s="14" t="s">
        <v>73</v>
      </c>
      <c r="R605" s="14" t="s">
        <v>42</v>
      </c>
      <c r="S605" s="14">
        <v>45689</v>
      </c>
      <c r="T605" s="14">
        <v>5</v>
      </c>
    </row>
    <row r="606" spans="1:20" x14ac:dyDescent="0.3">
      <c r="A606" t="s">
        <v>1165</v>
      </c>
      <c r="B606">
        <v>45986</v>
      </c>
      <c r="C606" t="s">
        <v>1036</v>
      </c>
      <c r="D606" t="s">
        <v>1037</v>
      </c>
      <c r="E606" t="s">
        <v>23</v>
      </c>
      <c r="F606">
        <v>30</v>
      </c>
      <c r="G606" t="s">
        <v>24</v>
      </c>
      <c r="H606" s="14" t="s">
        <v>25</v>
      </c>
      <c r="I606" s="14" t="s">
        <v>229</v>
      </c>
      <c r="J606" s="14" t="s">
        <v>230</v>
      </c>
      <c r="K606" s="14" t="s">
        <v>28</v>
      </c>
      <c r="L606" s="14" t="s">
        <v>231</v>
      </c>
      <c r="M606" s="14">
        <v>5</v>
      </c>
      <c r="N606" s="14">
        <v>7496.25</v>
      </c>
      <c r="O606" s="14">
        <v>6150</v>
      </c>
      <c r="P606" s="14">
        <v>25</v>
      </c>
      <c r="Q606" s="14" t="s">
        <v>103</v>
      </c>
      <c r="R606" s="14" t="s">
        <v>65</v>
      </c>
    </row>
    <row r="607" spans="1:20" x14ac:dyDescent="0.3">
      <c r="A607" t="s">
        <v>1166</v>
      </c>
      <c r="B607">
        <v>45959</v>
      </c>
      <c r="C607" t="s">
        <v>149</v>
      </c>
      <c r="D607" t="s">
        <v>150</v>
      </c>
      <c r="E607" t="s">
        <v>77</v>
      </c>
      <c r="F607">
        <v>35</v>
      </c>
      <c r="G607" t="s">
        <v>126</v>
      </c>
      <c r="H607" s="14" t="s">
        <v>127</v>
      </c>
      <c r="I607" s="14" t="s">
        <v>128</v>
      </c>
      <c r="J607" s="14" t="s">
        <v>129</v>
      </c>
      <c r="K607" s="14" t="s">
        <v>130</v>
      </c>
      <c r="L607" s="14" t="s">
        <v>131</v>
      </c>
      <c r="M607" s="14">
        <v>3</v>
      </c>
      <c r="N607" s="14">
        <v>18522.150000000001</v>
      </c>
      <c r="O607" s="14">
        <v>15300</v>
      </c>
      <c r="P607" s="14">
        <v>5</v>
      </c>
      <c r="Q607" s="14" t="s">
        <v>41</v>
      </c>
      <c r="R607" s="14" t="s">
        <v>31</v>
      </c>
      <c r="S607" s="14">
        <v>45970</v>
      </c>
      <c r="T607" s="14">
        <v>5</v>
      </c>
    </row>
    <row r="608" spans="1:20" x14ac:dyDescent="0.3">
      <c r="A608" t="s">
        <v>1167</v>
      </c>
      <c r="B608">
        <v>45764</v>
      </c>
      <c r="C608" t="s">
        <v>196</v>
      </c>
      <c r="D608" t="s">
        <v>197</v>
      </c>
      <c r="E608" t="s">
        <v>23</v>
      </c>
      <c r="F608">
        <v>22</v>
      </c>
      <c r="G608" t="s">
        <v>154</v>
      </c>
      <c r="H608" s="14" t="s">
        <v>91</v>
      </c>
      <c r="I608" s="14" t="s">
        <v>112</v>
      </c>
      <c r="J608" s="14" t="s">
        <v>113</v>
      </c>
      <c r="K608" s="14" t="s">
        <v>114</v>
      </c>
      <c r="L608" s="14" t="s">
        <v>115</v>
      </c>
      <c r="M608" s="14">
        <v>3</v>
      </c>
      <c r="N608" s="14">
        <v>1887.3</v>
      </c>
      <c r="O608" s="14">
        <v>1110</v>
      </c>
      <c r="P608" s="14">
        <v>10</v>
      </c>
      <c r="Q608" s="14" t="s">
        <v>41</v>
      </c>
      <c r="R608" s="14" t="s">
        <v>65</v>
      </c>
    </row>
    <row r="609" spans="1:20" x14ac:dyDescent="0.3">
      <c r="A609" t="s">
        <v>1168</v>
      </c>
      <c r="B609">
        <v>45302</v>
      </c>
      <c r="C609" t="s">
        <v>202</v>
      </c>
      <c r="D609" t="s">
        <v>203</v>
      </c>
      <c r="E609" t="s">
        <v>23</v>
      </c>
      <c r="F609">
        <v>45</v>
      </c>
      <c r="G609" t="s">
        <v>46</v>
      </c>
      <c r="H609" s="14" t="s">
        <v>25</v>
      </c>
      <c r="I609" s="14" t="s">
        <v>80</v>
      </c>
      <c r="J609" s="14" t="s">
        <v>81</v>
      </c>
      <c r="K609" s="14" t="s">
        <v>28</v>
      </c>
      <c r="L609" s="14" t="s">
        <v>29</v>
      </c>
      <c r="M609" s="14">
        <v>4</v>
      </c>
      <c r="N609" s="14">
        <v>3036.2</v>
      </c>
      <c r="O609" s="14">
        <v>1880</v>
      </c>
      <c r="P609" s="14">
        <v>5</v>
      </c>
      <c r="Q609" s="14" t="s">
        <v>50</v>
      </c>
      <c r="R609" s="14" t="s">
        <v>42</v>
      </c>
      <c r="T609" s="14">
        <v>5</v>
      </c>
    </row>
    <row r="610" spans="1:20" x14ac:dyDescent="0.3">
      <c r="A610" t="s">
        <v>1169</v>
      </c>
      <c r="B610">
        <v>45651</v>
      </c>
      <c r="C610" t="s">
        <v>215</v>
      </c>
      <c r="D610" t="s">
        <v>147</v>
      </c>
      <c r="E610" t="s">
        <v>23</v>
      </c>
      <c r="F610">
        <v>33</v>
      </c>
      <c r="G610" t="s">
        <v>35</v>
      </c>
      <c r="H610" s="14" t="s">
        <v>36</v>
      </c>
      <c r="I610" s="14" t="s">
        <v>128</v>
      </c>
      <c r="J610" s="14" t="s">
        <v>129</v>
      </c>
      <c r="K610" s="14" t="s">
        <v>130</v>
      </c>
      <c r="L610" s="14" t="s">
        <v>131</v>
      </c>
      <c r="M610" s="14">
        <v>2</v>
      </c>
      <c r="N610" s="14">
        <v>12998</v>
      </c>
      <c r="O610" s="14">
        <v>10200</v>
      </c>
      <c r="P610" s="14">
        <v>0</v>
      </c>
      <c r="Q610" s="14" t="s">
        <v>73</v>
      </c>
      <c r="R610" s="14" t="s">
        <v>65</v>
      </c>
    </row>
    <row r="611" spans="1:20" x14ac:dyDescent="0.3">
      <c r="A611" t="s">
        <v>1170</v>
      </c>
      <c r="B611">
        <v>45386</v>
      </c>
      <c r="C611" t="s">
        <v>941</v>
      </c>
      <c r="D611" t="s">
        <v>260</v>
      </c>
      <c r="E611" t="s">
        <v>77</v>
      </c>
      <c r="F611">
        <v>33</v>
      </c>
      <c r="G611" t="s">
        <v>154</v>
      </c>
      <c r="H611" s="14" t="s">
        <v>91</v>
      </c>
      <c r="I611" s="14" t="s">
        <v>155</v>
      </c>
      <c r="J611" s="14" t="s">
        <v>156</v>
      </c>
      <c r="K611" s="14" t="s">
        <v>114</v>
      </c>
      <c r="L611" s="14" t="s">
        <v>157</v>
      </c>
      <c r="M611" s="14">
        <v>1</v>
      </c>
      <c r="N611" s="14">
        <v>949.05</v>
      </c>
      <c r="O611" s="14">
        <v>610</v>
      </c>
      <c r="P611" s="14">
        <v>5</v>
      </c>
      <c r="Q611" s="14" t="s">
        <v>73</v>
      </c>
      <c r="R611" s="14" t="s">
        <v>57</v>
      </c>
      <c r="S611" s="14">
        <v>45397</v>
      </c>
      <c r="T611" s="14">
        <v>3</v>
      </c>
    </row>
    <row r="612" spans="1:20" x14ac:dyDescent="0.3">
      <c r="A612" t="s">
        <v>1171</v>
      </c>
      <c r="B612">
        <v>45676</v>
      </c>
      <c r="C612" t="s">
        <v>328</v>
      </c>
      <c r="D612" t="s">
        <v>329</v>
      </c>
      <c r="E612" t="s">
        <v>77</v>
      </c>
      <c r="F612">
        <v>47</v>
      </c>
      <c r="G612" t="s">
        <v>78</v>
      </c>
      <c r="H612" s="14" t="s">
        <v>79</v>
      </c>
      <c r="I612" s="14" t="s">
        <v>229</v>
      </c>
      <c r="J612" s="14" t="s">
        <v>230</v>
      </c>
      <c r="K612" s="14" t="s">
        <v>28</v>
      </c>
      <c r="L612" s="14" t="s">
        <v>231</v>
      </c>
      <c r="M612" s="14">
        <v>2</v>
      </c>
      <c r="N612" s="14">
        <v>3198.4</v>
      </c>
      <c r="O612" s="14">
        <v>2460</v>
      </c>
      <c r="P612" s="14">
        <v>20</v>
      </c>
      <c r="Q612" s="14" t="s">
        <v>41</v>
      </c>
      <c r="R612" s="14" t="s">
        <v>42</v>
      </c>
      <c r="S612" s="14">
        <v>45688</v>
      </c>
      <c r="T612" s="14">
        <v>3</v>
      </c>
    </row>
    <row r="613" spans="1:20" x14ac:dyDescent="0.3">
      <c r="A613" t="s">
        <v>1172</v>
      </c>
      <c r="B613">
        <v>45946</v>
      </c>
      <c r="C613" t="s">
        <v>237</v>
      </c>
      <c r="D613" t="s">
        <v>238</v>
      </c>
      <c r="E613" t="s">
        <v>23</v>
      </c>
      <c r="F613">
        <v>47</v>
      </c>
      <c r="G613" t="s">
        <v>207</v>
      </c>
      <c r="H613" s="14" t="s">
        <v>36</v>
      </c>
      <c r="I613" s="14" t="s">
        <v>134</v>
      </c>
      <c r="J613" s="14" t="s">
        <v>135</v>
      </c>
      <c r="K613" s="14" t="s">
        <v>39</v>
      </c>
      <c r="L613" s="14" t="s">
        <v>136</v>
      </c>
      <c r="M613" s="14">
        <v>3</v>
      </c>
      <c r="N613" s="14">
        <v>477.6</v>
      </c>
      <c r="O613" s="14">
        <v>270</v>
      </c>
      <c r="P613" s="14">
        <v>20</v>
      </c>
      <c r="Q613" s="14" t="s">
        <v>30</v>
      </c>
      <c r="R613" s="14" t="s">
        <v>57</v>
      </c>
      <c r="S613" s="14">
        <v>45949</v>
      </c>
      <c r="T613" s="14">
        <v>4</v>
      </c>
    </row>
    <row r="614" spans="1:20" x14ac:dyDescent="0.3">
      <c r="A614" t="s">
        <v>1173</v>
      </c>
      <c r="B614">
        <v>45355</v>
      </c>
      <c r="C614" t="s">
        <v>209</v>
      </c>
      <c r="D614" t="s">
        <v>210</v>
      </c>
      <c r="E614" t="s">
        <v>23</v>
      </c>
      <c r="F614">
        <v>27</v>
      </c>
      <c r="G614" t="s">
        <v>165</v>
      </c>
      <c r="H614" s="14" t="s">
        <v>166</v>
      </c>
      <c r="I614" s="14" t="s">
        <v>183</v>
      </c>
      <c r="J614" s="14" t="s">
        <v>184</v>
      </c>
      <c r="K614" s="14" t="s">
        <v>130</v>
      </c>
      <c r="L614" s="14" t="s">
        <v>185</v>
      </c>
      <c r="M614" s="14">
        <v>1</v>
      </c>
      <c r="N614" s="14">
        <v>3199.2</v>
      </c>
      <c r="O614" s="14">
        <v>3050</v>
      </c>
      <c r="P614" s="14">
        <v>20</v>
      </c>
      <c r="Q614" s="14" t="s">
        <v>41</v>
      </c>
      <c r="R614" s="14" t="s">
        <v>42</v>
      </c>
      <c r="S614" s="14">
        <v>45364</v>
      </c>
      <c r="T614" s="14">
        <v>3</v>
      </c>
    </row>
    <row r="615" spans="1:20" x14ac:dyDescent="0.3">
      <c r="A615" t="s">
        <v>1174</v>
      </c>
      <c r="B615">
        <v>45795</v>
      </c>
      <c r="C615" t="s">
        <v>220</v>
      </c>
      <c r="D615" t="s">
        <v>221</v>
      </c>
      <c r="E615" t="s">
        <v>23</v>
      </c>
      <c r="F615">
        <v>53</v>
      </c>
      <c r="G615" t="s">
        <v>165</v>
      </c>
      <c r="H615" s="14" t="s">
        <v>166</v>
      </c>
      <c r="I615" s="14" t="s">
        <v>319</v>
      </c>
      <c r="J615" s="14" t="s">
        <v>320</v>
      </c>
      <c r="K615" s="14" t="s">
        <v>28</v>
      </c>
      <c r="L615" s="14" t="s">
        <v>29</v>
      </c>
      <c r="M615" s="14">
        <v>4</v>
      </c>
      <c r="N615" s="14">
        <v>4556.2</v>
      </c>
      <c r="O615" s="14">
        <v>2840</v>
      </c>
      <c r="P615" s="14">
        <v>5</v>
      </c>
      <c r="Q615" s="14" t="s">
        <v>30</v>
      </c>
      <c r="R615" s="14" t="s">
        <v>65</v>
      </c>
    </row>
    <row r="616" spans="1:20" x14ac:dyDescent="0.3">
      <c r="A616" t="s">
        <v>1175</v>
      </c>
      <c r="B616">
        <v>45733</v>
      </c>
      <c r="C616" t="s">
        <v>778</v>
      </c>
      <c r="D616" t="s">
        <v>779</v>
      </c>
      <c r="E616" t="s">
        <v>23</v>
      </c>
      <c r="F616">
        <v>56</v>
      </c>
      <c r="G616" t="s">
        <v>69</v>
      </c>
      <c r="H616" s="14" t="s">
        <v>69</v>
      </c>
      <c r="I616" s="14" t="s">
        <v>63</v>
      </c>
      <c r="J616" s="14" t="s">
        <v>64</v>
      </c>
      <c r="K616" s="14" t="s">
        <v>39</v>
      </c>
      <c r="L616" s="14" t="s">
        <v>40</v>
      </c>
      <c r="M616" s="14">
        <v>3</v>
      </c>
      <c r="N616" s="14">
        <v>1707.15</v>
      </c>
      <c r="O616" s="14">
        <v>990</v>
      </c>
      <c r="P616" s="14">
        <v>5</v>
      </c>
      <c r="Q616" s="14" t="s">
        <v>73</v>
      </c>
      <c r="R616" s="14" t="s">
        <v>42</v>
      </c>
      <c r="S616" s="14">
        <v>45736</v>
      </c>
      <c r="T616" s="14">
        <v>4</v>
      </c>
    </row>
    <row r="617" spans="1:20" x14ac:dyDescent="0.3">
      <c r="A617" t="s">
        <v>1176</v>
      </c>
      <c r="B617">
        <v>45748</v>
      </c>
      <c r="C617" t="s">
        <v>805</v>
      </c>
      <c r="D617" t="s">
        <v>806</v>
      </c>
      <c r="E617" t="s">
        <v>77</v>
      </c>
      <c r="F617">
        <v>46</v>
      </c>
      <c r="G617" t="s">
        <v>101</v>
      </c>
      <c r="H617" s="14" t="s">
        <v>102</v>
      </c>
      <c r="I617" s="14" t="s">
        <v>252</v>
      </c>
      <c r="J617" s="14" t="s">
        <v>253</v>
      </c>
      <c r="K617" s="14" t="s">
        <v>28</v>
      </c>
      <c r="L617" s="14" t="s">
        <v>254</v>
      </c>
      <c r="M617" s="14">
        <v>1</v>
      </c>
      <c r="N617" s="14">
        <v>2999</v>
      </c>
      <c r="O617" s="14">
        <v>1900</v>
      </c>
      <c r="P617" s="14">
        <v>0</v>
      </c>
      <c r="Q617" s="14" t="s">
        <v>103</v>
      </c>
      <c r="R617" s="14" t="s">
        <v>42</v>
      </c>
      <c r="S617" s="14">
        <v>45752</v>
      </c>
      <c r="T617" s="14">
        <v>4</v>
      </c>
    </row>
    <row r="618" spans="1:20" x14ac:dyDescent="0.3">
      <c r="A618" t="s">
        <v>1177</v>
      </c>
      <c r="B618">
        <v>45692</v>
      </c>
      <c r="C618" t="s">
        <v>930</v>
      </c>
      <c r="D618" t="s">
        <v>556</v>
      </c>
      <c r="E618" t="s">
        <v>23</v>
      </c>
      <c r="F618">
        <v>48</v>
      </c>
      <c r="G618" t="s">
        <v>161</v>
      </c>
      <c r="H618" s="14" t="s">
        <v>25</v>
      </c>
      <c r="I618" s="14" t="s">
        <v>112</v>
      </c>
      <c r="J618" s="14" t="s">
        <v>113</v>
      </c>
      <c r="K618" s="14" t="s">
        <v>114</v>
      </c>
      <c r="L618" s="14" t="s">
        <v>115</v>
      </c>
      <c r="M618" s="14">
        <v>4</v>
      </c>
      <c r="N618" s="14">
        <v>1677.6</v>
      </c>
      <c r="O618" s="14">
        <v>1480</v>
      </c>
      <c r="P618" s="14">
        <v>40</v>
      </c>
      <c r="Q618" s="14" t="s">
        <v>103</v>
      </c>
      <c r="R618" s="14" t="s">
        <v>42</v>
      </c>
      <c r="S618" s="14">
        <v>45695</v>
      </c>
      <c r="T618" s="14">
        <v>4</v>
      </c>
    </row>
    <row r="619" spans="1:20" x14ac:dyDescent="0.3">
      <c r="A619" t="s">
        <v>1178</v>
      </c>
      <c r="B619">
        <v>45295</v>
      </c>
      <c r="C619" t="s">
        <v>152</v>
      </c>
      <c r="D619" t="s">
        <v>153</v>
      </c>
      <c r="E619" t="s">
        <v>23</v>
      </c>
      <c r="F619">
        <v>33</v>
      </c>
      <c r="G619" t="s">
        <v>101</v>
      </c>
      <c r="H619" s="14" t="s">
        <v>102</v>
      </c>
      <c r="I619" s="14" t="s">
        <v>229</v>
      </c>
      <c r="J619" s="14" t="s">
        <v>230</v>
      </c>
      <c r="K619" s="14" t="s">
        <v>28</v>
      </c>
      <c r="L619" s="14" t="s">
        <v>231</v>
      </c>
      <c r="M619" s="14">
        <v>5</v>
      </c>
      <c r="N619" s="14">
        <v>7496.25</v>
      </c>
      <c r="O619" s="14">
        <v>6150</v>
      </c>
      <c r="P619" s="14">
        <v>25</v>
      </c>
      <c r="Q619" s="14" t="s">
        <v>41</v>
      </c>
      <c r="R619" s="14" t="s">
        <v>31</v>
      </c>
      <c r="S619" s="14">
        <v>45301</v>
      </c>
      <c r="T619" s="14">
        <v>5</v>
      </c>
    </row>
    <row r="620" spans="1:20" x14ac:dyDescent="0.3">
      <c r="A620" t="s">
        <v>1179</v>
      </c>
      <c r="B620">
        <v>45348</v>
      </c>
      <c r="C620" t="s">
        <v>105</v>
      </c>
      <c r="D620" t="s">
        <v>106</v>
      </c>
      <c r="E620" t="s">
        <v>77</v>
      </c>
      <c r="F620">
        <v>45</v>
      </c>
      <c r="G620" t="s">
        <v>211</v>
      </c>
      <c r="H620" s="14" t="s">
        <v>127</v>
      </c>
      <c r="I620" s="14" t="s">
        <v>222</v>
      </c>
      <c r="J620" s="14" t="s">
        <v>223</v>
      </c>
      <c r="K620" s="14" t="s">
        <v>114</v>
      </c>
      <c r="L620" s="14" t="s">
        <v>115</v>
      </c>
      <c r="M620" s="14">
        <v>3</v>
      </c>
      <c r="N620" s="14">
        <v>2562.15</v>
      </c>
      <c r="O620" s="14">
        <v>1530</v>
      </c>
      <c r="P620" s="14">
        <v>5</v>
      </c>
      <c r="Q620" s="14" t="s">
        <v>103</v>
      </c>
      <c r="R620" s="14" t="s">
        <v>57</v>
      </c>
      <c r="S620" s="14">
        <v>45354</v>
      </c>
      <c r="T620" s="14">
        <v>4</v>
      </c>
    </row>
    <row r="621" spans="1:20" x14ac:dyDescent="0.3">
      <c r="A621" t="s">
        <v>1180</v>
      </c>
      <c r="B621">
        <v>45472</v>
      </c>
      <c r="C621" t="s">
        <v>429</v>
      </c>
      <c r="D621" t="s">
        <v>315</v>
      </c>
      <c r="E621" t="s">
        <v>77</v>
      </c>
      <c r="F621">
        <v>23</v>
      </c>
      <c r="G621" t="s">
        <v>24</v>
      </c>
      <c r="H621" s="14" t="s">
        <v>25</v>
      </c>
      <c r="I621" s="14" t="s">
        <v>47</v>
      </c>
      <c r="J621" s="14" t="s">
        <v>48</v>
      </c>
      <c r="K621" s="14" t="s">
        <v>39</v>
      </c>
      <c r="L621" s="14" t="s">
        <v>49</v>
      </c>
      <c r="M621" s="14">
        <v>2</v>
      </c>
      <c r="N621" s="14">
        <v>638.4</v>
      </c>
      <c r="O621" s="14">
        <v>420</v>
      </c>
      <c r="P621" s="14">
        <v>20</v>
      </c>
      <c r="Q621" s="14" t="s">
        <v>103</v>
      </c>
      <c r="R621" s="14" t="s">
        <v>42</v>
      </c>
      <c r="S621" s="14">
        <v>45484</v>
      </c>
      <c r="T621" s="14">
        <v>4</v>
      </c>
    </row>
    <row r="622" spans="1:20" x14ac:dyDescent="0.3">
      <c r="A622" t="s">
        <v>1181</v>
      </c>
      <c r="B622">
        <v>45790</v>
      </c>
      <c r="C622" t="s">
        <v>351</v>
      </c>
      <c r="D622" t="s">
        <v>1182</v>
      </c>
      <c r="E622" t="s">
        <v>77</v>
      </c>
      <c r="F622">
        <v>26</v>
      </c>
      <c r="G622" t="s">
        <v>61</v>
      </c>
      <c r="H622" s="14" t="s">
        <v>62</v>
      </c>
      <c r="I622" s="14" t="s">
        <v>177</v>
      </c>
      <c r="J622" s="14" t="s">
        <v>178</v>
      </c>
      <c r="K622" s="14" t="s">
        <v>87</v>
      </c>
      <c r="L622" s="14" t="s">
        <v>179</v>
      </c>
      <c r="M622" s="14">
        <v>2</v>
      </c>
      <c r="N622" s="14">
        <v>4498.2</v>
      </c>
      <c r="O622" s="14">
        <v>3240</v>
      </c>
      <c r="P622" s="14">
        <v>10</v>
      </c>
      <c r="Q622" s="14" t="s">
        <v>73</v>
      </c>
      <c r="R622" s="14" t="s">
        <v>42</v>
      </c>
      <c r="S622" s="14">
        <v>45792</v>
      </c>
      <c r="T622" s="14">
        <v>4</v>
      </c>
    </row>
    <row r="623" spans="1:20" x14ac:dyDescent="0.3">
      <c r="A623" t="s">
        <v>1183</v>
      </c>
      <c r="B623">
        <v>45792</v>
      </c>
      <c r="C623" t="s">
        <v>938</v>
      </c>
      <c r="D623" t="s">
        <v>53</v>
      </c>
      <c r="E623" t="s">
        <v>23</v>
      </c>
      <c r="F623">
        <v>42</v>
      </c>
      <c r="G623" t="s">
        <v>46</v>
      </c>
      <c r="H623" s="14" t="s">
        <v>25</v>
      </c>
      <c r="I623" s="14" t="s">
        <v>222</v>
      </c>
      <c r="J623" s="14" t="s">
        <v>223</v>
      </c>
      <c r="K623" s="14" t="s">
        <v>114</v>
      </c>
      <c r="L623" s="14" t="s">
        <v>115</v>
      </c>
      <c r="M623" s="14">
        <v>3</v>
      </c>
      <c r="N623" s="14">
        <v>1618.2</v>
      </c>
      <c r="O623" s="14">
        <v>1530</v>
      </c>
      <c r="P623" s="14">
        <v>40</v>
      </c>
      <c r="Q623" s="14" t="s">
        <v>50</v>
      </c>
      <c r="R623" s="14" t="s">
        <v>57</v>
      </c>
      <c r="S623" s="14">
        <v>45801</v>
      </c>
      <c r="T623" s="14">
        <v>2</v>
      </c>
    </row>
    <row r="624" spans="1:20" x14ac:dyDescent="0.3">
      <c r="A624" t="s">
        <v>1184</v>
      </c>
      <c r="B624">
        <v>45329</v>
      </c>
      <c r="C624" t="s">
        <v>345</v>
      </c>
      <c r="D624" t="s">
        <v>346</v>
      </c>
      <c r="E624" t="s">
        <v>23</v>
      </c>
      <c r="F624">
        <v>18</v>
      </c>
      <c r="G624" t="s">
        <v>24</v>
      </c>
      <c r="H624" s="14" t="s">
        <v>25</v>
      </c>
      <c r="I624" s="14" t="s">
        <v>183</v>
      </c>
      <c r="J624" s="14" t="s">
        <v>184</v>
      </c>
      <c r="K624" s="14" t="s">
        <v>130</v>
      </c>
      <c r="L624" s="14" t="s">
        <v>185</v>
      </c>
      <c r="M624" s="14">
        <v>1</v>
      </c>
      <c r="N624" s="14">
        <v>2799.3</v>
      </c>
      <c r="O624" s="14">
        <v>3050</v>
      </c>
      <c r="P624" s="14">
        <v>30</v>
      </c>
      <c r="Q624" s="14" t="s">
        <v>73</v>
      </c>
      <c r="R624" s="14" t="s">
        <v>42</v>
      </c>
      <c r="S624" s="14">
        <v>45341</v>
      </c>
      <c r="T624" s="14">
        <v>5</v>
      </c>
    </row>
    <row r="625" spans="1:20" x14ac:dyDescent="0.3">
      <c r="A625" t="s">
        <v>1185</v>
      </c>
      <c r="B625">
        <v>45986</v>
      </c>
      <c r="C625" t="s">
        <v>523</v>
      </c>
      <c r="D625" t="s">
        <v>524</v>
      </c>
      <c r="E625" t="s">
        <v>77</v>
      </c>
      <c r="F625">
        <v>49</v>
      </c>
      <c r="G625" t="s">
        <v>173</v>
      </c>
      <c r="H625" s="14" t="s">
        <v>79</v>
      </c>
      <c r="I625" s="14" t="s">
        <v>177</v>
      </c>
      <c r="J625" s="14" t="s">
        <v>178</v>
      </c>
      <c r="K625" s="14" t="s">
        <v>87</v>
      </c>
      <c r="L625" s="14" t="s">
        <v>179</v>
      </c>
      <c r="M625" s="14">
        <v>5</v>
      </c>
      <c r="N625" s="14">
        <v>10620.75</v>
      </c>
      <c r="O625" s="14">
        <v>8100</v>
      </c>
      <c r="P625" s="14">
        <v>15</v>
      </c>
      <c r="Q625" s="14" t="s">
        <v>73</v>
      </c>
      <c r="R625" s="14" t="s">
        <v>42</v>
      </c>
      <c r="S625" s="14">
        <v>45990</v>
      </c>
      <c r="T625" s="14">
        <v>5</v>
      </c>
    </row>
    <row r="626" spans="1:20" x14ac:dyDescent="0.3">
      <c r="A626" t="s">
        <v>1186</v>
      </c>
      <c r="B626">
        <v>45961</v>
      </c>
      <c r="C626" t="s">
        <v>805</v>
      </c>
      <c r="D626" t="s">
        <v>806</v>
      </c>
      <c r="E626" t="s">
        <v>77</v>
      </c>
      <c r="F626">
        <v>46</v>
      </c>
      <c r="G626" t="s">
        <v>101</v>
      </c>
      <c r="H626" s="14" t="s">
        <v>102</v>
      </c>
      <c r="I626" s="14" t="s">
        <v>155</v>
      </c>
      <c r="J626" s="14" t="s">
        <v>156</v>
      </c>
      <c r="K626" s="14" t="s">
        <v>114</v>
      </c>
      <c r="L626" s="14" t="s">
        <v>157</v>
      </c>
      <c r="M626" s="14">
        <v>1</v>
      </c>
      <c r="N626" s="14">
        <v>849.15</v>
      </c>
      <c r="O626" s="14">
        <v>610</v>
      </c>
      <c r="P626" s="14">
        <v>15</v>
      </c>
      <c r="Q626" s="14" t="s">
        <v>30</v>
      </c>
      <c r="R626" s="14" t="s">
        <v>42</v>
      </c>
      <c r="S626" s="14">
        <v>45965</v>
      </c>
      <c r="T626" s="14">
        <v>2</v>
      </c>
    </row>
    <row r="627" spans="1:20" x14ac:dyDescent="0.3">
      <c r="A627" t="s">
        <v>1187</v>
      </c>
      <c r="B627">
        <v>45606</v>
      </c>
      <c r="C627" t="s">
        <v>280</v>
      </c>
      <c r="D627" t="s">
        <v>281</v>
      </c>
      <c r="E627" t="s">
        <v>77</v>
      </c>
      <c r="F627">
        <v>53</v>
      </c>
      <c r="G627" t="s">
        <v>61</v>
      </c>
      <c r="H627" s="14" t="s">
        <v>62</v>
      </c>
      <c r="I627" s="14" t="s">
        <v>155</v>
      </c>
      <c r="J627" s="14" t="s">
        <v>156</v>
      </c>
      <c r="K627" s="14" t="s">
        <v>114</v>
      </c>
      <c r="L627" s="14" t="s">
        <v>157</v>
      </c>
      <c r="M627" s="14">
        <v>2</v>
      </c>
      <c r="N627" s="14">
        <v>1898.1</v>
      </c>
      <c r="O627" s="14">
        <v>1220</v>
      </c>
      <c r="P627" s="14">
        <v>5</v>
      </c>
      <c r="Q627" s="14" t="s">
        <v>73</v>
      </c>
      <c r="R627" s="14" t="s">
        <v>42</v>
      </c>
      <c r="S627" s="14">
        <v>45615</v>
      </c>
      <c r="T627" s="14">
        <v>4</v>
      </c>
    </row>
    <row r="628" spans="1:20" x14ac:dyDescent="0.3">
      <c r="A628" t="s">
        <v>1188</v>
      </c>
      <c r="B628">
        <v>45356</v>
      </c>
      <c r="C628" t="s">
        <v>398</v>
      </c>
      <c r="D628" t="s">
        <v>399</v>
      </c>
      <c r="E628" t="s">
        <v>77</v>
      </c>
      <c r="F628">
        <v>49</v>
      </c>
      <c r="G628" t="s">
        <v>122</v>
      </c>
      <c r="H628" s="14" t="s">
        <v>123</v>
      </c>
      <c r="I628" s="14" t="s">
        <v>183</v>
      </c>
      <c r="J628" s="14" t="s">
        <v>184</v>
      </c>
      <c r="K628" s="14" t="s">
        <v>130</v>
      </c>
      <c r="L628" s="14" t="s">
        <v>185</v>
      </c>
      <c r="M628" s="14">
        <v>4</v>
      </c>
      <c r="N628" s="14">
        <v>11997</v>
      </c>
      <c r="O628" s="14">
        <v>12200</v>
      </c>
      <c r="P628" s="14">
        <v>25</v>
      </c>
      <c r="Q628" s="14" t="s">
        <v>73</v>
      </c>
      <c r="R628" s="14" t="s">
        <v>31</v>
      </c>
      <c r="S628" s="14">
        <v>45367</v>
      </c>
      <c r="T628" s="14">
        <v>3</v>
      </c>
    </row>
    <row r="629" spans="1:20" x14ac:dyDescent="0.3">
      <c r="A629" t="s">
        <v>1189</v>
      </c>
      <c r="B629">
        <v>45621</v>
      </c>
      <c r="C629" t="s">
        <v>1190</v>
      </c>
      <c r="D629" t="s">
        <v>451</v>
      </c>
      <c r="E629" t="s">
        <v>77</v>
      </c>
      <c r="F629">
        <v>28</v>
      </c>
      <c r="G629" t="s">
        <v>24</v>
      </c>
      <c r="H629" s="14" t="s">
        <v>25</v>
      </c>
      <c r="I629" s="14" t="s">
        <v>198</v>
      </c>
      <c r="J629" s="14" t="s">
        <v>199</v>
      </c>
      <c r="K629" s="14" t="s">
        <v>114</v>
      </c>
      <c r="L629" s="14" t="s">
        <v>200</v>
      </c>
      <c r="M629" s="14">
        <v>2</v>
      </c>
      <c r="N629" s="14">
        <v>1948.5</v>
      </c>
      <c r="O629" s="14">
        <v>1520</v>
      </c>
      <c r="P629" s="14">
        <v>25</v>
      </c>
      <c r="Q629" s="14" t="s">
        <v>73</v>
      </c>
      <c r="R629" s="14" t="s">
        <v>42</v>
      </c>
      <c r="S629" s="14">
        <v>45627</v>
      </c>
      <c r="T629" s="14">
        <v>3</v>
      </c>
    </row>
    <row r="630" spans="1:20" x14ac:dyDescent="0.3">
      <c r="A630" t="s">
        <v>1191</v>
      </c>
      <c r="B630">
        <v>45717</v>
      </c>
      <c r="C630" t="s">
        <v>441</v>
      </c>
      <c r="D630" t="s">
        <v>442</v>
      </c>
      <c r="E630" t="s">
        <v>77</v>
      </c>
      <c r="F630">
        <v>44</v>
      </c>
      <c r="G630" t="s">
        <v>211</v>
      </c>
      <c r="H630" s="14" t="s">
        <v>127</v>
      </c>
      <c r="I630" s="14" t="s">
        <v>222</v>
      </c>
      <c r="J630" s="14" t="s">
        <v>223</v>
      </c>
      <c r="K630" s="14" t="s">
        <v>114</v>
      </c>
      <c r="L630" s="14" t="s">
        <v>115</v>
      </c>
      <c r="M630" s="14">
        <v>2</v>
      </c>
      <c r="N630" s="14">
        <v>1078.8</v>
      </c>
      <c r="O630" s="14">
        <v>1020</v>
      </c>
      <c r="P630" s="14">
        <v>40</v>
      </c>
      <c r="Q630" s="14" t="s">
        <v>30</v>
      </c>
      <c r="R630" s="14" t="s">
        <v>65</v>
      </c>
    </row>
    <row r="631" spans="1:20" x14ac:dyDescent="0.3">
      <c r="A631" t="s">
        <v>1192</v>
      </c>
      <c r="B631">
        <v>45333</v>
      </c>
      <c r="C631" t="s">
        <v>689</v>
      </c>
      <c r="D631" t="s">
        <v>690</v>
      </c>
      <c r="E631" t="s">
        <v>77</v>
      </c>
      <c r="F631">
        <v>45</v>
      </c>
      <c r="G631" t="s">
        <v>69</v>
      </c>
      <c r="H631" s="14" t="s">
        <v>69</v>
      </c>
      <c r="I631" s="14" t="s">
        <v>92</v>
      </c>
      <c r="J631" s="14" t="s">
        <v>93</v>
      </c>
      <c r="K631" s="14" t="s">
        <v>87</v>
      </c>
      <c r="L631" s="14" t="s">
        <v>94</v>
      </c>
      <c r="M631" s="14">
        <v>5</v>
      </c>
      <c r="N631" s="14">
        <v>5596.5</v>
      </c>
      <c r="O631" s="14">
        <v>4650</v>
      </c>
      <c r="P631" s="14">
        <v>30</v>
      </c>
      <c r="Q631" s="14" t="s">
        <v>30</v>
      </c>
      <c r="R631" s="14" t="s">
        <v>42</v>
      </c>
      <c r="S631" s="14">
        <v>45342</v>
      </c>
      <c r="T631" s="14">
        <v>3</v>
      </c>
    </row>
    <row r="632" spans="1:20" x14ac:dyDescent="0.3">
      <c r="A632" t="s">
        <v>1193</v>
      </c>
      <c r="B632">
        <v>45298</v>
      </c>
      <c r="C632" t="s">
        <v>685</v>
      </c>
      <c r="D632" t="s">
        <v>399</v>
      </c>
      <c r="E632" t="s">
        <v>77</v>
      </c>
      <c r="F632">
        <v>52</v>
      </c>
      <c r="G632" t="s">
        <v>78</v>
      </c>
      <c r="H632" s="14" t="s">
        <v>79</v>
      </c>
      <c r="I632" s="14" t="s">
        <v>54</v>
      </c>
      <c r="J632" s="14" t="s">
        <v>55</v>
      </c>
      <c r="K632" s="14" t="s">
        <v>28</v>
      </c>
      <c r="L632" s="14" t="s">
        <v>56</v>
      </c>
      <c r="M632" s="14">
        <v>5</v>
      </c>
      <c r="N632" s="14">
        <v>2796</v>
      </c>
      <c r="O632" s="14">
        <v>2050</v>
      </c>
      <c r="P632" s="14">
        <v>20</v>
      </c>
      <c r="Q632" s="14" t="s">
        <v>103</v>
      </c>
      <c r="R632" s="14" t="s">
        <v>31</v>
      </c>
      <c r="S632" s="14">
        <v>45307</v>
      </c>
      <c r="T632" s="14">
        <v>3</v>
      </c>
    </row>
    <row r="633" spans="1:20" x14ac:dyDescent="0.3">
      <c r="A633" t="s">
        <v>1194</v>
      </c>
      <c r="B633">
        <v>45503</v>
      </c>
      <c r="C633" t="s">
        <v>387</v>
      </c>
      <c r="D633" t="s">
        <v>388</v>
      </c>
      <c r="E633" t="s">
        <v>23</v>
      </c>
      <c r="F633">
        <v>32</v>
      </c>
      <c r="G633" t="s">
        <v>207</v>
      </c>
      <c r="H633" s="14" t="s">
        <v>36</v>
      </c>
      <c r="I633" s="14" t="s">
        <v>112</v>
      </c>
      <c r="J633" s="14" t="s">
        <v>113</v>
      </c>
      <c r="K633" s="14" t="s">
        <v>114</v>
      </c>
      <c r="L633" s="14" t="s">
        <v>115</v>
      </c>
      <c r="M633" s="14">
        <v>4</v>
      </c>
      <c r="N633" s="14">
        <v>1957.2</v>
      </c>
      <c r="O633" s="14">
        <v>1480</v>
      </c>
      <c r="P633" s="14">
        <v>30</v>
      </c>
      <c r="Q633" s="14" t="s">
        <v>30</v>
      </c>
      <c r="R633" s="14" t="s">
        <v>42</v>
      </c>
      <c r="S633" s="14">
        <v>45514</v>
      </c>
      <c r="T633" s="14">
        <v>2</v>
      </c>
    </row>
    <row r="634" spans="1:20" x14ac:dyDescent="0.3">
      <c r="A634" t="s">
        <v>1195</v>
      </c>
      <c r="B634">
        <v>45902</v>
      </c>
      <c r="C634" t="s">
        <v>967</v>
      </c>
      <c r="D634" t="s">
        <v>968</v>
      </c>
      <c r="E634" t="s">
        <v>23</v>
      </c>
      <c r="F634">
        <v>29</v>
      </c>
      <c r="G634" t="s">
        <v>101</v>
      </c>
      <c r="H634" s="14" t="s">
        <v>102</v>
      </c>
      <c r="I634" s="14" t="s">
        <v>155</v>
      </c>
      <c r="J634" s="14" t="s">
        <v>156</v>
      </c>
      <c r="K634" s="14" t="s">
        <v>114</v>
      </c>
      <c r="L634" s="14" t="s">
        <v>157</v>
      </c>
      <c r="M634" s="14">
        <v>1</v>
      </c>
      <c r="N634" s="14">
        <v>799.2</v>
      </c>
      <c r="O634" s="14">
        <v>610</v>
      </c>
      <c r="P634" s="14">
        <v>20</v>
      </c>
      <c r="Q634" s="14" t="s">
        <v>41</v>
      </c>
      <c r="R634" s="14" t="s">
        <v>42</v>
      </c>
      <c r="S634" s="14">
        <v>45904</v>
      </c>
      <c r="T634" s="14">
        <v>4</v>
      </c>
    </row>
    <row r="635" spans="1:20" x14ac:dyDescent="0.3">
      <c r="A635" t="s">
        <v>1196</v>
      </c>
      <c r="B635">
        <v>45488</v>
      </c>
      <c r="C635" t="s">
        <v>517</v>
      </c>
      <c r="D635" t="s">
        <v>518</v>
      </c>
      <c r="E635" t="s">
        <v>23</v>
      </c>
      <c r="F635">
        <v>38</v>
      </c>
      <c r="G635" t="s">
        <v>69</v>
      </c>
      <c r="H635" s="14" t="s">
        <v>69</v>
      </c>
      <c r="I635" s="14" t="s">
        <v>155</v>
      </c>
      <c r="J635" s="14" t="s">
        <v>156</v>
      </c>
      <c r="K635" s="14" t="s">
        <v>114</v>
      </c>
      <c r="L635" s="14" t="s">
        <v>157</v>
      </c>
      <c r="M635" s="14">
        <v>3</v>
      </c>
      <c r="N635" s="14">
        <v>2547.4499999999998</v>
      </c>
      <c r="O635" s="14">
        <v>1830</v>
      </c>
      <c r="P635" s="14">
        <v>15</v>
      </c>
      <c r="Q635" s="14" t="s">
        <v>103</v>
      </c>
      <c r="R635" s="14" t="s">
        <v>57</v>
      </c>
      <c r="S635" s="14">
        <v>45500</v>
      </c>
      <c r="T635" s="14">
        <v>4</v>
      </c>
    </row>
    <row r="636" spans="1:20" x14ac:dyDescent="0.3">
      <c r="A636" t="s">
        <v>1197</v>
      </c>
      <c r="B636">
        <v>45575</v>
      </c>
      <c r="C636" t="s">
        <v>1086</v>
      </c>
      <c r="D636" t="s">
        <v>1087</v>
      </c>
      <c r="E636" t="s">
        <v>23</v>
      </c>
      <c r="F636">
        <v>22</v>
      </c>
      <c r="G636" t="s">
        <v>154</v>
      </c>
      <c r="H636" s="14" t="s">
        <v>91</v>
      </c>
      <c r="I636" s="14" t="s">
        <v>229</v>
      </c>
      <c r="J636" s="14" t="s">
        <v>230</v>
      </c>
      <c r="K636" s="14" t="s">
        <v>28</v>
      </c>
      <c r="L636" s="14" t="s">
        <v>231</v>
      </c>
      <c r="M636" s="14">
        <v>2</v>
      </c>
      <c r="N636" s="14">
        <v>2398.8000000000002</v>
      </c>
      <c r="O636" s="14">
        <v>2460</v>
      </c>
      <c r="P636" s="14">
        <v>40</v>
      </c>
      <c r="Q636" s="14" t="s">
        <v>103</v>
      </c>
      <c r="R636" s="14" t="s">
        <v>42</v>
      </c>
      <c r="S636" s="14">
        <v>45579</v>
      </c>
      <c r="T636" s="14">
        <v>2</v>
      </c>
    </row>
    <row r="637" spans="1:20" x14ac:dyDescent="0.3">
      <c r="A637" t="s">
        <v>1198</v>
      </c>
      <c r="B637">
        <v>45347</v>
      </c>
      <c r="C637" t="s">
        <v>1199</v>
      </c>
      <c r="D637" t="s">
        <v>1200</v>
      </c>
      <c r="E637" t="s">
        <v>77</v>
      </c>
      <c r="F637">
        <v>31</v>
      </c>
      <c r="G637" t="s">
        <v>35</v>
      </c>
      <c r="H637" s="14" t="s">
        <v>36</v>
      </c>
      <c r="I637" s="14" t="s">
        <v>70</v>
      </c>
      <c r="J637" s="14" t="s">
        <v>71</v>
      </c>
      <c r="K637" s="14" t="s">
        <v>28</v>
      </c>
      <c r="L637" s="14" t="s">
        <v>72</v>
      </c>
      <c r="M637" s="14">
        <v>4</v>
      </c>
      <c r="N637" s="14">
        <v>4796.8</v>
      </c>
      <c r="O637" s="14">
        <v>3680</v>
      </c>
      <c r="P637" s="14">
        <v>20</v>
      </c>
      <c r="Q637" s="14" t="s">
        <v>41</v>
      </c>
      <c r="R637" s="14" t="s">
        <v>65</v>
      </c>
    </row>
    <row r="638" spans="1:20" x14ac:dyDescent="0.3">
      <c r="A638" t="s">
        <v>1201</v>
      </c>
      <c r="B638">
        <v>45756</v>
      </c>
      <c r="C638" t="s">
        <v>599</v>
      </c>
      <c r="D638" t="s">
        <v>600</v>
      </c>
      <c r="E638" t="s">
        <v>77</v>
      </c>
      <c r="F638">
        <v>32</v>
      </c>
      <c r="G638" t="s">
        <v>69</v>
      </c>
      <c r="H638" s="14" t="s">
        <v>69</v>
      </c>
      <c r="I638" s="14" t="s">
        <v>177</v>
      </c>
      <c r="J638" s="14" t="s">
        <v>178</v>
      </c>
      <c r="K638" s="14" t="s">
        <v>87</v>
      </c>
      <c r="L638" s="14" t="s">
        <v>179</v>
      </c>
      <c r="M638" s="14">
        <v>1</v>
      </c>
      <c r="N638" s="14">
        <v>2249.1</v>
      </c>
      <c r="O638" s="14">
        <v>1620</v>
      </c>
      <c r="P638" s="14">
        <v>10</v>
      </c>
      <c r="Q638" s="14" t="s">
        <v>30</v>
      </c>
      <c r="R638" s="14" t="s">
        <v>57</v>
      </c>
      <c r="S638" s="14">
        <v>45758</v>
      </c>
      <c r="T638" s="14">
        <v>5</v>
      </c>
    </row>
    <row r="639" spans="1:20" x14ac:dyDescent="0.3">
      <c r="A639" t="s">
        <v>1202</v>
      </c>
      <c r="B639">
        <v>45819</v>
      </c>
      <c r="C639" t="s">
        <v>674</v>
      </c>
      <c r="D639" t="s">
        <v>675</v>
      </c>
      <c r="E639" t="s">
        <v>23</v>
      </c>
      <c r="F639">
        <v>51</v>
      </c>
      <c r="G639" t="s">
        <v>46</v>
      </c>
      <c r="H639" s="14" t="s">
        <v>25</v>
      </c>
      <c r="I639" s="14" t="s">
        <v>304</v>
      </c>
      <c r="J639" s="14" t="s">
        <v>305</v>
      </c>
      <c r="K639" s="14" t="s">
        <v>28</v>
      </c>
      <c r="L639" s="14" t="s">
        <v>231</v>
      </c>
      <c r="M639" s="14">
        <v>4</v>
      </c>
      <c r="N639" s="14">
        <v>5397</v>
      </c>
      <c r="O639" s="14">
        <v>4320</v>
      </c>
      <c r="P639" s="14">
        <v>25</v>
      </c>
      <c r="Q639" s="14" t="s">
        <v>103</v>
      </c>
      <c r="R639" s="14" t="s">
        <v>42</v>
      </c>
      <c r="S639" s="14">
        <v>45831</v>
      </c>
      <c r="T639" s="14">
        <v>4</v>
      </c>
    </row>
    <row r="640" spans="1:20" x14ac:dyDescent="0.3">
      <c r="A640" t="s">
        <v>1203</v>
      </c>
      <c r="B640">
        <v>45527</v>
      </c>
      <c r="C640" t="s">
        <v>471</v>
      </c>
      <c r="D640" t="s">
        <v>472</v>
      </c>
      <c r="E640" t="s">
        <v>23</v>
      </c>
      <c r="F640">
        <v>37</v>
      </c>
      <c r="G640" t="s">
        <v>126</v>
      </c>
      <c r="H640" s="14" t="s">
        <v>127</v>
      </c>
      <c r="I640" s="14" t="s">
        <v>304</v>
      </c>
      <c r="J640" s="14" t="s">
        <v>305</v>
      </c>
      <c r="K640" s="14" t="s">
        <v>28</v>
      </c>
      <c r="L640" s="14" t="s">
        <v>231</v>
      </c>
      <c r="M640" s="14">
        <v>1</v>
      </c>
      <c r="N640" s="14">
        <v>1529.15</v>
      </c>
      <c r="O640" s="14">
        <v>1080</v>
      </c>
      <c r="P640" s="14">
        <v>15</v>
      </c>
      <c r="Q640" s="14" t="s">
        <v>103</v>
      </c>
      <c r="R640" s="14" t="s">
        <v>57</v>
      </c>
      <c r="S640" s="14">
        <v>45532</v>
      </c>
      <c r="T640" s="14">
        <v>5</v>
      </c>
    </row>
    <row r="641" spans="1:20" x14ac:dyDescent="0.3">
      <c r="A641" t="s">
        <v>1204</v>
      </c>
      <c r="B641">
        <v>45517</v>
      </c>
      <c r="C641" t="s">
        <v>462</v>
      </c>
      <c r="D641" t="s">
        <v>76</v>
      </c>
      <c r="E641" t="s">
        <v>77</v>
      </c>
      <c r="F641">
        <v>43</v>
      </c>
      <c r="G641" t="s">
        <v>101</v>
      </c>
      <c r="H641" s="14" t="s">
        <v>102</v>
      </c>
      <c r="I641" s="14" t="s">
        <v>198</v>
      </c>
      <c r="J641" s="14" t="s">
        <v>199</v>
      </c>
      <c r="K641" s="14" t="s">
        <v>114</v>
      </c>
      <c r="L641" s="14" t="s">
        <v>200</v>
      </c>
      <c r="M641" s="14">
        <v>4</v>
      </c>
      <c r="N641" s="14">
        <v>5196</v>
      </c>
      <c r="O641" s="14">
        <v>3040</v>
      </c>
      <c r="P641" s="14">
        <v>0</v>
      </c>
      <c r="Q641" s="14" t="s">
        <v>103</v>
      </c>
      <c r="R641" s="14" t="s">
        <v>42</v>
      </c>
      <c r="S641" s="14">
        <v>45522</v>
      </c>
      <c r="T641" s="14">
        <v>5</v>
      </c>
    </row>
    <row r="642" spans="1:20" x14ac:dyDescent="0.3">
      <c r="A642" t="s">
        <v>1205</v>
      </c>
      <c r="B642">
        <v>45474</v>
      </c>
      <c r="C642" t="s">
        <v>711</v>
      </c>
      <c r="D642" t="s">
        <v>712</v>
      </c>
      <c r="E642" t="s">
        <v>77</v>
      </c>
      <c r="F642">
        <v>58</v>
      </c>
      <c r="G642" t="s">
        <v>211</v>
      </c>
      <c r="H642" s="14" t="s">
        <v>127</v>
      </c>
      <c r="I642" s="14" t="s">
        <v>252</v>
      </c>
      <c r="J642" s="14" t="s">
        <v>253</v>
      </c>
      <c r="K642" s="14" t="s">
        <v>28</v>
      </c>
      <c r="L642" s="14" t="s">
        <v>254</v>
      </c>
      <c r="M642" s="14">
        <v>4</v>
      </c>
      <c r="N642" s="14">
        <v>10196.6</v>
      </c>
      <c r="O642" s="14">
        <v>7600</v>
      </c>
      <c r="P642" s="14">
        <v>15</v>
      </c>
      <c r="Q642" s="14" t="s">
        <v>41</v>
      </c>
      <c r="R642" s="14" t="s">
        <v>42</v>
      </c>
      <c r="S642" s="14">
        <v>45479</v>
      </c>
      <c r="T642" s="14">
        <v>4</v>
      </c>
    </row>
    <row r="643" spans="1:20" x14ac:dyDescent="0.3">
      <c r="A643" t="s">
        <v>1206</v>
      </c>
      <c r="B643">
        <v>45422</v>
      </c>
      <c r="C643" t="s">
        <v>624</v>
      </c>
      <c r="D643" t="s">
        <v>625</v>
      </c>
      <c r="E643" t="s">
        <v>77</v>
      </c>
      <c r="F643">
        <v>47</v>
      </c>
      <c r="G643" t="s">
        <v>24</v>
      </c>
      <c r="H643" s="14" t="s">
        <v>25</v>
      </c>
      <c r="I643" s="14" t="s">
        <v>128</v>
      </c>
      <c r="J643" s="14" t="s">
        <v>129</v>
      </c>
      <c r="K643" s="14" t="s">
        <v>130</v>
      </c>
      <c r="L643" s="14" t="s">
        <v>131</v>
      </c>
      <c r="M643" s="14">
        <v>2</v>
      </c>
      <c r="N643" s="14">
        <v>12348.1</v>
      </c>
      <c r="O643" s="14">
        <v>10200</v>
      </c>
      <c r="P643" s="14">
        <v>5</v>
      </c>
      <c r="Q643" s="14" t="s">
        <v>103</v>
      </c>
      <c r="R643" s="14" t="s">
        <v>42</v>
      </c>
      <c r="S643" s="14">
        <v>45430</v>
      </c>
      <c r="T643" s="14">
        <v>3</v>
      </c>
    </row>
    <row r="644" spans="1:20" x14ac:dyDescent="0.3">
      <c r="A644" t="s">
        <v>1207</v>
      </c>
      <c r="B644">
        <v>45643</v>
      </c>
      <c r="C644" t="s">
        <v>215</v>
      </c>
      <c r="D644" t="s">
        <v>147</v>
      </c>
      <c r="E644" t="s">
        <v>23</v>
      </c>
      <c r="F644">
        <v>33</v>
      </c>
      <c r="G644" t="s">
        <v>35</v>
      </c>
      <c r="H644" s="14" t="s">
        <v>36</v>
      </c>
      <c r="I644" s="14" t="s">
        <v>155</v>
      </c>
      <c r="J644" s="14" t="s">
        <v>156</v>
      </c>
      <c r="K644" s="14" t="s">
        <v>114</v>
      </c>
      <c r="L644" s="14" t="s">
        <v>157</v>
      </c>
      <c r="M644" s="14">
        <v>2</v>
      </c>
      <c r="N644" s="14">
        <v>1798.2</v>
      </c>
      <c r="O644" s="14">
        <v>1220</v>
      </c>
      <c r="P644" s="14">
        <v>10</v>
      </c>
      <c r="Q644" s="14" t="s">
        <v>50</v>
      </c>
      <c r="R644" s="14" t="s">
        <v>65</v>
      </c>
    </row>
    <row r="645" spans="1:20" x14ac:dyDescent="0.3">
      <c r="A645" t="s">
        <v>1208</v>
      </c>
      <c r="B645">
        <v>45527</v>
      </c>
      <c r="C645" t="s">
        <v>508</v>
      </c>
      <c r="D645" t="s">
        <v>509</v>
      </c>
      <c r="E645" t="s">
        <v>77</v>
      </c>
      <c r="F645">
        <v>23</v>
      </c>
      <c r="G645" t="s">
        <v>122</v>
      </c>
      <c r="H645" s="14" t="s">
        <v>123</v>
      </c>
      <c r="I645" s="14" t="s">
        <v>112</v>
      </c>
      <c r="J645" s="14" t="s">
        <v>113</v>
      </c>
      <c r="K645" s="14" t="s">
        <v>114</v>
      </c>
      <c r="L645" s="14" t="s">
        <v>115</v>
      </c>
      <c r="M645" s="14">
        <v>4</v>
      </c>
      <c r="N645" s="14">
        <v>2376.6</v>
      </c>
      <c r="O645" s="14">
        <v>1480</v>
      </c>
      <c r="P645" s="14">
        <v>15</v>
      </c>
      <c r="Q645" s="14" t="s">
        <v>50</v>
      </c>
      <c r="R645" s="14" t="s">
        <v>42</v>
      </c>
      <c r="S645" s="14">
        <v>45536</v>
      </c>
      <c r="T645" s="14">
        <v>4</v>
      </c>
    </row>
    <row r="646" spans="1:20" x14ac:dyDescent="0.3">
      <c r="A646" t="s">
        <v>1209</v>
      </c>
      <c r="B646">
        <v>45306</v>
      </c>
      <c r="C646" t="s">
        <v>610</v>
      </c>
      <c r="D646" t="s">
        <v>34</v>
      </c>
      <c r="E646" t="s">
        <v>23</v>
      </c>
      <c r="F646">
        <v>31</v>
      </c>
      <c r="G646" t="s">
        <v>90</v>
      </c>
      <c r="H646" s="14" t="s">
        <v>91</v>
      </c>
      <c r="I646" s="14" t="s">
        <v>304</v>
      </c>
      <c r="J646" s="14" t="s">
        <v>305</v>
      </c>
      <c r="K646" s="14" t="s">
        <v>28</v>
      </c>
      <c r="L646" s="14" t="s">
        <v>231</v>
      </c>
      <c r="M646" s="14">
        <v>3</v>
      </c>
      <c r="N646" s="14">
        <v>3777.9</v>
      </c>
      <c r="O646" s="14">
        <v>3240</v>
      </c>
      <c r="P646" s="14">
        <v>30</v>
      </c>
      <c r="Q646" s="14" t="s">
        <v>50</v>
      </c>
      <c r="R646" s="14" t="s">
        <v>42</v>
      </c>
      <c r="S646" s="14">
        <v>45317</v>
      </c>
      <c r="T646" s="14">
        <v>3</v>
      </c>
    </row>
    <row r="647" spans="1:20" x14ac:dyDescent="0.3">
      <c r="A647" t="s">
        <v>1210</v>
      </c>
      <c r="B647">
        <v>45879</v>
      </c>
      <c r="C647" t="s">
        <v>799</v>
      </c>
      <c r="D647" t="s">
        <v>800</v>
      </c>
      <c r="E647" t="s">
        <v>23</v>
      </c>
      <c r="F647">
        <v>24</v>
      </c>
      <c r="G647" t="s">
        <v>122</v>
      </c>
      <c r="H647" s="14" t="s">
        <v>123</v>
      </c>
      <c r="I647" s="14" t="s">
        <v>26</v>
      </c>
      <c r="J647" s="14" t="s">
        <v>27</v>
      </c>
      <c r="K647" s="14" t="s">
        <v>28</v>
      </c>
      <c r="L647" s="14" t="s">
        <v>29</v>
      </c>
      <c r="M647" s="14">
        <v>1</v>
      </c>
      <c r="N647" s="14">
        <v>779.4</v>
      </c>
      <c r="O647" s="14">
        <v>790</v>
      </c>
      <c r="P647" s="14">
        <v>40</v>
      </c>
      <c r="Q647" s="14" t="s">
        <v>50</v>
      </c>
      <c r="R647" s="14" t="s">
        <v>42</v>
      </c>
      <c r="S647" s="14">
        <v>45887</v>
      </c>
      <c r="T647" s="14">
        <v>5</v>
      </c>
    </row>
    <row r="648" spans="1:20" x14ac:dyDescent="0.3">
      <c r="A648" t="s">
        <v>1211</v>
      </c>
      <c r="B648">
        <v>45782</v>
      </c>
      <c r="C648" t="s">
        <v>240</v>
      </c>
      <c r="D648" t="s">
        <v>241</v>
      </c>
      <c r="E648" t="s">
        <v>23</v>
      </c>
      <c r="F648">
        <v>25</v>
      </c>
      <c r="G648" t="s">
        <v>61</v>
      </c>
      <c r="H648" s="14" t="s">
        <v>62</v>
      </c>
      <c r="I648" s="14" t="s">
        <v>37</v>
      </c>
      <c r="J648" s="14" t="s">
        <v>38</v>
      </c>
      <c r="K648" s="14" t="s">
        <v>39</v>
      </c>
      <c r="L648" s="14" t="s">
        <v>40</v>
      </c>
      <c r="M648" s="14">
        <v>2</v>
      </c>
      <c r="N648" s="14">
        <v>1708.1</v>
      </c>
      <c r="O648" s="14">
        <v>1040</v>
      </c>
      <c r="P648" s="14">
        <v>5</v>
      </c>
      <c r="Q648" s="14" t="s">
        <v>50</v>
      </c>
      <c r="R648" s="14" t="s">
        <v>57</v>
      </c>
      <c r="S648" s="14">
        <v>45784</v>
      </c>
      <c r="T648" s="14">
        <v>5</v>
      </c>
    </row>
    <row r="649" spans="1:20" x14ac:dyDescent="0.3">
      <c r="A649" t="s">
        <v>1212</v>
      </c>
      <c r="B649">
        <v>45515</v>
      </c>
      <c r="C649" t="s">
        <v>632</v>
      </c>
      <c r="D649" t="s">
        <v>372</v>
      </c>
      <c r="E649" t="s">
        <v>77</v>
      </c>
      <c r="F649">
        <v>34</v>
      </c>
      <c r="G649" t="s">
        <v>211</v>
      </c>
      <c r="H649" s="14" t="s">
        <v>127</v>
      </c>
      <c r="I649" s="14" t="s">
        <v>143</v>
      </c>
      <c r="J649" s="14" t="s">
        <v>144</v>
      </c>
      <c r="K649" s="14" t="s">
        <v>130</v>
      </c>
      <c r="L649" s="14" t="s">
        <v>131</v>
      </c>
      <c r="M649" s="14">
        <v>2</v>
      </c>
      <c r="N649" s="14">
        <v>10448.1</v>
      </c>
      <c r="O649" s="14">
        <v>8600</v>
      </c>
      <c r="P649" s="14">
        <v>5</v>
      </c>
      <c r="Q649" s="14" t="s">
        <v>73</v>
      </c>
      <c r="R649" s="14" t="s">
        <v>42</v>
      </c>
      <c r="S649" s="14">
        <v>45527</v>
      </c>
      <c r="T649" s="14">
        <v>4</v>
      </c>
    </row>
    <row r="650" spans="1:20" x14ac:dyDescent="0.3">
      <c r="A650" t="s">
        <v>1213</v>
      </c>
      <c r="B650">
        <v>45457</v>
      </c>
      <c r="C650" t="s">
        <v>310</v>
      </c>
      <c r="D650" t="s">
        <v>311</v>
      </c>
      <c r="E650" t="s">
        <v>23</v>
      </c>
      <c r="F650">
        <v>19</v>
      </c>
      <c r="G650" t="s">
        <v>161</v>
      </c>
      <c r="H650" s="14" t="s">
        <v>25</v>
      </c>
      <c r="I650" s="14" t="s">
        <v>63</v>
      </c>
      <c r="J650" s="14" t="s">
        <v>64</v>
      </c>
      <c r="K650" s="14" t="s">
        <v>39</v>
      </c>
      <c r="L650" s="14" t="s">
        <v>40</v>
      </c>
      <c r="M650" s="14">
        <v>4</v>
      </c>
      <c r="N650" s="14">
        <v>2156.4</v>
      </c>
      <c r="O650" s="14">
        <v>1320</v>
      </c>
      <c r="P650" s="14">
        <v>10</v>
      </c>
      <c r="Q650" s="14" t="s">
        <v>103</v>
      </c>
      <c r="R650" s="14" t="s">
        <v>42</v>
      </c>
      <c r="S650" s="14">
        <v>45464</v>
      </c>
      <c r="T650" s="14">
        <v>5</v>
      </c>
    </row>
    <row r="651" spans="1:20" x14ac:dyDescent="0.3">
      <c r="A651" t="s">
        <v>1214</v>
      </c>
      <c r="B651">
        <v>46012</v>
      </c>
      <c r="C651" t="s">
        <v>1215</v>
      </c>
      <c r="D651" t="s">
        <v>1216</v>
      </c>
      <c r="E651" t="s">
        <v>77</v>
      </c>
      <c r="F651">
        <v>19</v>
      </c>
      <c r="G651" t="s">
        <v>46</v>
      </c>
      <c r="H651" s="14" t="s">
        <v>25</v>
      </c>
      <c r="I651" s="14" t="s">
        <v>47</v>
      </c>
      <c r="J651" s="14" t="s">
        <v>48</v>
      </c>
      <c r="K651" s="14" t="s">
        <v>39</v>
      </c>
      <c r="L651" s="14" t="s">
        <v>49</v>
      </c>
      <c r="M651" s="14">
        <v>3</v>
      </c>
      <c r="N651" s="14">
        <v>1197</v>
      </c>
      <c r="O651" s="14">
        <v>630</v>
      </c>
      <c r="P651" s="14">
        <v>0</v>
      </c>
      <c r="Q651" s="14" t="s">
        <v>41</v>
      </c>
      <c r="R651" s="14" t="s">
        <v>42</v>
      </c>
      <c r="S651" s="14">
        <v>46018</v>
      </c>
      <c r="T651" s="14">
        <v>4</v>
      </c>
    </row>
    <row r="652" spans="1:20" x14ac:dyDescent="0.3">
      <c r="A652" t="s">
        <v>1217</v>
      </c>
      <c r="B652">
        <v>45993</v>
      </c>
      <c r="C652" t="s">
        <v>297</v>
      </c>
      <c r="D652" t="s">
        <v>298</v>
      </c>
      <c r="E652" t="s">
        <v>77</v>
      </c>
      <c r="F652">
        <v>55</v>
      </c>
      <c r="G652" t="s">
        <v>126</v>
      </c>
      <c r="H652" s="14" t="s">
        <v>127</v>
      </c>
      <c r="I652" s="14" t="s">
        <v>177</v>
      </c>
      <c r="J652" s="14" t="s">
        <v>178</v>
      </c>
      <c r="K652" s="14" t="s">
        <v>87</v>
      </c>
      <c r="L652" s="14" t="s">
        <v>179</v>
      </c>
      <c r="M652" s="14">
        <v>1</v>
      </c>
      <c r="N652" s="14">
        <v>1874.25</v>
      </c>
      <c r="O652" s="14">
        <v>1620</v>
      </c>
      <c r="P652" s="14">
        <v>25</v>
      </c>
      <c r="Q652" s="14" t="s">
        <v>73</v>
      </c>
      <c r="R652" s="14" t="s">
        <v>42</v>
      </c>
      <c r="S652" s="14">
        <v>46001</v>
      </c>
      <c r="T652" s="14">
        <v>4</v>
      </c>
    </row>
    <row r="653" spans="1:20" x14ac:dyDescent="0.3">
      <c r="A653" t="s">
        <v>1218</v>
      </c>
      <c r="B653">
        <v>45768</v>
      </c>
      <c r="C653" t="s">
        <v>465</v>
      </c>
      <c r="D653" t="s">
        <v>53</v>
      </c>
      <c r="E653" t="s">
        <v>23</v>
      </c>
      <c r="F653">
        <v>22</v>
      </c>
      <c r="G653" t="s">
        <v>211</v>
      </c>
      <c r="H653" s="14" t="s">
        <v>127</v>
      </c>
      <c r="I653" s="14" t="s">
        <v>245</v>
      </c>
      <c r="J653" s="14" t="s">
        <v>246</v>
      </c>
      <c r="K653" s="14" t="s">
        <v>130</v>
      </c>
      <c r="L653" s="14" t="s">
        <v>247</v>
      </c>
      <c r="M653" s="14">
        <v>2</v>
      </c>
      <c r="N653" s="14">
        <v>4748.1000000000004</v>
      </c>
      <c r="O653" s="14">
        <v>3740</v>
      </c>
      <c r="P653" s="14">
        <v>5</v>
      </c>
      <c r="Q653" s="14" t="s">
        <v>50</v>
      </c>
      <c r="R653" s="14" t="s">
        <v>31</v>
      </c>
      <c r="S653" s="14">
        <v>45773</v>
      </c>
      <c r="T653" s="14">
        <v>3</v>
      </c>
    </row>
    <row r="654" spans="1:20" x14ac:dyDescent="0.3">
      <c r="A654" t="s">
        <v>1219</v>
      </c>
      <c r="B654">
        <v>45634</v>
      </c>
      <c r="C654" t="s">
        <v>141</v>
      </c>
      <c r="D654" t="s">
        <v>142</v>
      </c>
      <c r="E654" t="s">
        <v>23</v>
      </c>
      <c r="F654">
        <v>57</v>
      </c>
      <c r="G654" t="s">
        <v>69</v>
      </c>
      <c r="H654" s="14" t="s">
        <v>69</v>
      </c>
      <c r="I654" s="14" t="s">
        <v>92</v>
      </c>
      <c r="J654" s="14" t="s">
        <v>93</v>
      </c>
      <c r="K654" s="14" t="s">
        <v>87</v>
      </c>
      <c r="L654" s="14" t="s">
        <v>94</v>
      </c>
      <c r="M654" s="14">
        <v>4</v>
      </c>
      <c r="N654" s="14">
        <v>5436.6</v>
      </c>
      <c r="O654" s="14">
        <v>3720</v>
      </c>
      <c r="P654" s="14">
        <v>15</v>
      </c>
      <c r="Q654" s="14" t="s">
        <v>30</v>
      </c>
      <c r="R654" s="14" t="s">
        <v>42</v>
      </c>
      <c r="S654" s="14">
        <v>45641</v>
      </c>
      <c r="T654" s="14">
        <v>4</v>
      </c>
    </row>
    <row r="655" spans="1:20" x14ac:dyDescent="0.3">
      <c r="A655" t="s">
        <v>1220</v>
      </c>
      <c r="B655">
        <v>45807</v>
      </c>
      <c r="C655" t="s">
        <v>354</v>
      </c>
      <c r="D655" t="s">
        <v>355</v>
      </c>
      <c r="E655" t="s">
        <v>77</v>
      </c>
      <c r="F655">
        <v>38</v>
      </c>
      <c r="G655" t="s">
        <v>207</v>
      </c>
      <c r="H655" s="14" t="s">
        <v>36</v>
      </c>
      <c r="I655" s="14" t="s">
        <v>26</v>
      </c>
      <c r="J655" s="14" t="s">
        <v>27</v>
      </c>
      <c r="K655" s="14" t="s">
        <v>28</v>
      </c>
      <c r="L655" s="14" t="s">
        <v>29</v>
      </c>
      <c r="M655" s="14">
        <v>1</v>
      </c>
      <c r="N655" s="14">
        <v>974.25</v>
      </c>
      <c r="O655" s="14">
        <v>790</v>
      </c>
      <c r="P655" s="14">
        <v>25</v>
      </c>
      <c r="Q655" s="14" t="s">
        <v>41</v>
      </c>
      <c r="R655" s="14" t="s">
        <v>42</v>
      </c>
      <c r="S655" s="14">
        <v>45816</v>
      </c>
      <c r="T655" s="14">
        <v>3</v>
      </c>
    </row>
    <row r="656" spans="1:20" x14ac:dyDescent="0.3">
      <c r="A656" t="s">
        <v>1221</v>
      </c>
      <c r="B656">
        <v>45773</v>
      </c>
      <c r="C656" t="s">
        <v>1222</v>
      </c>
      <c r="D656" t="s">
        <v>1223</v>
      </c>
      <c r="E656" t="s">
        <v>23</v>
      </c>
      <c r="F656">
        <v>54</v>
      </c>
      <c r="G656" t="s">
        <v>35</v>
      </c>
      <c r="H656" s="14" t="s">
        <v>36</v>
      </c>
      <c r="I656" s="14" t="s">
        <v>63</v>
      </c>
      <c r="J656" s="14" t="s">
        <v>64</v>
      </c>
      <c r="K656" s="14" t="s">
        <v>39</v>
      </c>
      <c r="L656" s="14" t="s">
        <v>40</v>
      </c>
      <c r="M656" s="14">
        <v>5</v>
      </c>
      <c r="N656" s="14">
        <v>2246.25</v>
      </c>
      <c r="O656" s="14">
        <v>1650</v>
      </c>
      <c r="P656" s="14">
        <v>25</v>
      </c>
      <c r="Q656" s="14" t="s">
        <v>73</v>
      </c>
      <c r="R656" s="14" t="s">
        <v>42</v>
      </c>
      <c r="S656" s="14">
        <v>45782</v>
      </c>
      <c r="T656" s="14">
        <v>3</v>
      </c>
    </row>
    <row r="657" spans="1:20" x14ac:dyDescent="0.3">
      <c r="A657" t="s">
        <v>1224</v>
      </c>
      <c r="B657">
        <v>45374</v>
      </c>
      <c r="C657" t="s">
        <v>1001</v>
      </c>
      <c r="D657" t="s">
        <v>363</v>
      </c>
      <c r="E657" t="s">
        <v>77</v>
      </c>
      <c r="F657">
        <v>33</v>
      </c>
      <c r="G657" t="s">
        <v>78</v>
      </c>
      <c r="H657" s="14" t="s">
        <v>79</v>
      </c>
      <c r="I657" s="14" t="s">
        <v>143</v>
      </c>
      <c r="J657" s="14" t="s">
        <v>144</v>
      </c>
      <c r="K657" s="14" t="s">
        <v>130</v>
      </c>
      <c r="L657" s="14" t="s">
        <v>131</v>
      </c>
      <c r="M657" s="14">
        <v>1</v>
      </c>
      <c r="N657" s="14">
        <v>5224.05</v>
      </c>
      <c r="O657" s="14">
        <v>4300</v>
      </c>
      <c r="P657" s="14">
        <v>5</v>
      </c>
      <c r="Q657" s="14" t="s">
        <v>30</v>
      </c>
      <c r="R657" s="14" t="s">
        <v>42</v>
      </c>
      <c r="S657" s="14">
        <v>45377</v>
      </c>
      <c r="T657" s="14">
        <v>3</v>
      </c>
    </row>
    <row r="658" spans="1:20" x14ac:dyDescent="0.3">
      <c r="A658" t="s">
        <v>1225</v>
      </c>
      <c r="B658">
        <v>45800</v>
      </c>
      <c r="C658" t="s">
        <v>561</v>
      </c>
      <c r="D658" t="s">
        <v>439</v>
      </c>
      <c r="E658" t="s">
        <v>23</v>
      </c>
      <c r="F658">
        <v>58</v>
      </c>
      <c r="G658" t="s">
        <v>154</v>
      </c>
      <c r="H658" s="14" t="s">
        <v>91</v>
      </c>
      <c r="I658" s="14" t="s">
        <v>112</v>
      </c>
      <c r="J658" s="14" t="s">
        <v>113</v>
      </c>
      <c r="K658" s="14" t="s">
        <v>114</v>
      </c>
      <c r="L658" s="14" t="s">
        <v>115</v>
      </c>
      <c r="M658" s="14">
        <v>1</v>
      </c>
      <c r="N658" s="14">
        <v>559.20000000000005</v>
      </c>
      <c r="O658" s="14">
        <v>370</v>
      </c>
      <c r="P658" s="14">
        <v>20</v>
      </c>
      <c r="Q658" s="14" t="s">
        <v>103</v>
      </c>
      <c r="R658" s="14" t="s">
        <v>31</v>
      </c>
      <c r="S658" s="14">
        <v>45810</v>
      </c>
      <c r="T658" s="14">
        <v>3</v>
      </c>
    </row>
    <row r="659" spans="1:20" x14ac:dyDescent="0.3">
      <c r="A659" t="s">
        <v>1226</v>
      </c>
      <c r="B659">
        <v>45777</v>
      </c>
      <c r="C659" t="s">
        <v>729</v>
      </c>
      <c r="D659" t="s">
        <v>276</v>
      </c>
      <c r="E659" t="s">
        <v>77</v>
      </c>
      <c r="F659">
        <v>25</v>
      </c>
      <c r="G659" t="s">
        <v>122</v>
      </c>
      <c r="H659" s="14" t="s">
        <v>123</v>
      </c>
      <c r="I659" s="14" t="s">
        <v>63</v>
      </c>
      <c r="J659" s="14" t="s">
        <v>64</v>
      </c>
      <c r="K659" s="14" t="s">
        <v>39</v>
      </c>
      <c r="L659" s="14" t="s">
        <v>40</v>
      </c>
      <c r="M659" s="14">
        <v>1</v>
      </c>
      <c r="N659" s="14">
        <v>479.2</v>
      </c>
      <c r="O659" s="14">
        <v>330</v>
      </c>
      <c r="P659" s="14">
        <v>20</v>
      </c>
      <c r="Q659" s="14" t="s">
        <v>30</v>
      </c>
      <c r="R659" s="14" t="s">
        <v>42</v>
      </c>
      <c r="S659" s="14">
        <v>45779</v>
      </c>
      <c r="T659" s="14">
        <v>4</v>
      </c>
    </row>
    <row r="660" spans="1:20" x14ac:dyDescent="0.3">
      <c r="A660" t="s">
        <v>1227</v>
      </c>
      <c r="B660">
        <v>45824</v>
      </c>
      <c r="C660" t="s">
        <v>786</v>
      </c>
      <c r="D660" t="s">
        <v>227</v>
      </c>
      <c r="E660" t="s">
        <v>23</v>
      </c>
      <c r="F660">
        <v>54</v>
      </c>
      <c r="G660" t="s">
        <v>122</v>
      </c>
      <c r="H660" s="14" t="s">
        <v>123</v>
      </c>
      <c r="I660" s="14" t="s">
        <v>198</v>
      </c>
      <c r="J660" s="14" t="s">
        <v>199</v>
      </c>
      <c r="K660" s="14" t="s">
        <v>114</v>
      </c>
      <c r="L660" s="14" t="s">
        <v>200</v>
      </c>
      <c r="M660" s="14">
        <v>3</v>
      </c>
      <c r="N660" s="14">
        <v>2922.75</v>
      </c>
      <c r="O660" s="14">
        <v>2280</v>
      </c>
      <c r="P660" s="14">
        <v>25</v>
      </c>
      <c r="Q660" s="14" t="s">
        <v>103</v>
      </c>
      <c r="R660" s="14" t="s">
        <v>65</v>
      </c>
    </row>
    <row r="661" spans="1:20" x14ac:dyDescent="0.3">
      <c r="A661" t="s">
        <v>1228</v>
      </c>
      <c r="B661">
        <v>45973</v>
      </c>
      <c r="C661" t="s">
        <v>272</v>
      </c>
      <c r="D661" t="s">
        <v>273</v>
      </c>
      <c r="E661" t="s">
        <v>23</v>
      </c>
      <c r="F661">
        <v>46</v>
      </c>
      <c r="G661" t="s">
        <v>61</v>
      </c>
      <c r="H661" s="14" t="s">
        <v>62</v>
      </c>
      <c r="I661" s="14" t="s">
        <v>63</v>
      </c>
      <c r="J661" s="14" t="s">
        <v>64</v>
      </c>
      <c r="K661" s="14" t="s">
        <v>39</v>
      </c>
      <c r="L661" s="14" t="s">
        <v>40</v>
      </c>
      <c r="M661" s="14">
        <v>3</v>
      </c>
      <c r="N661" s="14">
        <v>1617.3</v>
      </c>
      <c r="O661" s="14">
        <v>990</v>
      </c>
      <c r="P661" s="14">
        <v>10</v>
      </c>
      <c r="Q661" s="14" t="s">
        <v>41</v>
      </c>
      <c r="R661" s="14" t="s">
        <v>42</v>
      </c>
      <c r="S661" s="14">
        <v>45979</v>
      </c>
      <c r="T661" s="14">
        <v>4</v>
      </c>
    </row>
    <row r="662" spans="1:20" x14ac:dyDescent="0.3">
      <c r="A662" t="s">
        <v>1229</v>
      </c>
      <c r="B662">
        <v>45787</v>
      </c>
      <c r="C662" t="s">
        <v>669</v>
      </c>
      <c r="D662" t="s">
        <v>509</v>
      </c>
      <c r="E662" t="s">
        <v>77</v>
      </c>
      <c r="F662">
        <v>28</v>
      </c>
      <c r="G662" t="s">
        <v>35</v>
      </c>
      <c r="H662" s="14" t="s">
        <v>36</v>
      </c>
      <c r="I662" s="14" t="s">
        <v>26</v>
      </c>
      <c r="J662" s="14" t="s">
        <v>27</v>
      </c>
      <c r="K662" s="14" t="s">
        <v>28</v>
      </c>
      <c r="L662" s="14" t="s">
        <v>29</v>
      </c>
      <c r="M662" s="14">
        <v>2</v>
      </c>
      <c r="N662" s="14">
        <v>1948.5</v>
      </c>
      <c r="O662" s="14">
        <v>1580</v>
      </c>
      <c r="P662" s="14">
        <v>25</v>
      </c>
      <c r="Q662" s="14" t="s">
        <v>41</v>
      </c>
      <c r="R662" s="14" t="s">
        <v>42</v>
      </c>
      <c r="S662" s="14">
        <v>45791</v>
      </c>
      <c r="T662" s="14">
        <v>3</v>
      </c>
    </row>
    <row r="663" spans="1:20" x14ac:dyDescent="0.3">
      <c r="A663" t="s">
        <v>1230</v>
      </c>
      <c r="B663">
        <v>46020</v>
      </c>
      <c r="C663" t="s">
        <v>523</v>
      </c>
      <c r="D663" t="s">
        <v>524</v>
      </c>
      <c r="E663" t="s">
        <v>77</v>
      </c>
      <c r="F663">
        <v>49</v>
      </c>
      <c r="G663" t="s">
        <v>35</v>
      </c>
      <c r="H663" s="14" t="s">
        <v>36</v>
      </c>
      <c r="I663" s="14" t="s">
        <v>319</v>
      </c>
      <c r="J663" s="14" t="s">
        <v>320</v>
      </c>
      <c r="K663" s="14" t="s">
        <v>28</v>
      </c>
      <c r="L663" s="14" t="s">
        <v>29</v>
      </c>
      <c r="M663" s="14">
        <v>2</v>
      </c>
      <c r="N663" s="14">
        <v>2158.1999999999998</v>
      </c>
      <c r="O663" s="14">
        <v>1420</v>
      </c>
      <c r="P663" s="14">
        <v>10</v>
      </c>
      <c r="Q663" s="14" t="s">
        <v>30</v>
      </c>
      <c r="R663" s="14" t="s">
        <v>42</v>
      </c>
      <c r="S663" s="14">
        <v>46023</v>
      </c>
      <c r="T663" s="14">
        <v>2</v>
      </c>
    </row>
    <row r="664" spans="1:20" x14ac:dyDescent="0.3">
      <c r="A664" t="s">
        <v>1231</v>
      </c>
      <c r="B664">
        <v>45616</v>
      </c>
      <c r="C664" t="s">
        <v>930</v>
      </c>
      <c r="D664" t="s">
        <v>556</v>
      </c>
      <c r="E664" t="s">
        <v>23</v>
      </c>
      <c r="F664">
        <v>48</v>
      </c>
      <c r="G664" t="s">
        <v>173</v>
      </c>
      <c r="H664" s="14" t="s">
        <v>79</v>
      </c>
      <c r="I664" s="14" t="s">
        <v>63</v>
      </c>
      <c r="J664" s="14" t="s">
        <v>64</v>
      </c>
      <c r="K664" s="14" t="s">
        <v>39</v>
      </c>
      <c r="L664" s="14" t="s">
        <v>40</v>
      </c>
      <c r="M664" s="14">
        <v>3</v>
      </c>
      <c r="N664" s="14">
        <v>1347.75</v>
      </c>
      <c r="O664" s="14">
        <v>990</v>
      </c>
      <c r="P664" s="14">
        <v>25</v>
      </c>
      <c r="Q664" s="14" t="s">
        <v>30</v>
      </c>
      <c r="R664" s="14" t="s">
        <v>42</v>
      </c>
      <c r="S664" s="14">
        <v>45626</v>
      </c>
      <c r="T664" s="14">
        <v>2</v>
      </c>
    </row>
    <row r="665" spans="1:20" x14ac:dyDescent="0.3">
      <c r="A665" t="s">
        <v>1232</v>
      </c>
      <c r="B665">
        <v>45973</v>
      </c>
      <c r="C665" t="s">
        <v>716</v>
      </c>
      <c r="D665" t="s">
        <v>717</v>
      </c>
      <c r="E665" t="s">
        <v>77</v>
      </c>
      <c r="F665">
        <v>35</v>
      </c>
      <c r="G665" t="s">
        <v>211</v>
      </c>
      <c r="H665" s="14" t="s">
        <v>127</v>
      </c>
      <c r="I665" s="14" t="s">
        <v>252</v>
      </c>
      <c r="J665" s="14" t="s">
        <v>253</v>
      </c>
      <c r="K665" s="14" t="s">
        <v>28</v>
      </c>
      <c r="L665" s="14" t="s">
        <v>254</v>
      </c>
      <c r="M665" s="14">
        <v>3</v>
      </c>
      <c r="N665" s="14">
        <v>5398.2</v>
      </c>
      <c r="O665" s="14">
        <v>5700</v>
      </c>
      <c r="P665" s="14">
        <v>40</v>
      </c>
      <c r="Q665" s="14" t="s">
        <v>50</v>
      </c>
      <c r="R665" s="14" t="s">
        <v>42</v>
      </c>
      <c r="S665" s="14">
        <v>45983</v>
      </c>
      <c r="T665" s="14">
        <v>4</v>
      </c>
    </row>
    <row r="666" spans="1:20" x14ac:dyDescent="0.3">
      <c r="A666" t="s">
        <v>1233</v>
      </c>
      <c r="B666">
        <v>45416</v>
      </c>
      <c r="C666" t="s">
        <v>603</v>
      </c>
      <c r="D666" t="s">
        <v>857</v>
      </c>
      <c r="E666" t="s">
        <v>77</v>
      </c>
      <c r="F666">
        <v>27</v>
      </c>
      <c r="G666" t="s">
        <v>165</v>
      </c>
      <c r="H666" s="14" t="s">
        <v>166</v>
      </c>
      <c r="I666" s="14" t="s">
        <v>37</v>
      </c>
      <c r="J666" s="14" t="s">
        <v>38</v>
      </c>
      <c r="K666" s="14" t="s">
        <v>39</v>
      </c>
      <c r="L666" s="14" t="s">
        <v>40</v>
      </c>
      <c r="M666" s="14">
        <v>2</v>
      </c>
      <c r="N666" s="14">
        <v>1078.8</v>
      </c>
      <c r="O666" s="14">
        <v>1040</v>
      </c>
      <c r="P666" s="14">
        <v>40</v>
      </c>
      <c r="Q666" s="14" t="s">
        <v>41</v>
      </c>
      <c r="R666" s="14" t="s">
        <v>42</v>
      </c>
      <c r="S666" s="14">
        <v>45418</v>
      </c>
      <c r="T666" s="14">
        <v>4</v>
      </c>
    </row>
    <row r="667" spans="1:20" x14ac:dyDescent="0.3">
      <c r="A667" t="s">
        <v>1234</v>
      </c>
      <c r="B667">
        <v>45954</v>
      </c>
      <c r="C667" t="s">
        <v>505</v>
      </c>
      <c r="D667" t="s">
        <v>506</v>
      </c>
      <c r="E667" t="s">
        <v>77</v>
      </c>
      <c r="F667">
        <v>40</v>
      </c>
      <c r="G667" t="s">
        <v>101</v>
      </c>
      <c r="H667" s="14" t="s">
        <v>102</v>
      </c>
      <c r="I667" s="14" t="s">
        <v>143</v>
      </c>
      <c r="J667" s="14" t="s">
        <v>144</v>
      </c>
      <c r="K667" s="14" t="s">
        <v>130</v>
      </c>
      <c r="L667" s="14" t="s">
        <v>131</v>
      </c>
      <c r="M667" s="14">
        <v>5</v>
      </c>
      <c r="N667" s="14">
        <v>24745.5</v>
      </c>
      <c r="O667" s="14">
        <v>21500</v>
      </c>
      <c r="P667" s="14">
        <v>10</v>
      </c>
      <c r="Q667" s="14" t="s">
        <v>50</v>
      </c>
      <c r="R667" s="14" t="s">
        <v>31</v>
      </c>
      <c r="S667" s="14">
        <v>45963</v>
      </c>
      <c r="T667" s="14">
        <v>4</v>
      </c>
    </row>
    <row r="668" spans="1:20" x14ac:dyDescent="0.3">
      <c r="A668" t="s">
        <v>1235</v>
      </c>
      <c r="B668">
        <v>45997</v>
      </c>
      <c r="C668" t="s">
        <v>1236</v>
      </c>
      <c r="D668" t="s">
        <v>270</v>
      </c>
      <c r="E668" t="s">
        <v>77</v>
      </c>
      <c r="F668">
        <v>56</v>
      </c>
      <c r="G668" t="s">
        <v>101</v>
      </c>
      <c r="H668" s="14" t="s">
        <v>102</v>
      </c>
      <c r="I668" s="14" t="s">
        <v>26</v>
      </c>
      <c r="J668" s="14" t="s">
        <v>27</v>
      </c>
      <c r="K668" s="14" t="s">
        <v>28</v>
      </c>
      <c r="L668" s="14" t="s">
        <v>29</v>
      </c>
      <c r="M668" s="14">
        <v>2</v>
      </c>
      <c r="N668" s="14">
        <v>2468.1</v>
      </c>
      <c r="O668" s="14">
        <v>1580</v>
      </c>
      <c r="P668" s="14">
        <v>5</v>
      </c>
      <c r="Q668" s="14" t="s">
        <v>41</v>
      </c>
      <c r="R668" s="14" t="s">
        <v>42</v>
      </c>
      <c r="S668" s="14">
        <v>46005</v>
      </c>
      <c r="T668" s="14">
        <v>4</v>
      </c>
    </row>
    <row r="669" spans="1:20" x14ac:dyDescent="0.3">
      <c r="A669" t="s">
        <v>1237</v>
      </c>
      <c r="B669">
        <v>45748</v>
      </c>
      <c r="C669" t="s">
        <v>893</v>
      </c>
      <c r="D669" t="s">
        <v>894</v>
      </c>
      <c r="E669" t="s">
        <v>77</v>
      </c>
      <c r="F669">
        <v>42</v>
      </c>
      <c r="G669" t="s">
        <v>46</v>
      </c>
      <c r="H669" s="14" t="s">
        <v>25</v>
      </c>
      <c r="I669" s="14" t="s">
        <v>183</v>
      </c>
      <c r="J669" s="14" t="s">
        <v>184</v>
      </c>
      <c r="K669" s="14" t="s">
        <v>130</v>
      </c>
      <c r="L669" s="14" t="s">
        <v>185</v>
      </c>
      <c r="M669" s="14">
        <v>1</v>
      </c>
      <c r="N669" s="14">
        <v>3399.15</v>
      </c>
      <c r="O669" s="14">
        <v>3050</v>
      </c>
      <c r="P669" s="14">
        <v>15</v>
      </c>
      <c r="Q669" s="14" t="s">
        <v>50</v>
      </c>
      <c r="R669" s="14" t="s">
        <v>65</v>
      </c>
    </row>
    <row r="670" spans="1:20" x14ac:dyDescent="0.3">
      <c r="A670" t="s">
        <v>1238</v>
      </c>
      <c r="B670">
        <v>45519</v>
      </c>
      <c r="C670" t="s">
        <v>287</v>
      </c>
      <c r="D670" t="s">
        <v>182</v>
      </c>
      <c r="E670" t="s">
        <v>23</v>
      </c>
      <c r="F670">
        <v>46</v>
      </c>
      <c r="G670" t="s">
        <v>154</v>
      </c>
      <c r="H670" s="14" t="s">
        <v>91</v>
      </c>
      <c r="I670" s="14" t="s">
        <v>80</v>
      </c>
      <c r="J670" s="14" t="s">
        <v>81</v>
      </c>
      <c r="K670" s="14" t="s">
        <v>28</v>
      </c>
      <c r="L670" s="14" t="s">
        <v>29</v>
      </c>
      <c r="M670" s="14">
        <v>1</v>
      </c>
      <c r="N670" s="14">
        <v>479.4</v>
      </c>
      <c r="O670" s="14">
        <v>470</v>
      </c>
      <c r="P670" s="14">
        <v>40</v>
      </c>
      <c r="Q670" s="14" t="s">
        <v>73</v>
      </c>
      <c r="R670" s="14" t="s">
        <v>65</v>
      </c>
    </row>
    <row r="671" spans="1:20" x14ac:dyDescent="0.3">
      <c r="A671" t="s">
        <v>1239</v>
      </c>
      <c r="B671">
        <v>45695</v>
      </c>
      <c r="C671" t="s">
        <v>791</v>
      </c>
      <c r="D671" t="s">
        <v>792</v>
      </c>
      <c r="E671" t="s">
        <v>23</v>
      </c>
      <c r="F671">
        <v>42</v>
      </c>
      <c r="G671" t="s">
        <v>101</v>
      </c>
      <c r="H671" s="14" t="s">
        <v>102</v>
      </c>
      <c r="I671" s="14" t="s">
        <v>183</v>
      </c>
      <c r="J671" s="14" t="s">
        <v>184</v>
      </c>
      <c r="K671" s="14" t="s">
        <v>130</v>
      </c>
      <c r="L671" s="14" t="s">
        <v>185</v>
      </c>
      <c r="M671" s="14">
        <v>5</v>
      </c>
      <c r="N671" s="14">
        <v>19995</v>
      </c>
      <c r="O671" s="14">
        <v>15250</v>
      </c>
      <c r="P671" s="14">
        <v>0</v>
      </c>
      <c r="Q671" s="14" t="s">
        <v>41</v>
      </c>
      <c r="R671" s="14" t="s">
        <v>42</v>
      </c>
      <c r="S671" s="14">
        <v>45699</v>
      </c>
      <c r="T671" s="14">
        <v>5</v>
      </c>
    </row>
    <row r="672" spans="1:20" x14ac:dyDescent="0.3">
      <c r="A672" t="s">
        <v>1240</v>
      </c>
      <c r="B672">
        <v>45670</v>
      </c>
      <c r="C672" t="s">
        <v>825</v>
      </c>
      <c r="D672" t="s">
        <v>826</v>
      </c>
      <c r="E672" t="s">
        <v>77</v>
      </c>
      <c r="F672">
        <v>22</v>
      </c>
      <c r="G672" t="s">
        <v>211</v>
      </c>
      <c r="H672" s="14" t="s">
        <v>127</v>
      </c>
      <c r="I672" s="14" t="s">
        <v>80</v>
      </c>
      <c r="J672" s="14" t="s">
        <v>81</v>
      </c>
      <c r="K672" s="14" t="s">
        <v>28</v>
      </c>
      <c r="L672" s="14" t="s">
        <v>29</v>
      </c>
      <c r="M672" s="14">
        <v>3</v>
      </c>
      <c r="N672" s="14">
        <v>1797.75</v>
      </c>
      <c r="O672" s="14">
        <v>1410</v>
      </c>
      <c r="P672" s="14">
        <v>25</v>
      </c>
      <c r="Q672" s="14" t="s">
        <v>41</v>
      </c>
      <c r="R672" s="14" t="s">
        <v>42</v>
      </c>
      <c r="S672" s="14">
        <v>45679</v>
      </c>
      <c r="T672" s="14">
        <v>3</v>
      </c>
    </row>
    <row r="673" spans="1:20" x14ac:dyDescent="0.3">
      <c r="A673" t="s">
        <v>1241</v>
      </c>
      <c r="B673">
        <v>45512</v>
      </c>
      <c r="C673" t="s">
        <v>243</v>
      </c>
      <c r="D673" t="s">
        <v>244</v>
      </c>
      <c r="E673" t="s">
        <v>77</v>
      </c>
      <c r="F673">
        <v>52</v>
      </c>
      <c r="G673" t="s">
        <v>122</v>
      </c>
      <c r="H673" s="14" t="s">
        <v>123</v>
      </c>
      <c r="I673" s="14" t="s">
        <v>63</v>
      </c>
      <c r="J673" s="14" t="s">
        <v>64</v>
      </c>
      <c r="K673" s="14" t="s">
        <v>39</v>
      </c>
      <c r="L673" s="14" t="s">
        <v>40</v>
      </c>
      <c r="M673" s="14">
        <v>3</v>
      </c>
      <c r="O673" s="14">
        <v>990</v>
      </c>
      <c r="P673" s="14">
        <v>10</v>
      </c>
      <c r="Q673" s="14" t="s">
        <v>103</v>
      </c>
      <c r="R673" s="14" t="s">
        <v>31</v>
      </c>
      <c r="S673" s="14">
        <v>45520</v>
      </c>
      <c r="T673" s="14">
        <v>3</v>
      </c>
    </row>
    <row r="674" spans="1:20" x14ac:dyDescent="0.3">
      <c r="A674" t="s">
        <v>1242</v>
      </c>
      <c r="B674">
        <v>45893</v>
      </c>
      <c r="C674" t="s">
        <v>508</v>
      </c>
      <c r="D674" t="s">
        <v>509</v>
      </c>
      <c r="E674" t="s">
        <v>77</v>
      </c>
      <c r="F674">
        <v>23</v>
      </c>
      <c r="G674" t="s">
        <v>173</v>
      </c>
      <c r="H674" s="14" t="s">
        <v>79</v>
      </c>
      <c r="I674" s="14" t="s">
        <v>70</v>
      </c>
      <c r="J674" s="14" t="s">
        <v>71</v>
      </c>
      <c r="K674" s="14" t="s">
        <v>28</v>
      </c>
      <c r="L674" s="14" t="s">
        <v>72</v>
      </c>
      <c r="M674" s="14">
        <v>3</v>
      </c>
      <c r="N674" s="14">
        <v>2698.2</v>
      </c>
      <c r="O674" s="14">
        <v>2760</v>
      </c>
      <c r="P674" s="14">
        <v>40</v>
      </c>
      <c r="Q674" s="14" t="s">
        <v>50</v>
      </c>
      <c r="R674" s="14" t="s">
        <v>42</v>
      </c>
      <c r="S674" s="14">
        <v>45896</v>
      </c>
      <c r="T674" s="14">
        <v>5</v>
      </c>
    </row>
    <row r="675" spans="1:20" x14ac:dyDescent="0.3">
      <c r="A675" t="s">
        <v>1243</v>
      </c>
      <c r="B675">
        <v>45382</v>
      </c>
      <c r="C675" t="s">
        <v>685</v>
      </c>
      <c r="D675" t="s">
        <v>399</v>
      </c>
      <c r="E675" t="s">
        <v>77</v>
      </c>
      <c r="F675">
        <v>52</v>
      </c>
      <c r="G675" t="s">
        <v>122</v>
      </c>
      <c r="H675" s="14" t="s">
        <v>123</v>
      </c>
      <c r="I675" s="14" t="s">
        <v>92</v>
      </c>
      <c r="J675" s="14" t="s">
        <v>93</v>
      </c>
      <c r="K675" s="14" t="s">
        <v>87</v>
      </c>
      <c r="L675" s="14" t="s">
        <v>94</v>
      </c>
      <c r="M675" s="14">
        <v>3</v>
      </c>
      <c r="N675" s="14">
        <v>3357.9</v>
      </c>
      <c r="O675" s="14">
        <v>2790</v>
      </c>
      <c r="P675" s="14">
        <v>30</v>
      </c>
      <c r="Q675" s="14" t="s">
        <v>30</v>
      </c>
      <c r="R675" s="14" t="s">
        <v>65</v>
      </c>
    </row>
    <row r="676" spans="1:20" x14ac:dyDescent="0.3">
      <c r="A676" t="s">
        <v>1244</v>
      </c>
      <c r="B676">
        <v>45765</v>
      </c>
      <c r="C676" t="s">
        <v>897</v>
      </c>
      <c r="D676" t="s">
        <v>898</v>
      </c>
      <c r="E676" t="s">
        <v>77</v>
      </c>
      <c r="F676">
        <v>34</v>
      </c>
      <c r="G676" t="s">
        <v>173</v>
      </c>
      <c r="H676" s="14" t="s">
        <v>79</v>
      </c>
      <c r="I676" s="14" t="s">
        <v>70</v>
      </c>
      <c r="J676" s="14" t="s">
        <v>71</v>
      </c>
      <c r="K676" s="14" t="s">
        <v>28</v>
      </c>
      <c r="L676" s="14" t="s">
        <v>72</v>
      </c>
      <c r="M676" s="14">
        <v>2</v>
      </c>
      <c r="N676" s="14">
        <v>2098.6</v>
      </c>
      <c r="O676" s="14">
        <v>1840</v>
      </c>
      <c r="P676" s="14">
        <v>30</v>
      </c>
      <c r="Q676" s="14" t="s">
        <v>41</v>
      </c>
      <c r="R676" s="14" t="s">
        <v>65</v>
      </c>
    </row>
    <row r="677" spans="1:20" x14ac:dyDescent="0.3">
      <c r="A677" t="s">
        <v>1245</v>
      </c>
      <c r="B677">
        <v>45794</v>
      </c>
      <c r="C677" t="s">
        <v>621</v>
      </c>
      <c r="D677" t="s">
        <v>622</v>
      </c>
      <c r="E677" t="s">
        <v>23</v>
      </c>
      <c r="F677">
        <v>32</v>
      </c>
      <c r="G677" t="s">
        <v>35</v>
      </c>
      <c r="H677" s="14" t="s">
        <v>36</v>
      </c>
      <c r="I677" s="14" t="s">
        <v>198</v>
      </c>
      <c r="J677" s="14" t="s">
        <v>199</v>
      </c>
      <c r="K677" s="14" t="s">
        <v>114</v>
      </c>
      <c r="L677" s="14" t="s">
        <v>200</v>
      </c>
      <c r="M677" s="14">
        <v>3</v>
      </c>
      <c r="N677" s="14">
        <v>2338.1999999999998</v>
      </c>
      <c r="O677" s="14">
        <v>2280</v>
      </c>
      <c r="P677" s="14">
        <v>40</v>
      </c>
      <c r="Q677" s="14" t="s">
        <v>50</v>
      </c>
      <c r="R677" s="14" t="s">
        <v>31</v>
      </c>
      <c r="S677" s="14">
        <v>45803</v>
      </c>
      <c r="T677" s="14">
        <v>4</v>
      </c>
    </row>
    <row r="678" spans="1:20" x14ac:dyDescent="0.3">
      <c r="A678" t="s">
        <v>1246</v>
      </c>
      <c r="B678">
        <v>45319</v>
      </c>
      <c r="C678" t="s">
        <v>1247</v>
      </c>
      <c r="D678" t="s">
        <v>323</v>
      </c>
      <c r="E678" t="s">
        <v>23</v>
      </c>
      <c r="F678">
        <v>33</v>
      </c>
      <c r="G678" t="s">
        <v>173</v>
      </c>
      <c r="H678" s="14" t="s">
        <v>79</v>
      </c>
      <c r="I678" s="14" t="s">
        <v>128</v>
      </c>
      <c r="J678" s="14" t="s">
        <v>129</v>
      </c>
      <c r="K678" s="14" t="s">
        <v>130</v>
      </c>
      <c r="L678" s="14" t="s">
        <v>131</v>
      </c>
      <c r="M678" s="14">
        <v>3</v>
      </c>
      <c r="N678" s="14">
        <v>11698.2</v>
      </c>
      <c r="O678" s="14">
        <v>15300</v>
      </c>
      <c r="P678" s="14">
        <v>40</v>
      </c>
      <c r="Q678" s="14" t="s">
        <v>73</v>
      </c>
      <c r="R678" s="14" t="s">
        <v>31</v>
      </c>
      <c r="S678" s="14">
        <v>45331</v>
      </c>
      <c r="T678" s="14">
        <v>4</v>
      </c>
    </row>
    <row r="679" spans="1:20" x14ac:dyDescent="0.3">
      <c r="A679" t="s">
        <v>1248</v>
      </c>
      <c r="B679">
        <v>45719</v>
      </c>
      <c r="C679" t="s">
        <v>1030</v>
      </c>
      <c r="D679" t="s">
        <v>694</v>
      </c>
      <c r="E679" t="s">
        <v>23</v>
      </c>
      <c r="F679">
        <v>46</v>
      </c>
      <c r="G679" t="s">
        <v>101</v>
      </c>
      <c r="H679" s="14" t="s">
        <v>102</v>
      </c>
      <c r="I679" s="14" t="s">
        <v>85</v>
      </c>
      <c r="J679" s="14" t="s">
        <v>86</v>
      </c>
      <c r="K679" s="14" t="s">
        <v>87</v>
      </c>
      <c r="L679" s="14" t="s">
        <v>88</v>
      </c>
      <c r="M679" s="14">
        <v>2</v>
      </c>
      <c r="N679" s="14">
        <v>2798</v>
      </c>
      <c r="O679" s="14">
        <v>1580</v>
      </c>
      <c r="P679" s="14">
        <v>0</v>
      </c>
      <c r="Q679" s="14" t="s">
        <v>73</v>
      </c>
      <c r="R679" s="14" t="s">
        <v>57</v>
      </c>
      <c r="S679" s="14">
        <v>45725</v>
      </c>
      <c r="T679" s="14">
        <v>5</v>
      </c>
    </row>
    <row r="680" spans="1:20" x14ac:dyDescent="0.3">
      <c r="A680" t="s">
        <v>1249</v>
      </c>
      <c r="B680">
        <v>45360</v>
      </c>
      <c r="C680" t="s">
        <v>263</v>
      </c>
      <c r="D680" t="s">
        <v>264</v>
      </c>
      <c r="E680" t="s">
        <v>77</v>
      </c>
      <c r="F680">
        <v>18</v>
      </c>
      <c r="G680" t="s">
        <v>101</v>
      </c>
      <c r="H680" s="14" t="s">
        <v>102</v>
      </c>
      <c r="I680" s="14" t="s">
        <v>198</v>
      </c>
      <c r="J680" s="14" t="s">
        <v>199</v>
      </c>
      <c r="K680" s="14" t="s">
        <v>114</v>
      </c>
      <c r="L680" s="14" t="s">
        <v>200</v>
      </c>
      <c r="M680" s="14">
        <v>4</v>
      </c>
      <c r="N680" s="14">
        <v>4156.8</v>
      </c>
      <c r="O680" s="14">
        <v>3040</v>
      </c>
      <c r="P680" s="14">
        <v>20</v>
      </c>
      <c r="Q680" s="14" t="s">
        <v>103</v>
      </c>
      <c r="R680" s="14" t="s">
        <v>31</v>
      </c>
      <c r="S680" s="14">
        <v>45363</v>
      </c>
      <c r="T680" s="14">
        <v>4</v>
      </c>
    </row>
    <row r="681" spans="1:20" x14ac:dyDescent="0.3">
      <c r="A681" t="s">
        <v>1250</v>
      </c>
      <c r="B681">
        <v>45816</v>
      </c>
      <c r="C681" t="s">
        <v>930</v>
      </c>
      <c r="D681" t="s">
        <v>556</v>
      </c>
      <c r="E681" t="s">
        <v>23</v>
      </c>
      <c r="F681">
        <v>48</v>
      </c>
      <c r="G681" t="s">
        <v>161</v>
      </c>
      <c r="H681" s="14" t="s">
        <v>25</v>
      </c>
      <c r="I681" s="14" t="s">
        <v>128</v>
      </c>
      <c r="J681" s="14" t="s">
        <v>129</v>
      </c>
      <c r="K681" s="14" t="s">
        <v>130</v>
      </c>
      <c r="L681" s="14" t="s">
        <v>131</v>
      </c>
      <c r="M681" s="14">
        <v>2</v>
      </c>
      <c r="N681" s="14">
        <v>12998</v>
      </c>
      <c r="O681" s="14">
        <v>10200</v>
      </c>
      <c r="P681" s="14">
        <v>0</v>
      </c>
      <c r="Q681" s="14" t="s">
        <v>30</v>
      </c>
      <c r="R681" s="14" t="s">
        <v>42</v>
      </c>
      <c r="S681" s="14">
        <v>45825</v>
      </c>
      <c r="T681" s="14">
        <v>3</v>
      </c>
    </row>
    <row r="682" spans="1:20" x14ac:dyDescent="0.3">
      <c r="A682" t="s">
        <v>1251</v>
      </c>
      <c r="B682">
        <v>45657</v>
      </c>
      <c r="C682" t="s">
        <v>1252</v>
      </c>
      <c r="D682" t="s">
        <v>1253</v>
      </c>
      <c r="E682" t="s">
        <v>23</v>
      </c>
      <c r="F682">
        <v>33</v>
      </c>
      <c r="G682" t="s">
        <v>24</v>
      </c>
      <c r="H682" s="14" t="s">
        <v>25</v>
      </c>
      <c r="I682" s="14" t="s">
        <v>128</v>
      </c>
      <c r="J682" s="14" t="s">
        <v>129</v>
      </c>
      <c r="K682" s="14" t="s">
        <v>130</v>
      </c>
      <c r="L682" s="14" t="s">
        <v>131</v>
      </c>
      <c r="M682" s="14">
        <v>3</v>
      </c>
      <c r="N682" s="14">
        <v>13647.9</v>
      </c>
      <c r="O682" s="14">
        <v>15300</v>
      </c>
      <c r="P682" s="14">
        <v>30</v>
      </c>
      <c r="Q682" s="14" t="s">
        <v>41</v>
      </c>
      <c r="R682" s="14" t="s">
        <v>42</v>
      </c>
      <c r="S682" s="14">
        <v>45663</v>
      </c>
      <c r="T682" s="14">
        <v>4</v>
      </c>
    </row>
    <row r="683" spans="1:20" x14ac:dyDescent="0.3">
      <c r="A683" t="s">
        <v>1254</v>
      </c>
      <c r="B683">
        <v>45834</v>
      </c>
      <c r="C683" t="s">
        <v>902</v>
      </c>
      <c r="D683" t="s">
        <v>303</v>
      </c>
      <c r="E683" t="s">
        <v>77</v>
      </c>
      <c r="F683">
        <v>33</v>
      </c>
      <c r="G683" t="s">
        <v>154</v>
      </c>
      <c r="H683" s="14" t="s">
        <v>91</v>
      </c>
      <c r="I683" s="14" t="s">
        <v>92</v>
      </c>
      <c r="J683" s="14" t="s">
        <v>93</v>
      </c>
      <c r="K683" s="14" t="s">
        <v>87</v>
      </c>
      <c r="L683" s="14" t="s">
        <v>94</v>
      </c>
      <c r="M683" s="14">
        <v>2</v>
      </c>
      <c r="N683" s="14">
        <v>3038.1</v>
      </c>
      <c r="O683" s="14">
        <v>1860</v>
      </c>
      <c r="P683" s="14">
        <v>5</v>
      </c>
      <c r="Q683" s="14" t="s">
        <v>50</v>
      </c>
      <c r="R683" s="14" t="s">
        <v>57</v>
      </c>
      <c r="S683" s="14">
        <v>45838</v>
      </c>
      <c r="T683" s="14">
        <v>4</v>
      </c>
    </row>
    <row r="684" spans="1:20" x14ac:dyDescent="0.3">
      <c r="A684" t="s">
        <v>1255</v>
      </c>
      <c r="B684">
        <v>45615</v>
      </c>
      <c r="C684" t="s">
        <v>879</v>
      </c>
      <c r="D684" t="s">
        <v>880</v>
      </c>
      <c r="E684" t="s">
        <v>23</v>
      </c>
      <c r="F684">
        <v>44</v>
      </c>
      <c r="G684" t="s">
        <v>207</v>
      </c>
      <c r="H684" s="14" t="s">
        <v>36</v>
      </c>
      <c r="I684" s="14" t="s">
        <v>107</v>
      </c>
      <c r="J684" s="14" t="s">
        <v>108</v>
      </c>
      <c r="K684" s="14" t="s">
        <v>87</v>
      </c>
      <c r="L684" s="14" t="s">
        <v>88</v>
      </c>
      <c r="M684" s="14">
        <v>3</v>
      </c>
      <c r="N684" s="14">
        <v>2277.15</v>
      </c>
      <c r="O684" s="14">
        <v>1260</v>
      </c>
      <c r="P684" s="14">
        <v>5</v>
      </c>
      <c r="Q684" s="14" t="s">
        <v>50</v>
      </c>
      <c r="R684" s="14" t="s">
        <v>65</v>
      </c>
    </row>
    <row r="685" spans="1:20" x14ac:dyDescent="0.3">
      <c r="A685" t="s">
        <v>1256</v>
      </c>
      <c r="B685">
        <v>45652</v>
      </c>
      <c r="C685" t="s">
        <v>387</v>
      </c>
      <c r="D685" t="s">
        <v>388</v>
      </c>
      <c r="E685" t="s">
        <v>23</v>
      </c>
      <c r="F685">
        <v>32</v>
      </c>
      <c r="G685" t="s">
        <v>161</v>
      </c>
      <c r="H685" s="14" t="s">
        <v>25</v>
      </c>
      <c r="I685" s="14" t="s">
        <v>252</v>
      </c>
      <c r="J685" s="14" t="s">
        <v>253</v>
      </c>
      <c r="K685" s="14" t="s">
        <v>28</v>
      </c>
      <c r="L685" s="14" t="s">
        <v>254</v>
      </c>
      <c r="M685" s="14">
        <v>5</v>
      </c>
      <c r="N685" s="14">
        <v>11996</v>
      </c>
      <c r="O685" s="14">
        <v>9500</v>
      </c>
      <c r="P685" s="14">
        <v>20</v>
      </c>
      <c r="Q685" s="14" t="s">
        <v>41</v>
      </c>
      <c r="R685" s="14" t="s">
        <v>57</v>
      </c>
      <c r="S685" s="14">
        <v>45661</v>
      </c>
      <c r="T685" s="14">
        <v>5</v>
      </c>
    </row>
    <row r="686" spans="1:20" x14ac:dyDescent="0.3">
      <c r="A686" t="s">
        <v>1257</v>
      </c>
      <c r="B686">
        <v>45640</v>
      </c>
      <c r="C686" t="s">
        <v>1252</v>
      </c>
      <c r="D686" t="s">
        <v>1253</v>
      </c>
      <c r="E686" t="s">
        <v>23</v>
      </c>
      <c r="F686">
        <v>33</v>
      </c>
      <c r="G686" t="s">
        <v>69</v>
      </c>
      <c r="H686" s="14" t="s">
        <v>69</v>
      </c>
      <c r="I686" s="14" t="s">
        <v>70</v>
      </c>
      <c r="J686" s="14" t="s">
        <v>71</v>
      </c>
      <c r="K686" s="14" t="s">
        <v>28</v>
      </c>
      <c r="L686" s="14" t="s">
        <v>72</v>
      </c>
      <c r="M686" s="14">
        <v>2</v>
      </c>
      <c r="N686" s="14">
        <v>2548.3000000000002</v>
      </c>
      <c r="O686" s="14">
        <v>1840</v>
      </c>
      <c r="P686" s="14">
        <v>15</v>
      </c>
      <c r="Q686" s="14" t="s">
        <v>30</v>
      </c>
      <c r="R686" s="14" t="s">
        <v>57</v>
      </c>
      <c r="S686" s="14">
        <v>45650</v>
      </c>
      <c r="T686" s="14">
        <v>3</v>
      </c>
    </row>
    <row r="687" spans="1:20" x14ac:dyDescent="0.3">
      <c r="A687" t="s">
        <v>1258</v>
      </c>
      <c r="B687">
        <v>45719</v>
      </c>
      <c r="C687" t="s">
        <v>310</v>
      </c>
      <c r="D687" t="s">
        <v>311</v>
      </c>
      <c r="E687" t="s">
        <v>23</v>
      </c>
      <c r="F687">
        <v>19</v>
      </c>
      <c r="G687" t="s">
        <v>46</v>
      </c>
      <c r="H687" s="14" t="s">
        <v>25</v>
      </c>
      <c r="I687" s="14" t="s">
        <v>229</v>
      </c>
      <c r="J687" s="14" t="s">
        <v>230</v>
      </c>
      <c r="K687" s="14" t="s">
        <v>28</v>
      </c>
      <c r="L687" s="14" t="s">
        <v>231</v>
      </c>
      <c r="M687" s="14">
        <v>2</v>
      </c>
      <c r="N687" s="14">
        <v>3998</v>
      </c>
      <c r="O687" s="14">
        <v>2460</v>
      </c>
      <c r="P687" s="14">
        <v>0</v>
      </c>
      <c r="Q687" s="14" t="s">
        <v>103</v>
      </c>
      <c r="R687" s="14" t="s">
        <v>42</v>
      </c>
      <c r="S687" s="14">
        <v>45717</v>
      </c>
      <c r="T687" s="14">
        <v>4</v>
      </c>
    </row>
    <row r="688" spans="1:20" x14ac:dyDescent="0.3">
      <c r="A688" t="s">
        <v>1259</v>
      </c>
      <c r="B688">
        <v>45434</v>
      </c>
      <c r="C688" t="s">
        <v>138</v>
      </c>
      <c r="D688" t="s">
        <v>139</v>
      </c>
      <c r="E688" t="s">
        <v>77</v>
      </c>
      <c r="F688">
        <v>42</v>
      </c>
      <c r="G688" t="s">
        <v>126</v>
      </c>
      <c r="H688" s="14" t="s">
        <v>127</v>
      </c>
      <c r="I688" s="14" t="s">
        <v>319</v>
      </c>
      <c r="J688" s="14" t="s">
        <v>320</v>
      </c>
      <c r="K688" s="14" t="s">
        <v>28</v>
      </c>
      <c r="L688" s="14" t="s">
        <v>29</v>
      </c>
      <c r="M688" s="14">
        <v>3</v>
      </c>
      <c r="N688" s="14">
        <v>3597</v>
      </c>
      <c r="O688" s="14">
        <v>2130</v>
      </c>
      <c r="P688" s="14">
        <v>0</v>
      </c>
      <c r="Q688" s="14" t="s">
        <v>73</v>
      </c>
      <c r="R688" s="14" t="s">
        <v>42</v>
      </c>
      <c r="S688" s="14">
        <v>45438</v>
      </c>
      <c r="T688" s="14">
        <v>3</v>
      </c>
    </row>
    <row r="689" spans="1:20" x14ac:dyDescent="0.3">
      <c r="A689" t="s">
        <v>1260</v>
      </c>
      <c r="B689">
        <v>45996</v>
      </c>
      <c r="C689" t="s">
        <v>1261</v>
      </c>
      <c r="D689" t="s">
        <v>894</v>
      </c>
      <c r="E689" t="s">
        <v>77</v>
      </c>
      <c r="F689">
        <v>55</v>
      </c>
      <c r="G689" t="s">
        <v>35</v>
      </c>
      <c r="H689" s="14" t="s">
        <v>36</v>
      </c>
      <c r="I689" s="14" t="s">
        <v>252</v>
      </c>
      <c r="J689" s="14" t="s">
        <v>253</v>
      </c>
      <c r="K689" s="14" t="s">
        <v>28</v>
      </c>
      <c r="L689" s="14" t="s">
        <v>254</v>
      </c>
      <c r="M689" s="14">
        <v>2</v>
      </c>
      <c r="N689" s="14">
        <v>5398.2</v>
      </c>
      <c r="O689" s="14">
        <v>3800</v>
      </c>
      <c r="P689" s="14">
        <v>10</v>
      </c>
      <c r="Q689" s="14" t="s">
        <v>73</v>
      </c>
      <c r="R689" s="14" t="s">
        <v>42</v>
      </c>
      <c r="S689" s="14">
        <v>45999</v>
      </c>
      <c r="T689" s="14">
        <v>3</v>
      </c>
    </row>
    <row r="690" spans="1:20" x14ac:dyDescent="0.3">
      <c r="A690" t="s">
        <v>1262</v>
      </c>
      <c r="B690">
        <v>45311</v>
      </c>
      <c r="C690" t="s">
        <v>739</v>
      </c>
      <c r="D690" t="s">
        <v>740</v>
      </c>
      <c r="E690" t="s">
        <v>23</v>
      </c>
      <c r="F690">
        <v>33</v>
      </c>
      <c r="G690" t="s">
        <v>122</v>
      </c>
      <c r="H690" s="14" t="s">
        <v>123</v>
      </c>
      <c r="I690" s="14" t="s">
        <v>26</v>
      </c>
      <c r="J690" s="14" t="s">
        <v>27</v>
      </c>
      <c r="K690" s="14" t="s">
        <v>28</v>
      </c>
      <c r="L690" s="14" t="s">
        <v>29</v>
      </c>
      <c r="M690" s="14">
        <v>2</v>
      </c>
      <c r="N690" s="14">
        <v>2468.1</v>
      </c>
      <c r="O690" s="14">
        <v>1580</v>
      </c>
      <c r="P690" s="14">
        <v>5</v>
      </c>
      <c r="Q690" s="14" t="s">
        <v>73</v>
      </c>
      <c r="R690" s="14" t="s">
        <v>57</v>
      </c>
      <c r="S690" s="14">
        <v>45323</v>
      </c>
      <c r="T690" s="14">
        <v>2</v>
      </c>
    </row>
    <row r="691" spans="1:20" x14ac:dyDescent="0.3">
      <c r="A691" t="s">
        <v>1263</v>
      </c>
      <c r="B691">
        <v>45772</v>
      </c>
      <c r="C691" t="s">
        <v>517</v>
      </c>
      <c r="D691" t="s">
        <v>518</v>
      </c>
      <c r="E691" t="s">
        <v>23</v>
      </c>
      <c r="F691">
        <v>38</v>
      </c>
      <c r="G691" t="s">
        <v>207</v>
      </c>
      <c r="H691" s="14" t="s">
        <v>36</v>
      </c>
      <c r="I691" s="14" t="s">
        <v>26</v>
      </c>
      <c r="J691" s="14" t="s">
        <v>27</v>
      </c>
      <c r="K691" s="14" t="s">
        <v>28</v>
      </c>
      <c r="L691" s="14" t="s">
        <v>29</v>
      </c>
      <c r="M691" s="14">
        <v>1</v>
      </c>
      <c r="N691" s="14">
        <v>1039.2</v>
      </c>
      <c r="O691" s="14">
        <v>790</v>
      </c>
      <c r="P691" s="14">
        <v>20</v>
      </c>
      <c r="Q691" s="14" t="s">
        <v>73</v>
      </c>
      <c r="R691" s="14" t="s">
        <v>57</v>
      </c>
      <c r="S691" s="14">
        <v>45775</v>
      </c>
      <c r="T691" s="14">
        <v>3</v>
      </c>
    </row>
    <row r="692" spans="1:20" x14ac:dyDescent="0.3">
      <c r="A692" t="s">
        <v>1264</v>
      </c>
      <c r="B692">
        <v>45908</v>
      </c>
      <c r="C692" t="s">
        <v>873</v>
      </c>
      <c r="D692" t="s">
        <v>874</v>
      </c>
      <c r="E692" t="s">
        <v>23</v>
      </c>
      <c r="F692">
        <v>55</v>
      </c>
      <c r="G692" t="s">
        <v>154</v>
      </c>
      <c r="H692" s="14" t="s">
        <v>91</v>
      </c>
      <c r="I692" s="14" t="s">
        <v>319</v>
      </c>
      <c r="J692" s="14" t="s">
        <v>320</v>
      </c>
      <c r="K692" s="14" t="s">
        <v>28</v>
      </c>
      <c r="L692" s="14" t="s">
        <v>29</v>
      </c>
      <c r="M692" s="14">
        <v>3</v>
      </c>
      <c r="N692" s="14">
        <v>3597</v>
      </c>
      <c r="O692" s="14">
        <v>2130</v>
      </c>
      <c r="P692" s="14">
        <v>0</v>
      </c>
      <c r="Q692" s="14" t="s">
        <v>73</v>
      </c>
      <c r="R692" s="14" t="s">
        <v>42</v>
      </c>
      <c r="S692" s="14">
        <v>45914</v>
      </c>
      <c r="T692" s="14">
        <v>4</v>
      </c>
    </row>
    <row r="693" spans="1:20" x14ac:dyDescent="0.3">
      <c r="A693" t="s">
        <v>1265</v>
      </c>
      <c r="B693">
        <v>45652</v>
      </c>
      <c r="C693" t="s">
        <v>371</v>
      </c>
      <c r="D693" t="s">
        <v>372</v>
      </c>
      <c r="E693" t="s">
        <v>77</v>
      </c>
      <c r="F693">
        <v>54</v>
      </c>
      <c r="G693" t="s">
        <v>90</v>
      </c>
      <c r="H693" s="14" t="s">
        <v>91</v>
      </c>
      <c r="I693" s="14" t="s">
        <v>112</v>
      </c>
      <c r="J693" s="14" t="s">
        <v>113</v>
      </c>
      <c r="K693" s="14" t="s">
        <v>114</v>
      </c>
      <c r="L693" s="14" t="s">
        <v>115</v>
      </c>
      <c r="M693" s="14">
        <v>5</v>
      </c>
      <c r="N693" s="14">
        <v>3320.25</v>
      </c>
      <c r="O693" s="14">
        <v>1850</v>
      </c>
      <c r="P693" s="14">
        <v>5</v>
      </c>
      <c r="Q693" s="14" t="s">
        <v>73</v>
      </c>
      <c r="R693" s="14" t="s">
        <v>57</v>
      </c>
      <c r="S693" s="14">
        <v>45663</v>
      </c>
      <c r="T693" s="14">
        <v>2</v>
      </c>
    </row>
    <row r="694" spans="1:20" x14ac:dyDescent="0.3">
      <c r="A694" t="s">
        <v>1266</v>
      </c>
      <c r="B694">
        <v>45833</v>
      </c>
      <c r="C694" t="s">
        <v>778</v>
      </c>
      <c r="D694" t="s">
        <v>779</v>
      </c>
      <c r="E694" t="s">
        <v>23</v>
      </c>
      <c r="F694">
        <v>56</v>
      </c>
      <c r="G694" t="s">
        <v>154</v>
      </c>
      <c r="H694" s="14" t="s">
        <v>91</v>
      </c>
      <c r="I694" s="14" t="s">
        <v>143</v>
      </c>
      <c r="J694" s="14" t="s">
        <v>144</v>
      </c>
      <c r="K694" s="14" t="s">
        <v>130</v>
      </c>
      <c r="L694" s="14" t="s">
        <v>131</v>
      </c>
      <c r="M694" s="14">
        <v>2</v>
      </c>
      <c r="N694" s="14">
        <v>10998</v>
      </c>
      <c r="O694" s="14">
        <v>8600</v>
      </c>
      <c r="P694" s="14">
        <v>0</v>
      </c>
      <c r="Q694" s="14" t="s">
        <v>73</v>
      </c>
      <c r="R694" s="14" t="s">
        <v>42</v>
      </c>
      <c r="S694" s="14">
        <v>45843</v>
      </c>
      <c r="T694" s="14">
        <v>5</v>
      </c>
    </row>
    <row r="695" spans="1:20" x14ac:dyDescent="0.3">
      <c r="A695" t="s">
        <v>1267</v>
      </c>
      <c r="B695">
        <v>45667</v>
      </c>
      <c r="C695" t="s">
        <v>889</v>
      </c>
      <c r="D695" t="s">
        <v>890</v>
      </c>
      <c r="E695" t="s">
        <v>23</v>
      </c>
      <c r="F695">
        <v>53</v>
      </c>
      <c r="G695" t="s">
        <v>61</v>
      </c>
      <c r="H695" s="14" t="s">
        <v>62</v>
      </c>
      <c r="I695" s="14" t="s">
        <v>107</v>
      </c>
      <c r="J695" s="14" t="s">
        <v>108</v>
      </c>
      <c r="K695" s="14" t="s">
        <v>87</v>
      </c>
      <c r="L695" s="14" t="s">
        <v>88</v>
      </c>
      <c r="M695" s="14">
        <v>1</v>
      </c>
      <c r="N695" s="14">
        <v>719.1</v>
      </c>
      <c r="O695" s="14">
        <v>420</v>
      </c>
      <c r="P695" s="14">
        <v>10</v>
      </c>
      <c r="Q695" s="14" t="s">
        <v>41</v>
      </c>
      <c r="R695" s="14" t="s">
        <v>42</v>
      </c>
      <c r="S695" s="14">
        <v>45675</v>
      </c>
      <c r="T695" s="14">
        <v>4</v>
      </c>
    </row>
    <row r="696" spans="1:20" x14ac:dyDescent="0.3">
      <c r="A696" t="s">
        <v>1268</v>
      </c>
      <c r="B696">
        <v>45818</v>
      </c>
      <c r="C696" t="s">
        <v>1261</v>
      </c>
      <c r="D696" t="s">
        <v>894</v>
      </c>
      <c r="E696" t="s">
        <v>77</v>
      </c>
      <c r="F696">
        <v>55</v>
      </c>
      <c r="G696" t="s">
        <v>122</v>
      </c>
      <c r="H696" s="14" t="s">
        <v>123</v>
      </c>
      <c r="I696" s="14" t="s">
        <v>229</v>
      </c>
      <c r="J696" s="14" t="s">
        <v>230</v>
      </c>
      <c r="K696" s="14" t="s">
        <v>28</v>
      </c>
      <c r="L696" s="14" t="s">
        <v>231</v>
      </c>
      <c r="M696" s="14">
        <v>3</v>
      </c>
      <c r="N696" s="14">
        <v>5697.15</v>
      </c>
      <c r="O696" s="14">
        <v>3690</v>
      </c>
      <c r="P696" s="14">
        <v>5</v>
      </c>
      <c r="Q696" s="14" t="s">
        <v>103</v>
      </c>
      <c r="R696" s="14" t="s">
        <v>42</v>
      </c>
      <c r="S696" s="14">
        <v>45828</v>
      </c>
      <c r="T696" s="14">
        <v>3</v>
      </c>
    </row>
    <row r="697" spans="1:20" x14ac:dyDescent="0.3">
      <c r="A697" t="s">
        <v>1269</v>
      </c>
      <c r="B697">
        <v>45799</v>
      </c>
      <c r="C697" t="s">
        <v>514</v>
      </c>
      <c r="D697" t="s">
        <v>515</v>
      </c>
      <c r="E697" t="s">
        <v>23</v>
      </c>
      <c r="F697">
        <v>37</v>
      </c>
      <c r="G697" t="s">
        <v>35</v>
      </c>
      <c r="H697" s="14" t="s">
        <v>36</v>
      </c>
      <c r="I697" s="14" t="s">
        <v>222</v>
      </c>
      <c r="J697" s="14" t="s">
        <v>223</v>
      </c>
      <c r="K697" s="14" t="s">
        <v>114</v>
      </c>
      <c r="L697" s="14" t="s">
        <v>115</v>
      </c>
      <c r="M697" s="14">
        <v>1</v>
      </c>
      <c r="N697" s="14">
        <v>854.05</v>
      </c>
      <c r="O697" s="14">
        <v>510</v>
      </c>
      <c r="P697" s="14">
        <v>5</v>
      </c>
      <c r="Q697" s="14" t="s">
        <v>41</v>
      </c>
      <c r="R697" s="14" t="s">
        <v>42</v>
      </c>
      <c r="S697" s="14">
        <v>45802</v>
      </c>
      <c r="T697" s="14">
        <v>5</v>
      </c>
    </row>
    <row r="698" spans="1:20" x14ac:dyDescent="0.3">
      <c r="A698" t="s">
        <v>1270</v>
      </c>
      <c r="B698">
        <v>45582</v>
      </c>
      <c r="C698" t="s">
        <v>175</v>
      </c>
      <c r="D698" t="s">
        <v>176</v>
      </c>
      <c r="E698" t="s">
        <v>23</v>
      </c>
      <c r="F698">
        <v>52</v>
      </c>
      <c r="G698" t="s">
        <v>35</v>
      </c>
      <c r="H698" s="14" t="s">
        <v>36</v>
      </c>
      <c r="I698" s="14" t="s">
        <v>107</v>
      </c>
      <c r="J698" s="14" t="s">
        <v>108</v>
      </c>
      <c r="K698" s="14" t="s">
        <v>87</v>
      </c>
      <c r="L698" s="14" t="s">
        <v>88</v>
      </c>
      <c r="M698" s="14">
        <v>4</v>
      </c>
      <c r="N698" s="14">
        <v>2716.6</v>
      </c>
      <c r="O698" s="14">
        <v>1680</v>
      </c>
      <c r="P698" s="14">
        <v>15</v>
      </c>
      <c r="Q698" s="14" t="s">
        <v>50</v>
      </c>
      <c r="R698" s="14" t="s">
        <v>42</v>
      </c>
      <c r="S698" s="14">
        <v>45588</v>
      </c>
      <c r="T698" s="14">
        <v>5</v>
      </c>
    </row>
    <row r="699" spans="1:20" x14ac:dyDescent="0.3">
      <c r="A699" t="s">
        <v>1271</v>
      </c>
      <c r="B699">
        <v>45485</v>
      </c>
      <c r="C699" t="s">
        <v>187</v>
      </c>
      <c r="D699" t="s">
        <v>188</v>
      </c>
      <c r="E699" t="s">
        <v>23</v>
      </c>
      <c r="F699">
        <v>54</v>
      </c>
      <c r="G699" t="s">
        <v>101</v>
      </c>
      <c r="H699" s="14" t="s">
        <v>102</v>
      </c>
      <c r="I699" s="14" t="s">
        <v>107</v>
      </c>
      <c r="J699" s="14" t="s">
        <v>108</v>
      </c>
      <c r="K699" s="14" t="s">
        <v>87</v>
      </c>
      <c r="L699" s="14" t="s">
        <v>88</v>
      </c>
      <c r="M699" s="14">
        <v>3</v>
      </c>
      <c r="N699" s="14">
        <v>2157.3000000000002</v>
      </c>
      <c r="O699" s="14">
        <v>1260</v>
      </c>
      <c r="P699" s="14">
        <v>10</v>
      </c>
      <c r="Q699" s="14" t="s">
        <v>73</v>
      </c>
      <c r="R699" s="14" t="s">
        <v>31</v>
      </c>
      <c r="S699" s="14">
        <v>45494</v>
      </c>
      <c r="T699" s="14">
        <v>3</v>
      </c>
    </row>
    <row r="700" spans="1:20" x14ac:dyDescent="0.3">
      <c r="A700" t="s">
        <v>1272</v>
      </c>
      <c r="B700">
        <v>45697</v>
      </c>
      <c r="C700" t="s">
        <v>996</v>
      </c>
      <c r="D700" t="s">
        <v>997</v>
      </c>
      <c r="E700" t="s">
        <v>23</v>
      </c>
      <c r="F700">
        <v>54</v>
      </c>
      <c r="G700" t="s">
        <v>46</v>
      </c>
      <c r="H700" s="14" t="s">
        <v>25</v>
      </c>
      <c r="I700" s="14" t="s">
        <v>229</v>
      </c>
      <c r="J700" s="14" t="s">
        <v>230</v>
      </c>
      <c r="K700" s="14" t="s">
        <v>28</v>
      </c>
      <c r="L700" s="14" t="s">
        <v>231</v>
      </c>
      <c r="M700" s="14">
        <v>2</v>
      </c>
      <c r="N700" s="14">
        <v>2798.6</v>
      </c>
      <c r="O700" s="14">
        <v>2460</v>
      </c>
      <c r="P700" s="14">
        <v>30</v>
      </c>
      <c r="Q700" s="14" t="s">
        <v>103</v>
      </c>
      <c r="R700" s="14" t="s">
        <v>31</v>
      </c>
      <c r="S700" s="14">
        <v>45708</v>
      </c>
      <c r="T700" s="14">
        <v>3</v>
      </c>
    </row>
    <row r="701" spans="1:20" x14ac:dyDescent="0.3">
      <c r="A701" t="s">
        <v>1273</v>
      </c>
      <c r="B701">
        <v>45464</v>
      </c>
      <c r="C701" t="s">
        <v>769</v>
      </c>
      <c r="D701" t="s">
        <v>326</v>
      </c>
      <c r="E701" t="s">
        <v>23</v>
      </c>
      <c r="F701">
        <v>20</v>
      </c>
      <c r="G701" t="s">
        <v>211</v>
      </c>
      <c r="H701" s="14" t="s">
        <v>127</v>
      </c>
      <c r="I701" s="14" t="s">
        <v>70</v>
      </c>
      <c r="J701" s="14" t="s">
        <v>71</v>
      </c>
      <c r="K701" s="14" t="s">
        <v>28</v>
      </c>
      <c r="L701" s="14" t="s">
        <v>72</v>
      </c>
      <c r="M701" s="14">
        <v>3</v>
      </c>
      <c r="N701" s="14">
        <v>3822.45</v>
      </c>
      <c r="O701" s="14">
        <v>2760</v>
      </c>
      <c r="P701" s="14">
        <v>15</v>
      </c>
      <c r="Q701" s="14" t="s">
        <v>50</v>
      </c>
      <c r="R701" s="14" t="s">
        <v>57</v>
      </c>
      <c r="S701" s="14">
        <v>45472</v>
      </c>
      <c r="T701" s="14">
        <v>3</v>
      </c>
    </row>
    <row r="702" spans="1:20" x14ac:dyDescent="0.3">
      <c r="A702" t="s">
        <v>1274</v>
      </c>
      <c r="B702">
        <v>45530</v>
      </c>
      <c r="C702" t="s">
        <v>205</v>
      </c>
      <c r="D702" t="s">
        <v>206</v>
      </c>
      <c r="E702" t="s">
        <v>77</v>
      </c>
      <c r="F702">
        <v>26</v>
      </c>
      <c r="G702" t="s">
        <v>101</v>
      </c>
      <c r="H702" s="14" t="s">
        <v>102</v>
      </c>
      <c r="I702" s="14" t="s">
        <v>128</v>
      </c>
      <c r="J702" s="14" t="s">
        <v>129</v>
      </c>
      <c r="K702" s="14" t="s">
        <v>130</v>
      </c>
      <c r="L702" s="14" t="s">
        <v>131</v>
      </c>
      <c r="M702" s="14">
        <v>5</v>
      </c>
      <c r="N702" s="14">
        <v>25996</v>
      </c>
      <c r="O702" s="14">
        <v>25500</v>
      </c>
      <c r="P702" s="14">
        <v>20</v>
      </c>
      <c r="Q702" s="14" t="s">
        <v>103</v>
      </c>
      <c r="R702" s="14" t="s">
        <v>42</v>
      </c>
      <c r="S702" s="14">
        <v>45539</v>
      </c>
      <c r="T702" s="14">
        <v>5</v>
      </c>
    </row>
    <row r="703" spans="1:20" x14ac:dyDescent="0.3">
      <c r="A703" t="s">
        <v>1275</v>
      </c>
      <c r="B703">
        <v>45788</v>
      </c>
      <c r="C703" t="s">
        <v>526</v>
      </c>
      <c r="D703" t="s">
        <v>488</v>
      </c>
      <c r="E703" t="s">
        <v>77</v>
      </c>
      <c r="F703">
        <v>41</v>
      </c>
      <c r="G703" t="s">
        <v>207</v>
      </c>
      <c r="H703" s="14" t="s">
        <v>36</v>
      </c>
      <c r="I703" s="14" t="s">
        <v>252</v>
      </c>
      <c r="J703" s="14" t="s">
        <v>253</v>
      </c>
      <c r="K703" s="14" t="s">
        <v>28</v>
      </c>
      <c r="L703" s="14" t="s">
        <v>254</v>
      </c>
      <c r="M703" s="14">
        <v>4</v>
      </c>
      <c r="N703" s="14">
        <v>11396.2</v>
      </c>
      <c r="O703" s="14">
        <v>7600</v>
      </c>
      <c r="P703" s="14">
        <v>5</v>
      </c>
      <c r="Q703" s="14" t="s">
        <v>73</v>
      </c>
      <c r="R703" s="14" t="s">
        <v>42</v>
      </c>
      <c r="S703" s="14">
        <v>45797</v>
      </c>
      <c r="T703" s="14">
        <v>5</v>
      </c>
    </row>
    <row r="704" spans="1:20" x14ac:dyDescent="0.3">
      <c r="A704" t="s">
        <v>1276</v>
      </c>
      <c r="B704">
        <v>45528</v>
      </c>
      <c r="C704" t="s">
        <v>689</v>
      </c>
      <c r="E704" t="s">
        <v>77</v>
      </c>
      <c r="F704">
        <v>45</v>
      </c>
      <c r="G704" t="s">
        <v>161</v>
      </c>
      <c r="H704" s="14" t="s">
        <v>25</v>
      </c>
      <c r="I704" s="14" t="s">
        <v>229</v>
      </c>
      <c r="J704" s="14" t="s">
        <v>230</v>
      </c>
      <c r="K704" s="14" t="s">
        <v>28</v>
      </c>
      <c r="L704" s="14" t="s">
        <v>231</v>
      </c>
      <c r="M704" s="14">
        <v>1</v>
      </c>
      <c r="N704" s="14">
        <v>1899.05</v>
      </c>
      <c r="O704" s="14">
        <v>1230</v>
      </c>
      <c r="P704" s="14">
        <v>5</v>
      </c>
      <c r="Q704" s="14" t="s">
        <v>103</v>
      </c>
      <c r="R704" s="14" t="s">
        <v>31</v>
      </c>
      <c r="S704" s="14">
        <v>45530</v>
      </c>
      <c r="T704" s="14">
        <v>3</v>
      </c>
    </row>
    <row r="705" spans="1:20" x14ac:dyDescent="0.3">
      <c r="A705" t="s">
        <v>1277</v>
      </c>
      <c r="B705">
        <v>45683</v>
      </c>
      <c r="C705" t="s">
        <v>233</v>
      </c>
      <c r="D705" t="s">
        <v>118</v>
      </c>
      <c r="E705" t="s">
        <v>23</v>
      </c>
      <c r="F705">
        <v>34</v>
      </c>
      <c r="G705" t="s">
        <v>173</v>
      </c>
      <c r="H705" s="14" t="s">
        <v>79</v>
      </c>
      <c r="I705" s="14" t="s">
        <v>143</v>
      </c>
      <c r="J705" s="14" t="s">
        <v>144</v>
      </c>
      <c r="K705" s="14" t="s">
        <v>130</v>
      </c>
      <c r="L705" s="14" t="s">
        <v>131</v>
      </c>
      <c r="M705" s="14">
        <v>5</v>
      </c>
      <c r="N705" s="14">
        <v>26120.25</v>
      </c>
      <c r="O705" s="14">
        <v>21500</v>
      </c>
      <c r="P705" s="14">
        <v>5</v>
      </c>
      <c r="Q705" s="14" t="s">
        <v>73</v>
      </c>
      <c r="R705" s="14" t="s">
        <v>31</v>
      </c>
      <c r="S705" s="14">
        <v>45693</v>
      </c>
      <c r="T705" s="14">
        <v>5</v>
      </c>
    </row>
    <row r="706" spans="1:20" x14ac:dyDescent="0.3">
      <c r="A706" t="s">
        <v>1278</v>
      </c>
      <c r="B706">
        <v>45769</v>
      </c>
      <c r="C706" t="s">
        <v>398</v>
      </c>
      <c r="D706" t="s">
        <v>399</v>
      </c>
      <c r="E706" t="s">
        <v>77</v>
      </c>
      <c r="F706">
        <v>49</v>
      </c>
      <c r="G706" t="s">
        <v>35</v>
      </c>
      <c r="H706" s="14" t="s">
        <v>36</v>
      </c>
      <c r="I706" s="14" t="s">
        <v>107</v>
      </c>
      <c r="J706" s="14" t="s">
        <v>108</v>
      </c>
      <c r="K706" s="14" t="s">
        <v>87</v>
      </c>
      <c r="L706" s="14" t="s">
        <v>88</v>
      </c>
      <c r="M706" s="14">
        <v>4</v>
      </c>
      <c r="N706" s="14">
        <v>1917.6</v>
      </c>
      <c r="O706" s="14">
        <v>1680</v>
      </c>
      <c r="P706" s="14">
        <v>40</v>
      </c>
      <c r="Q706" s="14" t="s">
        <v>50</v>
      </c>
      <c r="R706" s="14" t="s">
        <v>42</v>
      </c>
      <c r="S706" s="14">
        <v>45779</v>
      </c>
      <c r="T706" s="14">
        <v>4</v>
      </c>
    </row>
    <row r="707" spans="1:20" x14ac:dyDescent="0.3">
      <c r="A707" t="s">
        <v>1279</v>
      </c>
      <c r="B707">
        <v>45845</v>
      </c>
      <c r="C707" t="s">
        <v>446</v>
      </c>
      <c r="D707" t="s">
        <v>447</v>
      </c>
      <c r="E707" t="s">
        <v>23</v>
      </c>
      <c r="F707">
        <v>30</v>
      </c>
      <c r="G707" t="s">
        <v>161</v>
      </c>
      <c r="H707" s="14" t="s">
        <v>25</v>
      </c>
      <c r="I707" s="14" t="s">
        <v>26</v>
      </c>
      <c r="J707" s="14" t="s">
        <v>27</v>
      </c>
      <c r="K707" s="14" t="s">
        <v>28</v>
      </c>
      <c r="L707" s="14" t="s">
        <v>29</v>
      </c>
      <c r="M707" s="14">
        <v>4</v>
      </c>
      <c r="N707" s="14">
        <v>4936.2</v>
      </c>
      <c r="O707" s="14">
        <v>3160</v>
      </c>
      <c r="P707" s="14">
        <v>5</v>
      </c>
      <c r="Q707" s="14" t="s">
        <v>103</v>
      </c>
      <c r="R707" s="14" t="s">
        <v>42</v>
      </c>
      <c r="S707" s="14">
        <v>45852</v>
      </c>
      <c r="T707" s="14">
        <v>5</v>
      </c>
    </row>
    <row r="708" spans="1:20" x14ac:dyDescent="0.3">
      <c r="A708" t="s">
        <v>1280</v>
      </c>
      <c r="B708">
        <v>45745</v>
      </c>
      <c r="C708" t="s">
        <v>310</v>
      </c>
      <c r="D708" t="s">
        <v>311</v>
      </c>
      <c r="E708" t="s">
        <v>23</v>
      </c>
      <c r="F708">
        <v>19</v>
      </c>
      <c r="G708" t="s">
        <v>24</v>
      </c>
      <c r="H708" s="14" t="s">
        <v>25</v>
      </c>
      <c r="I708" s="14" t="s">
        <v>26</v>
      </c>
      <c r="J708" s="14" t="s">
        <v>27</v>
      </c>
      <c r="K708" s="14" t="s">
        <v>28</v>
      </c>
      <c r="L708" s="14" t="s">
        <v>29</v>
      </c>
      <c r="M708" s="14">
        <v>2</v>
      </c>
      <c r="N708" s="14">
        <v>2078.4</v>
      </c>
      <c r="O708" s="14">
        <v>1580</v>
      </c>
      <c r="P708" s="14">
        <v>20</v>
      </c>
      <c r="Q708" s="14" t="s">
        <v>30</v>
      </c>
      <c r="R708" s="14" t="s">
        <v>42</v>
      </c>
      <c r="S708" s="14">
        <v>45753</v>
      </c>
      <c r="T708" s="14">
        <v>3</v>
      </c>
    </row>
    <row r="709" spans="1:20" x14ac:dyDescent="0.3">
      <c r="A709" t="s">
        <v>1281</v>
      </c>
      <c r="B709">
        <v>45611</v>
      </c>
      <c r="C709" t="s">
        <v>938</v>
      </c>
      <c r="D709" t="s">
        <v>53</v>
      </c>
      <c r="E709" t="s">
        <v>23</v>
      </c>
      <c r="F709">
        <v>42</v>
      </c>
      <c r="G709" t="s">
        <v>101</v>
      </c>
      <c r="H709" s="14" t="s">
        <v>102</v>
      </c>
      <c r="I709" s="14" t="s">
        <v>229</v>
      </c>
      <c r="J709" s="14" t="s">
        <v>230</v>
      </c>
      <c r="K709" s="14" t="s">
        <v>28</v>
      </c>
      <c r="L709" s="14" t="s">
        <v>231</v>
      </c>
      <c r="M709" s="14">
        <v>5</v>
      </c>
      <c r="N709" s="14">
        <v>5997</v>
      </c>
      <c r="O709" s="14">
        <v>6150</v>
      </c>
      <c r="P709" s="14">
        <v>40</v>
      </c>
      <c r="Q709" s="14" t="s">
        <v>50</v>
      </c>
      <c r="R709" s="14" t="s">
        <v>31</v>
      </c>
      <c r="S709" s="14">
        <v>45621</v>
      </c>
      <c r="T709" s="14">
        <v>5</v>
      </c>
    </row>
    <row r="710" spans="1:20" x14ac:dyDescent="0.3">
      <c r="A710" t="s">
        <v>1282</v>
      </c>
      <c r="B710">
        <v>45779</v>
      </c>
      <c r="C710" t="s">
        <v>859</v>
      </c>
      <c r="D710" t="s">
        <v>496</v>
      </c>
      <c r="E710" t="s">
        <v>77</v>
      </c>
      <c r="F710">
        <v>51</v>
      </c>
      <c r="G710" t="s">
        <v>78</v>
      </c>
      <c r="H710" s="14" t="s">
        <v>79</v>
      </c>
      <c r="I710" s="14" t="s">
        <v>112</v>
      </c>
      <c r="J710" s="14" t="s">
        <v>113</v>
      </c>
      <c r="K710" s="14" t="s">
        <v>114</v>
      </c>
      <c r="L710" s="14" t="s">
        <v>115</v>
      </c>
      <c r="M710" s="14">
        <v>1</v>
      </c>
      <c r="N710" s="14">
        <v>489.3</v>
      </c>
      <c r="O710" s="14">
        <v>370</v>
      </c>
      <c r="P710" s="14">
        <v>30</v>
      </c>
      <c r="Q710" s="14" t="s">
        <v>41</v>
      </c>
      <c r="R710" s="14" t="s">
        <v>42</v>
      </c>
      <c r="S710" s="14">
        <v>45790</v>
      </c>
      <c r="T710" s="14">
        <v>5</v>
      </c>
    </row>
    <row r="711" spans="1:20" x14ac:dyDescent="0.3">
      <c r="A711" t="s">
        <v>1283</v>
      </c>
      <c r="B711">
        <v>45923</v>
      </c>
      <c r="C711" t="s">
        <v>1284</v>
      </c>
      <c r="D711" t="s">
        <v>395</v>
      </c>
      <c r="E711" t="s">
        <v>77</v>
      </c>
      <c r="F711">
        <v>36</v>
      </c>
      <c r="G711" t="s">
        <v>35</v>
      </c>
      <c r="H711" s="14" t="s">
        <v>36</v>
      </c>
      <c r="I711" s="14" t="s">
        <v>183</v>
      </c>
      <c r="J711" s="14" t="s">
        <v>184</v>
      </c>
      <c r="K711" s="14" t="s">
        <v>130</v>
      </c>
      <c r="L711" s="14" t="s">
        <v>185</v>
      </c>
      <c r="M711" s="14">
        <v>1</v>
      </c>
      <c r="N711" s="14">
        <v>3999</v>
      </c>
      <c r="O711" s="14">
        <v>3050</v>
      </c>
      <c r="P711" s="14">
        <v>0</v>
      </c>
      <c r="Q711" s="14" t="s">
        <v>50</v>
      </c>
      <c r="R711" s="14" t="s">
        <v>42</v>
      </c>
      <c r="S711" s="14">
        <v>45927</v>
      </c>
      <c r="T711" s="14">
        <v>4</v>
      </c>
    </row>
    <row r="712" spans="1:20" x14ac:dyDescent="0.3">
      <c r="A712" t="s">
        <v>1285</v>
      </c>
      <c r="B712">
        <v>45649</v>
      </c>
      <c r="C712" t="s">
        <v>474</v>
      </c>
      <c r="D712" t="s">
        <v>475</v>
      </c>
      <c r="E712" t="s">
        <v>23</v>
      </c>
      <c r="F712">
        <v>29</v>
      </c>
      <c r="G712" t="s">
        <v>161</v>
      </c>
      <c r="H712" s="14" t="s">
        <v>25</v>
      </c>
      <c r="I712" s="14" t="s">
        <v>92</v>
      </c>
      <c r="J712" s="14" t="s">
        <v>93</v>
      </c>
      <c r="K712" s="14" t="s">
        <v>87</v>
      </c>
      <c r="L712" s="14" t="s">
        <v>94</v>
      </c>
      <c r="M712" s="14">
        <v>3</v>
      </c>
      <c r="N712" s="14">
        <v>3357.9</v>
      </c>
      <c r="O712" s="14">
        <v>2790</v>
      </c>
      <c r="P712" s="14">
        <v>30</v>
      </c>
      <c r="Q712" s="14" t="s">
        <v>73</v>
      </c>
      <c r="R712" s="14" t="s">
        <v>42</v>
      </c>
      <c r="S712" s="14">
        <v>45656</v>
      </c>
      <c r="T712" s="14">
        <v>4</v>
      </c>
    </row>
    <row r="713" spans="1:20" x14ac:dyDescent="0.3">
      <c r="A713" t="s">
        <v>1286</v>
      </c>
      <c r="B713">
        <v>45713</v>
      </c>
      <c r="C713" t="s">
        <v>627</v>
      </c>
      <c r="D713" t="s">
        <v>628</v>
      </c>
      <c r="E713" t="s">
        <v>77</v>
      </c>
      <c r="F713">
        <v>44</v>
      </c>
      <c r="G713" t="s">
        <v>24</v>
      </c>
      <c r="H713" s="14" t="s">
        <v>25</v>
      </c>
      <c r="I713" s="14" t="s">
        <v>107</v>
      </c>
      <c r="J713" s="14" t="s">
        <v>108</v>
      </c>
      <c r="K713" s="14" t="s">
        <v>87</v>
      </c>
      <c r="L713" s="14" t="s">
        <v>88</v>
      </c>
      <c r="M713" s="14">
        <v>2</v>
      </c>
      <c r="N713" s="14">
        <v>1358.3</v>
      </c>
      <c r="O713" s="14">
        <v>840</v>
      </c>
      <c r="P713" s="14">
        <v>15</v>
      </c>
      <c r="Q713" s="14" t="s">
        <v>30</v>
      </c>
      <c r="R713" s="14" t="s">
        <v>31</v>
      </c>
      <c r="S713" s="14">
        <v>45719</v>
      </c>
      <c r="T713" s="14">
        <v>3</v>
      </c>
    </row>
    <row r="714" spans="1:20" x14ac:dyDescent="0.3">
      <c r="A714" t="s">
        <v>1287</v>
      </c>
      <c r="B714">
        <v>45996</v>
      </c>
      <c r="C714" t="s">
        <v>769</v>
      </c>
      <c r="D714" t="s">
        <v>326</v>
      </c>
      <c r="E714" t="s">
        <v>23</v>
      </c>
      <c r="F714">
        <v>20</v>
      </c>
      <c r="G714" t="s">
        <v>35</v>
      </c>
      <c r="H714" s="14" t="s">
        <v>36</v>
      </c>
      <c r="I714" s="14" t="s">
        <v>229</v>
      </c>
      <c r="J714" s="14" t="s">
        <v>230</v>
      </c>
      <c r="K714" s="14" t="s">
        <v>28</v>
      </c>
      <c r="L714" s="14" t="s">
        <v>231</v>
      </c>
      <c r="M714" s="14">
        <v>3</v>
      </c>
      <c r="N714" s="14">
        <v>5397.3</v>
      </c>
      <c r="O714" s="14">
        <v>3690</v>
      </c>
      <c r="P714" s="14">
        <v>10</v>
      </c>
      <c r="Q714" s="14" t="s">
        <v>73</v>
      </c>
      <c r="R714" s="14" t="s">
        <v>65</v>
      </c>
    </row>
    <row r="715" spans="1:20" x14ac:dyDescent="0.3">
      <c r="A715" t="s">
        <v>1288</v>
      </c>
      <c r="B715">
        <v>45625</v>
      </c>
      <c r="C715" t="s">
        <v>334</v>
      </c>
      <c r="D715" t="s">
        <v>335</v>
      </c>
      <c r="E715" t="s">
        <v>77</v>
      </c>
      <c r="F715">
        <v>41</v>
      </c>
      <c r="G715" t="s">
        <v>61</v>
      </c>
      <c r="H715" s="14" t="s">
        <v>62</v>
      </c>
      <c r="I715" s="14" t="s">
        <v>107</v>
      </c>
      <c r="J715" s="14" t="s">
        <v>108</v>
      </c>
      <c r="K715" s="14" t="s">
        <v>87</v>
      </c>
      <c r="L715" s="14" t="s">
        <v>88</v>
      </c>
      <c r="M715" s="14">
        <v>4</v>
      </c>
      <c r="N715" s="14">
        <v>2237.1999999999998</v>
      </c>
      <c r="O715" s="14">
        <v>1680</v>
      </c>
      <c r="P715" s="14">
        <v>30</v>
      </c>
      <c r="Q715" s="14" t="s">
        <v>41</v>
      </c>
      <c r="R715" s="14" t="s">
        <v>42</v>
      </c>
      <c r="S715" s="14">
        <v>45634</v>
      </c>
      <c r="T715" s="14">
        <v>2</v>
      </c>
    </row>
    <row r="716" spans="1:20" x14ac:dyDescent="0.3">
      <c r="A716" t="s">
        <v>1289</v>
      </c>
      <c r="B716">
        <v>45616</v>
      </c>
      <c r="C716" t="s">
        <v>595</v>
      </c>
      <c r="D716" t="s">
        <v>596</v>
      </c>
      <c r="E716" t="s">
        <v>23</v>
      </c>
      <c r="F716">
        <v>23</v>
      </c>
      <c r="G716" t="s">
        <v>165</v>
      </c>
      <c r="H716" s="14" t="s">
        <v>166</v>
      </c>
      <c r="I716" s="14" t="s">
        <v>183</v>
      </c>
      <c r="J716" s="14" t="s">
        <v>184</v>
      </c>
      <c r="K716" s="14" t="s">
        <v>130</v>
      </c>
      <c r="L716" s="14" t="s">
        <v>185</v>
      </c>
      <c r="M716" s="14">
        <v>5</v>
      </c>
      <c r="N716" s="14">
        <v>18995.25</v>
      </c>
      <c r="O716" s="14">
        <v>15250</v>
      </c>
      <c r="P716" s="14">
        <v>5</v>
      </c>
      <c r="Q716" s="14" t="s">
        <v>103</v>
      </c>
      <c r="R716" s="14" t="s">
        <v>42</v>
      </c>
      <c r="S716" s="14">
        <v>45628</v>
      </c>
      <c r="T716" s="14">
        <v>4</v>
      </c>
    </row>
    <row r="717" spans="1:20" x14ac:dyDescent="0.3">
      <c r="A717" t="s">
        <v>1290</v>
      </c>
      <c r="B717">
        <v>45636</v>
      </c>
      <c r="C717" t="s">
        <v>406</v>
      </c>
      <c r="D717" t="s">
        <v>407</v>
      </c>
      <c r="E717" t="s">
        <v>23</v>
      </c>
      <c r="F717">
        <v>37</v>
      </c>
      <c r="G717" t="s">
        <v>126</v>
      </c>
      <c r="H717" s="14" t="s">
        <v>127</v>
      </c>
      <c r="I717" s="14" t="s">
        <v>319</v>
      </c>
      <c r="J717" s="14" t="s">
        <v>320</v>
      </c>
      <c r="K717" s="14" t="s">
        <v>28</v>
      </c>
      <c r="L717" s="14" t="s">
        <v>29</v>
      </c>
      <c r="M717" s="14">
        <v>5</v>
      </c>
      <c r="N717" s="14">
        <v>4796</v>
      </c>
      <c r="O717" s="14">
        <v>3550</v>
      </c>
      <c r="P717" s="14">
        <v>20</v>
      </c>
      <c r="Q717" s="14" t="s">
        <v>41</v>
      </c>
      <c r="R717" s="14" t="s">
        <v>42</v>
      </c>
      <c r="S717" s="14">
        <v>45641</v>
      </c>
      <c r="T717" s="14">
        <v>5</v>
      </c>
    </row>
    <row r="718" spans="1:20" x14ac:dyDescent="0.3">
      <c r="A718" t="s">
        <v>1291</v>
      </c>
      <c r="B718">
        <v>45942</v>
      </c>
      <c r="C718" t="s">
        <v>75</v>
      </c>
      <c r="D718" t="s">
        <v>76</v>
      </c>
      <c r="E718" t="s">
        <v>77</v>
      </c>
      <c r="F718">
        <v>27</v>
      </c>
      <c r="G718" t="s">
        <v>154</v>
      </c>
      <c r="H718" s="14" t="s">
        <v>91</v>
      </c>
      <c r="I718" s="14" t="s">
        <v>143</v>
      </c>
      <c r="J718" s="14" t="s">
        <v>144</v>
      </c>
      <c r="K718" s="14" t="s">
        <v>130</v>
      </c>
      <c r="L718" s="14" t="s">
        <v>131</v>
      </c>
      <c r="M718" s="14">
        <v>3</v>
      </c>
      <c r="N718" s="14">
        <v>16497</v>
      </c>
      <c r="O718" s="14">
        <v>12900</v>
      </c>
      <c r="P718" s="14">
        <v>0</v>
      </c>
      <c r="Q718" s="14" t="s">
        <v>41</v>
      </c>
      <c r="R718" s="14" t="s">
        <v>65</v>
      </c>
    </row>
    <row r="719" spans="1:20" x14ac:dyDescent="0.3">
      <c r="A719" t="s">
        <v>1292</v>
      </c>
      <c r="B719">
        <v>45703</v>
      </c>
      <c r="C719" t="s">
        <v>357</v>
      </c>
      <c r="D719" t="s">
        <v>358</v>
      </c>
      <c r="E719" t="s">
        <v>23</v>
      </c>
      <c r="F719">
        <v>23</v>
      </c>
      <c r="G719" t="s">
        <v>46</v>
      </c>
      <c r="H719" s="14" t="s">
        <v>25</v>
      </c>
      <c r="I719" s="14" t="s">
        <v>85</v>
      </c>
      <c r="J719" s="14" t="s">
        <v>86</v>
      </c>
      <c r="K719" s="14" t="s">
        <v>87</v>
      </c>
      <c r="L719" s="14" t="s">
        <v>88</v>
      </c>
      <c r="M719" s="14">
        <v>5</v>
      </c>
      <c r="N719" s="14">
        <v>6645.25</v>
      </c>
      <c r="O719" s="14">
        <v>3950</v>
      </c>
      <c r="P719" s="14">
        <v>5</v>
      </c>
      <c r="Q719" s="14" t="s">
        <v>50</v>
      </c>
      <c r="R719" s="14" t="s">
        <v>42</v>
      </c>
      <c r="S719" s="14">
        <v>45709</v>
      </c>
      <c r="T719" s="14">
        <v>3</v>
      </c>
    </row>
    <row r="720" spans="1:20" x14ac:dyDescent="0.3">
      <c r="A720" t="s">
        <v>1293</v>
      </c>
      <c r="B720">
        <v>45872</v>
      </c>
      <c r="C720" t="s">
        <v>272</v>
      </c>
      <c r="D720" t="s">
        <v>273</v>
      </c>
      <c r="E720" t="s">
        <v>23</v>
      </c>
      <c r="F720">
        <v>46</v>
      </c>
      <c r="G720" t="s">
        <v>101</v>
      </c>
      <c r="H720" s="14" t="s">
        <v>102</v>
      </c>
      <c r="I720" s="14" t="s">
        <v>134</v>
      </c>
      <c r="J720" s="14" t="s">
        <v>135</v>
      </c>
      <c r="K720" s="14" t="s">
        <v>39</v>
      </c>
      <c r="L720" s="14" t="s">
        <v>136</v>
      </c>
      <c r="M720" s="14">
        <v>2</v>
      </c>
      <c r="N720" s="14">
        <v>298.5</v>
      </c>
      <c r="O720" s="14">
        <v>180</v>
      </c>
      <c r="P720" s="14">
        <v>25</v>
      </c>
      <c r="Q720" s="14" t="s">
        <v>73</v>
      </c>
      <c r="R720" s="14" t="s">
        <v>31</v>
      </c>
      <c r="S720" s="14">
        <v>45878</v>
      </c>
      <c r="T720" s="14">
        <v>4</v>
      </c>
    </row>
    <row r="721" spans="1:20" x14ac:dyDescent="0.3">
      <c r="A721" t="s">
        <v>1294</v>
      </c>
      <c r="B721">
        <v>45735</v>
      </c>
      <c r="C721" t="s">
        <v>99</v>
      </c>
      <c r="D721" t="s">
        <v>100</v>
      </c>
      <c r="E721" t="s">
        <v>23</v>
      </c>
      <c r="F721">
        <v>34</v>
      </c>
      <c r="G721" t="s">
        <v>126</v>
      </c>
      <c r="H721" s="14" t="s">
        <v>127</v>
      </c>
      <c r="I721" s="14" t="s">
        <v>70</v>
      </c>
      <c r="J721" s="14" t="s">
        <v>71</v>
      </c>
      <c r="K721" s="14" t="s">
        <v>28</v>
      </c>
      <c r="L721" s="14" t="s">
        <v>72</v>
      </c>
      <c r="M721" s="14">
        <v>4</v>
      </c>
      <c r="N721" s="14">
        <v>4197.2</v>
      </c>
      <c r="O721" s="14">
        <v>3680</v>
      </c>
      <c r="P721" s="14">
        <v>30</v>
      </c>
      <c r="Q721" s="14" t="s">
        <v>41</v>
      </c>
      <c r="R721" s="14" t="s">
        <v>65</v>
      </c>
    </row>
    <row r="722" spans="1:20" x14ac:dyDescent="0.3">
      <c r="A722" t="s">
        <v>1295</v>
      </c>
      <c r="B722">
        <v>45819</v>
      </c>
      <c r="C722" t="s">
        <v>237</v>
      </c>
      <c r="D722" t="s">
        <v>238</v>
      </c>
      <c r="E722" t="s">
        <v>23</v>
      </c>
      <c r="F722">
        <v>47</v>
      </c>
      <c r="G722" t="s">
        <v>78</v>
      </c>
      <c r="H722" s="14" t="s">
        <v>79</v>
      </c>
      <c r="I722" s="14" t="s">
        <v>80</v>
      </c>
      <c r="J722" s="14" t="s">
        <v>81</v>
      </c>
      <c r="K722" s="14" t="s">
        <v>28</v>
      </c>
      <c r="L722" s="14" t="s">
        <v>29</v>
      </c>
      <c r="M722" s="14">
        <v>5</v>
      </c>
      <c r="N722" s="14">
        <v>3595.5</v>
      </c>
      <c r="O722" s="14">
        <v>2350</v>
      </c>
      <c r="P722" s="14">
        <v>10</v>
      </c>
      <c r="Q722" s="14" t="s">
        <v>50</v>
      </c>
      <c r="R722" s="14" t="s">
        <v>42</v>
      </c>
      <c r="S722" s="14">
        <v>45824</v>
      </c>
      <c r="T722" s="14">
        <v>5</v>
      </c>
    </row>
    <row r="723" spans="1:20" x14ac:dyDescent="0.3">
      <c r="A723" t="s">
        <v>1296</v>
      </c>
      <c r="B723">
        <v>45566</v>
      </c>
      <c r="C723" t="s">
        <v>1222</v>
      </c>
      <c r="D723" t="s">
        <v>1223</v>
      </c>
      <c r="E723" t="s">
        <v>23</v>
      </c>
      <c r="F723">
        <v>54</v>
      </c>
      <c r="G723" t="s">
        <v>122</v>
      </c>
      <c r="H723" s="14" t="s">
        <v>123</v>
      </c>
      <c r="I723" s="14" t="s">
        <v>198</v>
      </c>
      <c r="J723" s="14" t="s">
        <v>1297</v>
      </c>
      <c r="K723" s="14" t="s">
        <v>114</v>
      </c>
      <c r="L723" s="14" t="s">
        <v>200</v>
      </c>
      <c r="M723" s="14">
        <v>1</v>
      </c>
      <c r="N723" s="14">
        <v>1104.1500000000001</v>
      </c>
      <c r="O723" s="14">
        <v>760</v>
      </c>
      <c r="P723" s="14">
        <v>15</v>
      </c>
      <c r="Q723" s="14" t="s">
        <v>41</v>
      </c>
      <c r="R723" s="14" t="s">
        <v>42</v>
      </c>
      <c r="S723" s="14">
        <v>45570</v>
      </c>
      <c r="T723" s="14">
        <v>4</v>
      </c>
    </row>
    <row r="724" spans="1:20" x14ac:dyDescent="0.3">
      <c r="A724" t="s">
        <v>1298</v>
      </c>
      <c r="B724">
        <v>45446</v>
      </c>
      <c r="C724" t="s">
        <v>1042</v>
      </c>
      <c r="D724" t="s">
        <v>238</v>
      </c>
      <c r="E724" t="s">
        <v>23</v>
      </c>
      <c r="F724">
        <v>33</v>
      </c>
      <c r="G724" t="s">
        <v>122</v>
      </c>
      <c r="H724" s="14" t="s">
        <v>123</v>
      </c>
      <c r="I724" s="14" t="s">
        <v>134</v>
      </c>
      <c r="J724" s="14" t="s">
        <v>135</v>
      </c>
      <c r="K724" s="14" t="s">
        <v>39</v>
      </c>
      <c r="L724" s="14" t="s">
        <v>136</v>
      </c>
      <c r="M724" s="14">
        <v>3</v>
      </c>
      <c r="N724" s="14">
        <v>567.15</v>
      </c>
      <c r="O724" s="14">
        <v>270</v>
      </c>
      <c r="P724" s="14">
        <v>5</v>
      </c>
      <c r="Q724" s="14" t="s">
        <v>30</v>
      </c>
      <c r="R724" s="14" t="s">
        <v>57</v>
      </c>
      <c r="S724" s="14">
        <v>45454</v>
      </c>
      <c r="T724" s="14">
        <v>4</v>
      </c>
    </row>
    <row r="725" spans="1:20" x14ac:dyDescent="0.3">
      <c r="A725" t="s">
        <v>1299</v>
      </c>
      <c r="B725">
        <v>45585</v>
      </c>
      <c r="C725" t="s">
        <v>371</v>
      </c>
      <c r="D725" t="s">
        <v>372</v>
      </c>
      <c r="E725" t="s">
        <v>77</v>
      </c>
      <c r="F725">
        <v>54</v>
      </c>
      <c r="G725" t="s">
        <v>207</v>
      </c>
      <c r="H725" s="14" t="s">
        <v>36</v>
      </c>
      <c r="I725" s="14" t="s">
        <v>107</v>
      </c>
      <c r="J725" s="14" t="s">
        <v>108</v>
      </c>
      <c r="K725" s="14" t="s">
        <v>87</v>
      </c>
      <c r="L725" s="14" t="s">
        <v>88</v>
      </c>
      <c r="M725" s="14">
        <v>5</v>
      </c>
      <c r="N725" s="14">
        <v>3395.75</v>
      </c>
      <c r="O725" s="14">
        <v>2100</v>
      </c>
      <c r="P725" s="14">
        <v>15</v>
      </c>
      <c r="Q725" s="14" t="s">
        <v>103</v>
      </c>
      <c r="R725" s="14" t="s">
        <v>42</v>
      </c>
      <c r="S725" s="14">
        <v>45588</v>
      </c>
      <c r="T725" s="14">
        <v>3</v>
      </c>
    </row>
    <row r="726" spans="1:20" x14ac:dyDescent="0.3">
      <c r="A726" t="s">
        <v>1300</v>
      </c>
      <c r="B726">
        <v>45488</v>
      </c>
      <c r="C726" t="s">
        <v>376</v>
      </c>
      <c r="D726" t="s">
        <v>377</v>
      </c>
      <c r="E726" t="s">
        <v>23</v>
      </c>
      <c r="F726">
        <v>24</v>
      </c>
      <c r="G726" t="s">
        <v>90</v>
      </c>
      <c r="H726" s="14" t="s">
        <v>91</v>
      </c>
      <c r="I726" s="14" t="s">
        <v>143</v>
      </c>
      <c r="J726" s="14" t="s">
        <v>144</v>
      </c>
      <c r="K726" s="14" t="s">
        <v>130</v>
      </c>
      <c r="L726" s="14" t="s">
        <v>131</v>
      </c>
      <c r="M726" s="14">
        <v>4</v>
      </c>
      <c r="N726" s="14">
        <v>13197.6</v>
      </c>
      <c r="O726" s="14">
        <v>17200</v>
      </c>
      <c r="P726" s="14">
        <v>40</v>
      </c>
      <c r="Q726" s="14" t="s">
        <v>50</v>
      </c>
      <c r="R726" s="14" t="s">
        <v>42</v>
      </c>
      <c r="S726" s="14">
        <v>45496</v>
      </c>
      <c r="T726" s="14">
        <v>2</v>
      </c>
    </row>
    <row r="727" spans="1:20" x14ac:dyDescent="0.3">
      <c r="A727" t="s">
        <v>1301</v>
      </c>
      <c r="B727">
        <v>45498</v>
      </c>
      <c r="C727" t="s">
        <v>796</v>
      </c>
      <c r="D727" t="s">
        <v>797</v>
      </c>
      <c r="E727" t="s">
        <v>77</v>
      </c>
      <c r="F727">
        <v>31</v>
      </c>
      <c r="G727" t="s">
        <v>207</v>
      </c>
      <c r="H727" s="14" t="s">
        <v>36</v>
      </c>
      <c r="I727" s="14" t="s">
        <v>252</v>
      </c>
      <c r="J727" s="14" t="s">
        <v>253</v>
      </c>
      <c r="K727" s="14" t="s">
        <v>28</v>
      </c>
      <c r="L727" s="14" t="s">
        <v>254</v>
      </c>
      <c r="M727" s="14">
        <v>1</v>
      </c>
      <c r="N727" s="14">
        <v>2399.1999999999998</v>
      </c>
      <c r="O727" s="14">
        <v>1900</v>
      </c>
      <c r="P727" s="14">
        <v>20</v>
      </c>
      <c r="Q727" s="14" t="s">
        <v>41</v>
      </c>
      <c r="R727" s="14" t="s">
        <v>31</v>
      </c>
      <c r="S727" s="14">
        <v>45508</v>
      </c>
      <c r="T727" s="14">
        <v>3</v>
      </c>
    </row>
    <row r="728" spans="1:20" x14ac:dyDescent="0.3">
      <c r="A728" t="s">
        <v>1302</v>
      </c>
      <c r="B728">
        <v>45951</v>
      </c>
      <c r="C728" t="s">
        <v>621</v>
      </c>
      <c r="D728" t="s">
        <v>622</v>
      </c>
      <c r="E728" t="s">
        <v>23</v>
      </c>
      <c r="F728">
        <v>32</v>
      </c>
      <c r="G728" t="s">
        <v>101</v>
      </c>
      <c r="H728" s="14" t="s">
        <v>102</v>
      </c>
      <c r="I728" s="14" t="s">
        <v>80</v>
      </c>
      <c r="J728" s="14" t="s">
        <v>81</v>
      </c>
      <c r="K728" s="14" t="s">
        <v>28</v>
      </c>
      <c r="L728" s="14" t="s">
        <v>29</v>
      </c>
      <c r="M728" s="14">
        <v>1</v>
      </c>
      <c r="N728" s="14">
        <v>759.05</v>
      </c>
      <c r="O728" s="14">
        <v>470</v>
      </c>
      <c r="P728" s="14">
        <v>5</v>
      </c>
      <c r="Q728" s="14" t="s">
        <v>41</v>
      </c>
      <c r="R728" s="14" t="s">
        <v>65</v>
      </c>
    </row>
    <row r="729" spans="1:20" x14ac:dyDescent="0.3">
      <c r="A729" t="s">
        <v>1303</v>
      </c>
      <c r="B729">
        <v>45597</v>
      </c>
      <c r="C729" t="s">
        <v>671</v>
      </c>
      <c r="D729" t="s">
        <v>60</v>
      </c>
      <c r="E729" t="s">
        <v>23</v>
      </c>
      <c r="F729">
        <v>38</v>
      </c>
      <c r="G729" t="s">
        <v>122</v>
      </c>
      <c r="H729" s="14" t="s">
        <v>123</v>
      </c>
      <c r="I729" s="14" t="s">
        <v>245</v>
      </c>
      <c r="J729" s="14" t="s">
        <v>246</v>
      </c>
      <c r="K729" s="14" t="s">
        <v>130</v>
      </c>
      <c r="L729" s="14" t="s">
        <v>247</v>
      </c>
      <c r="M729" s="14">
        <v>1</v>
      </c>
      <c r="N729" s="14">
        <v>1749.3</v>
      </c>
      <c r="O729" s="14">
        <v>1870</v>
      </c>
      <c r="P729" s="14">
        <v>30</v>
      </c>
      <c r="Q729" s="14" t="s">
        <v>30</v>
      </c>
      <c r="R729" s="14" t="s">
        <v>42</v>
      </c>
      <c r="S729" s="14">
        <v>45600</v>
      </c>
      <c r="T729" s="14">
        <v>3</v>
      </c>
    </row>
    <row r="730" spans="1:20" x14ac:dyDescent="0.3">
      <c r="A730" t="s">
        <v>1304</v>
      </c>
      <c r="B730">
        <v>45826</v>
      </c>
      <c r="C730" t="s">
        <v>1012</v>
      </c>
      <c r="D730" t="s">
        <v>388</v>
      </c>
      <c r="E730" t="s">
        <v>23</v>
      </c>
      <c r="F730">
        <v>36</v>
      </c>
      <c r="G730" t="s">
        <v>207</v>
      </c>
      <c r="H730" s="14" t="s">
        <v>36</v>
      </c>
      <c r="I730" s="14" t="s">
        <v>37</v>
      </c>
      <c r="J730" s="14" t="s">
        <v>38</v>
      </c>
      <c r="K730" s="14" t="s">
        <v>39</v>
      </c>
      <c r="L730" s="14" t="s">
        <v>40</v>
      </c>
      <c r="M730" s="14">
        <v>1</v>
      </c>
      <c r="N730" s="14">
        <v>764.15</v>
      </c>
      <c r="O730" s="14">
        <v>520</v>
      </c>
      <c r="P730" s="14">
        <v>15</v>
      </c>
      <c r="Q730" s="14" t="s">
        <v>50</v>
      </c>
      <c r="R730" s="14" t="s">
        <v>42</v>
      </c>
      <c r="S730" s="14">
        <v>45833</v>
      </c>
      <c r="T730" s="14">
        <v>4</v>
      </c>
    </row>
    <row r="731" spans="1:20" x14ac:dyDescent="0.3">
      <c r="A731" t="s">
        <v>1305</v>
      </c>
      <c r="B731">
        <v>45890</v>
      </c>
      <c r="C731" t="s">
        <v>938</v>
      </c>
      <c r="D731" t="s">
        <v>53</v>
      </c>
      <c r="E731" t="s">
        <v>23</v>
      </c>
      <c r="F731">
        <v>42</v>
      </c>
      <c r="G731" t="s">
        <v>90</v>
      </c>
      <c r="H731" s="14" t="s">
        <v>91</v>
      </c>
      <c r="I731" s="14" t="s">
        <v>134</v>
      </c>
      <c r="J731" s="14" t="s">
        <v>135</v>
      </c>
      <c r="K731" s="14" t="s">
        <v>39</v>
      </c>
      <c r="L731" s="14" t="s">
        <v>136</v>
      </c>
      <c r="M731" s="14">
        <v>2</v>
      </c>
      <c r="N731" s="14">
        <v>358.2</v>
      </c>
      <c r="O731" s="14">
        <v>180</v>
      </c>
      <c r="P731" s="14">
        <v>10</v>
      </c>
      <c r="Q731" s="14" t="s">
        <v>73</v>
      </c>
      <c r="R731" s="14" t="s">
        <v>42</v>
      </c>
      <c r="S731" s="14">
        <v>45895</v>
      </c>
      <c r="T731" s="14">
        <v>4</v>
      </c>
    </row>
    <row r="732" spans="1:20" x14ac:dyDescent="0.3">
      <c r="A732" t="s">
        <v>1306</v>
      </c>
      <c r="B732">
        <v>45742</v>
      </c>
      <c r="C732" t="s">
        <v>775</v>
      </c>
      <c r="D732" t="s">
        <v>244</v>
      </c>
      <c r="E732" t="s">
        <v>77</v>
      </c>
      <c r="F732">
        <v>46</v>
      </c>
      <c r="G732" t="s">
        <v>207</v>
      </c>
      <c r="H732" s="14" t="s">
        <v>36</v>
      </c>
      <c r="I732" s="14" t="s">
        <v>198</v>
      </c>
      <c r="J732" s="14" t="s">
        <v>199</v>
      </c>
      <c r="K732" s="14" t="s">
        <v>114</v>
      </c>
      <c r="L732" s="14" t="s">
        <v>200</v>
      </c>
      <c r="M732" s="14">
        <v>1</v>
      </c>
      <c r="N732" s="14">
        <v>779.4</v>
      </c>
      <c r="O732" s="14">
        <v>760</v>
      </c>
      <c r="P732" s="14">
        <v>40</v>
      </c>
      <c r="Q732" s="14" t="s">
        <v>50</v>
      </c>
      <c r="R732" s="14" t="s">
        <v>42</v>
      </c>
      <c r="S732" s="14">
        <v>45745</v>
      </c>
      <c r="T732" s="14">
        <v>4</v>
      </c>
    </row>
    <row r="733" spans="1:20" x14ac:dyDescent="0.3">
      <c r="A733" t="s">
        <v>1307</v>
      </c>
      <c r="B733">
        <v>45850</v>
      </c>
      <c r="C733" t="s">
        <v>354</v>
      </c>
      <c r="D733" t="s">
        <v>355</v>
      </c>
      <c r="E733" t="s">
        <v>77</v>
      </c>
      <c r="F733">
        <v>38</v>
      </c>
      <c r="G733" t="s">
        <v>101</v>
      </c>
      <c r="H733" s="14" t="s">
        <v>102</v>
      </c>
      <c r="I733" s="14" t="s">
        <v>107</v>
      </c>
      <c r="J733" s="14" t="s">
        <v>108</v>
      </c>
      <c r="K733" s="14" t="s">
        <v>87</v>
      </c>
      <c r="L733" s="14" t="s">
        <v>88</v>
      </c>
      <c r="M733" s="14">
        <v>2</v>
      </c>
      <c r="N733" s="14">
        <v>1278.4000000000001</v>
      </c>
      <c r="O733" s="14">
        <v>840</v>
      </c>
      <c r="P733" s="14">
        <v>20</v>
      </c>
      <c r="Q733" s="14" t="s">
        <v>30</v>
      </c>
      <c r="R733" s="14" t="s">
        <v>42</v>
      </c>
      <c r="S733" s="14">
        <v>45859</v>
      </c>
      <c r="T733" s="14">
        <v>4</v>
      </c>
    </row>
    <row r="734" spans="1:20" x14ac:dyDescent="0.3">
      <c r="A734" t="s">
        <v>1308</v>
      </c>
      <c r="B734">
        <v>45607</v>
      </c>
      <c r="C734" t="s">
        <v>764</v>
      </c>
      <c r="D734" t="s">
        <v>765</v>
      </c>
      <c r="E734" t="s">
        <v>23</v>
      </c>
      <c r="F734">
        <v>18</v>
      </c>
      <c r="G734" t="s">
        <v>24</v>
      </c>
      <c r="H734" s="14" t="s">
        <v>25</v>
      </c>
      <c r="I734" s="14" t="s">
        <v>177</v>
      </c>
      <c r="J734" s="14" t="s">
        <v>178</v>
      </c>
      <c r="K734" s="14" t="s">
        <v>87</v>
      </c>
      <c r="L734" s="14" t="s">
        <v>179</v>
      </c>
      <c r="M734" s="14">
        <v>1</v>
      </c>
      <c r="N734" s="14">
        <v>2124.15</v>
      </c>
      <c r="O734" s="14">
        <v>1620</v>
      </c>
      <c r="P734" s="14">
        <v>15</v>
      </c>
      <c r="Q734" s="14" t="s">
        <v>41</v>
      </c>
      <c r="R734" s="14" t="s">
        <v>65</v>
      </c>
    </row>
    <row r="735" spans="1:20" x14ac:dyDescent="0.3">
      <c r="A735" t="s">
        <v>1309</v>
      </c>
      <c r="B735">
        <v>45685</v>
      </c>
      <c r="C735" t="s">
        <v>1310</v>
      </c>
      <c r="D735" t="s">
        <v>1311</v>
      </c>
      <c r="E735" t="s">
        <v>77</v>
      </c>
      <c r="F735">
        <v>48</v>
      </c>
      <c r="G735" t="s">
        <v>211</v>
      </c>
      <c r="H735" s="14" t="s">
        <v>127</v>
      </c>
      <c r="I735" s="14" t="s">
        <v>107</v>
      </c>
      <c r="J735" s="14" t="s">
        <v>108</v>
      </c>
      <c r="K735" s="14" t="s">
        <v>87</v>
      </c>
      <c r="L735" s="14" t="s">
        <v>88</v>
      </c>
      <c r="M735" s="14">
        <v>1</v>
      </c>
      <c r="N735" s="14">
        <v>679.15</v>
      </c>
      <c r="O735" s="14">
        <v>420</v>
      </c>
      <c r="P735" s="14">
        <v>15</v>
      </c>
      <c r="Q735" s="14" t="s">
        <v>103</v>
      </c>
      <c r="R735" s="14" t="s">
        <v>42</v>
      </c>
      <c r="S735" s="14">
        <v>45687</v>
      </c>
      <c r="T735" s="14">
        <v>5</v>
      </c>
    </row>
    <row r="736" spans="1:20" x14ac:dyDescent="0.3">
      <c r="A736" t="s">
        <v>1312</v>
      </c>
      <c r="B736">
        <v>45553</v>
      </c>
      <c r="C736" t="s">
        <v>879</v>
      </c>
      <c r="D736" t="s">
        <v>880</v>
      </c>
      <c r="E736" t="s">
        <v>23</v>
      </c>
      <c r="F736">
        <v>44</v>
      </c>
      <c r="G736" t="s">
        <v>46</v>
      </c>
      <c r="H736" s="14" t="s">
        <v>25</v>
      </c>
      <c r="I736" s="14" t="s">
        <v>304</v>
      </c>
      <c r="J736" s="14" t="s">
        <v>305</v>
      </c>
      <c r="K736" s="14" t="s">
        <v>28</v>
      </c>
      <c r="L736" s="14" t="s">
        <v>231</v>
      </c>
      <c r="M736" s="14">
        <v>3</v>
      </c>
      <c r="N736" s="14">
        <v>4587.45</v>
      </c>
      <c r="O736" s="14">
        <v>3240</v>
      </c>
      <c r="P736" s="14">
        <v>15</v>
      </c>
      <c r="Q736" s="14" t="s">
        <v>30</v>
      </c>
      <c r="R736" s="14" t="s">
        <v>42</v>
      </c>
      <c r="S736" s="14">
        <v>45565</v>
      </c>
      <c r="T736" s="14">
        <v>4</v>
      </c>
    </row>
    <row r="737" spans="1:20" x14ac:dyDescent="0.3">
      <c r="A737" t="s">
        <v>1313</v>
      </c>
      <c r="B737">
        <v>45951</v>
      </c>
      <c r="C737" t="s">
        <v>1314</v>
      </c>
      <c r="D737" t="s">
        <v>1315</v>
      </c>
      <c r="E737" t="s">
        <v>77</v>
      </c>
      <c r="F737">
        <v>50</v>
      </c>
      <c r="G737" t="s">
        <v>24</v>
      </c>
      <c r="H737" s="14" t="s">
        <v>25</v>
      </c>
      <c r="I737" s="14" t="s">
        <v>128</v>
      </c>
      <c r="J737" s="14" t="s">
        <v>129</v>
      </c>
      <c r="K737" s="14" t="s">
        <v>130</v>
      </c>
      <c r="L737" s="14" t="s">
        <v>131</v>
      </c>
      <c r="M737" s="14">
        <v>1</v>
      </c>
      <c r="N737" s="14">
        <v>3899.4</v>
      </c>
      <c r="O737" s="14">
        <v>5100</v>
      </c>
      <c r="P737" s="14">
        <v>40</v>
      </c>
      <c r="Q737" s="14" t="s">
        <v>103</v>
      </c>
      <c r="R737" s="14" t="s">
        <v>31</v>
      </c>
      <c r="S737" s="14">
        <v>45959</v>
      </c>
      <c r="T737" s="14">
        <v>4</v>
      </c>
    </row>
    <row r="738" spans="1:20" x14ac:dyDescent="0.3">
      <c r="A738" t="s">
        <v>1316</v>
      </c>
      <c r="B738">
        <v>45724</v>
      </c>
      <c r="C738" t="s">
        <v>723</v>
      </c>
      <c r="D738" t="s">
        <v>724</v>
      </c>
      <c r="E738" t="s">
        <v>77</v>
      </c>
      <c r="F738">
        <v>35</v>
      </c>
      <c r="G738" t="s">
        <v>78</v>
      </c>
      <c r="H738" s="14" t="s">
        <v>79</v>
      </c>
      <c r="I738" s="14" t="s">
        <v>85</v>
      </c>
      <c r="J738" s="14" t="s">
        <v>86</v>
      </c>
      <c r="K738" s="14" t="s">
        <v>87</v>
      </c>
      <c r="L738" s="14" t="s">
        <v>88</v>
      </c>
      <c r="M738" s="14">
        <v>3</v>
      </c>
      <c r="N738" s="14">
        <v>3987.15</v>
      </c>
      <c r="O738" s="14">
        <v>2370</v>
      </c>
      <c r="P738" s="14">
        <v>5</v>
      </c>
      <c r="Q738" s="14" t="s">
        <v>41</v>
      </c>
      <c r="R738" s="14" t="s">
        <v>42</v>
      </c>
      <c r="S738" s="14">
        <v>45735</v>
      </c>
      <c r="T738" s="14">
        <v>4</v>
      </c>
    </row>
    <row r="739" spans="1:20" x14ac:dyDescent="0.3">
      <c r="A739" t="s">
        <v>1317</v>
      </c>
      <c r="B739">
        <v>45756</v>
      </c>
      <c r="C739" t="s">
        <v>376</v>
      </c>
      <c r="D739" t="s">
        <v>377</v>
      </c>
      <c r="E739" t="s">
        <v>23</v>
      </c>
      <c r="F739">
        <v>24</v>
      </c>
      <c r="G739" t="s">
        <v>24</v>
      </c>
      <c r="H739" s="14" t="s">
        <v>25</v>
      </c>
      <c r="I739" s="14" t="s">
        <v>92</v>
      </c>
      <c r="J739" s="14" t="s">
        <v>93</v>
      </c>
      <c r="K739" s="14" t="s">
        <v>87</v>
      </c>
      <c r="L739" s="14" t="s">
        <v>94</v>
      </c>
      <c r="M739" s="14">
        <v>2</v>
      </c>
      <c r="N739" s="14">
        <v>1918.8</v>
      </c>
      <c r="O739" s="14">
        <v>1860</v>
      </c>
      <c r="P739" s="14">
        <v>40</v>
      </c>
      <c r="Q739" s="14" t="s">
        <v>30</v>
      </c>
      <c r="R739" s="14" t="s">
        <v>42</v>
      </c>
      <c r="S739" s="14">
        <v>45764</v>
      </c>
      <c r="T739" s="14">
        <v>4</v>
      </c>
    </row>
    <row r="740" spans="1:20" x14ac:dyDescent="0.3">
      <c r="A740" t="s">
        <v>1318</v>
      </c>
      <c r="B740">
        <v>45935</v>
      </c>
      <c r="C740" t="s">
        <v>1319</v>
      </c>
      <c r="D740" t="s">
        <v>894</v>
      </c>
      <c r="E740" t="s">
        <v>77</v>
      </c>
      <c r="F740">
        <v>33</v>
      </c>
      <c r="G740" t="s">
        <v>126</v>
      </c>
      <c r="H740" s="14" t="s">
        <v>127</v>
      </c>
      <c r="I740" s="14" t="s">
        <v>198</v>
      </c>
      <c r="J740" s="14" t="s">
        <v>199</v>
      </c>
      <c r="K740" s="14" t="s">
        <v>114</v>
      </c>
      <c r="L740" s="14" t="s">
        <v>200</v>
      </c>
      <c r="M740" s="14">
        <v>1</v>
      </c>
      <c r="N740" s="14">
        <v>1234.05</v>
      </c>
      <c r="O740" s="14">
        <v>760</v>
      </c>
      <c r="P740" s="14">
        <v>5</v>
      </c>
      <c r="Q740" s="14" t="s">
        <v>30</v>
      </c>
      <c r="R740" s="14" t="s">
        <v>42</v>
      </c>
      <c r="S740" s="14">
        <v>45945</v>
      </c>
      <c r="T740" s="14">
        <v>3</v>
      </c>
    </row>
    <row r="741" spans="1:20" x14ac:dyDescent="0.3">
      <c r="A741" t="s">
        <v>1320</v>
      </c>
      <c r="B741">
        <v>45900</v>
      </c>
      <c r="C741" t="s">
        <v>918</v>
      </c>
      <c r="D741" t="s">
        <v>182</v>
      </c>
      <c r="E741" t="s">
        <v>23</v>
      </c>
      <c r="F741">
        <v>48</v>
      </c>
      <c r="G741" t="s">
        <v>126</v>
      </c>
      <c r="H741" s="14" t="s">
        <v>127</v>
      </c>
      <c r="I741" s="14" t="s">
        <v>63</v>
      </c>
      <c r="J741" s="14" t="s">
        <v>64</v>
      </c>
      <c r="K741" s="14" t="s">
        <v>39</v>
      </c>
      <c r="L741" s="14" t="s">
        <v>40</v>
      </c>
      <c r="M741" s="14">
        <v>4</v>
      </c>
      <c r="N741" s="14">
        <v>2156.4</v>
      </c>
      <c r="O741" s="14">
        <v>1320</v>
      </c>
      <c r="P741" s="14">
        <v>10</v>
      </c>
      <c r="Q741" s="14" t="s">
        <v>41</v>
      </c>
      <c r="R741" s="14" t="s">
        <v>42</v>
      </c>
      <c r="S741" s="14">
        <v>45912</v>
      </c>
      <c r="T741" s="14">
        <v>4</v>
      </c>
    </row>
    <row r="742" spans="1:20" x14ac:dyDescent="0.3">
      <c r="A742" t="s">
        <v>1321</v>
      </c>
      <c r="B742">
        <v>45580</v>
      </c>
      <c r="C742" t="s">
        <v>975</v>
      </c>
      <c r="D742" t="s">
        <v>733</v>
      </c>
      <c r="E742" t="s">
        <v>77</v>
      </c>
      <c r="F742">
        <v>45</v>
      </c>
      <c r="G742" t="s">
        <v>46</v>
      </c>
      <c r="H742" s="14" t="s">
        <v>25</v>
      </c>
      <c r="I742" s="14" t="s">
        <v>134</v>
      </c>
      <c r="J742" s="14" t="s">
        <v>135</v>
      </c>
      <c r="K742" s="14" t="s">
        <v>39</v>
      </c>
      <c r="L742" s="14" t="s">
        <v>136</v>
      </c>
      <c r="M742" s="14">
        <v>3</v>
      </c>
      <c r="N742" s="14">
        <v>537.29999999999995</v>
      </c>
      <c r="O742" s="14">
        <v>270</v>
      </c>
      <c r="P742" s="14">
        <v>10</v>
      </c>
      <c r="Q742" s="14" t="s">
        <v>103</v>
      </c>
      <c r="R742" s="14" t="s">
        <v>42</v>
      </c>
      <c r="S742" s="14">
        <v>45591</v>
      </c>
      <c r="T742" s="14">
        <v>4</v>
      </c>
    </row>
    <row r="743" spans="1:20" x14ac:dyDescent="0.3">
      <c r="A743" t="s">
        <v>1322</v>
      </c>
      <c r="B743">
        <v>45313</v>
      </c>
      <c r="C743" t="s">
        <v>1064</v>
      </c>
      <c r="D743" t="s">
        <v>182</v>
      </c>
      <c r="E743" t="s">
        <v>23</v>
      </c>
      <c r="F743">
        <v>45</v>
      </c>
      <c r="G743" t="s">
        <v>90</v>
      </c>
      <c r="H743" s="14" t="s">
        <v>91</v>
      </c>
      <c r="I743" s="14" t="s">
        <v>54</v>
      </c>
      <c r="J743" s="14" t="s">
        <v>55</v>
      </c>
      <c r="K743" s="14" t="s">
        <v>28</v>
      </c>
      <c r="L743" s="14" t="s">
        <v>56</v>
      </c>
      <c r="M743" s="14">
        <v>4</v>
      </c>
      <c r="N743" s="14">
        <v>2376.6</v>
      </c>
      <c r="O743" s="14">
        <v>1640</v>
      </c>
      <c r="P743" s="14">
        <v>15</v>
      </c>
      <c r="Q743" s="14" t="s">
        <v>41</v>
      </c>
      <c r="R743" s="14" t="s">
        <v>31</v>
      </c>
      <c r="S743" s="14">
        <v>45317</v>
      </c>
      <c r="T743" s="14">
        <v>2</v>
      </c>
    </row>
    <row r="744" spans="1:20" x14ac:dyDescent="0.3">
      <c r="A744" t="s">
        <v>1323</v>
      </c>
      <c r="B744">
        <v>45702</v>
      </c>
      <c r="C744" t="s">
        <v>610</v>
      </c>
      <c r="D744" t="s">
        <v>34</v>
      </c>
      <c r="E744" t="s">
        <v>23</v>
      </c>
      <c r="F744">
        <v>31</v>
      </c>
      <c r="G744" t="s">
        <v>207</v>
      </c>
      <c r="H744" s="14" t="s">
        <v>36</v>
      </c>
      <c r="I744" s="14" t="s">
        <v>252</v>
      </c>
      <c r="J744" s="14" t="s">
        <v>253</v>
      </c>
      <c r="K744" s="14" t="s">
        <v>28</v>
      </c>
      <c r="L744" s="14" t="s">
        <v>254</v>
      </c>
      <c r="M744" s="14">
        <v>1</v>
      </c>
      <c r="N744" s="14">
        <v>2249.25</v>
      </c>
      <c r="O744" s="14">
        <v>1900</v>
      </c>
      <c r="P744" s="14">
        <v>25</v>
      </c>
      <c r="Q744" s="14" t="s">
        <v>30</v>
      </c>
      <c r="R744" s="14" t="s">
        <v>65</v>
      </c>
    </row>
    <row r="745" spans="1:20" x14ac:dyDescent="0.3">
      <c r="A745" t="s">
        <v>1324</v>
      </c>
      <c r="B745">
        <v>45412</v>
      </c>
      <c r="C745" t="s">
        <v>1009</v>
      </c>
      <c r="D745" t="s">
        <v>1010</v>
      </c>
      <c r="E745" t="s">
        <v>23</v>
      </c>
      <c r="F745">
        <v>53</v>
      </c>
      <c r="G745" t="s">
        <v>122</v>
      </c>
      <c r="H745" s="14" t="s">
        <v>123</v>
      </c>
      <c r="I745" s="14" t="s">
        <v>63</v>
      </c>
      <c r="J745" s="14" t="s">
        <v>64</v>
      </c>
      <c r="K745" s="14" t="s">
        <v>39</v>
      </c>
      <c r="L745" s="14" t="s">
        <v>40</v>
      </c>
      <c r="M745" s="14">
        <v>4</v>
      </c>
      <c r="N745" s="14">
        <v>2276.1999999999998</v>
      </c>
      <c r="O745" s="14">
        <v>1320</v>
      </c>
      <c r="P745" s="14">
        <v>5</v>
      </c>
      <c r="Q745" s="14" t="s">
        <v>30</v>
      </c>
      <c r="R745" s="14" t="s">
        <v>31</v>
      </c>
      <c r="S745" s="14">
        <v>45417</v>
      </c>
      <c r="T745" s="14">
        <v>4</v>
      </c>
    </row>
    <row r="746" spans="1:20" x14ac:dyDescent="0.3">
      <c r="A746" t="s">
        <v>1325</v>
      </c>
      <c r="B746">
        <v>45564</v>
      </c>
      <c r="C746" t="s">
        <v>83</v>
      </c>
      <c r="D746" t="s">
        <v>84</v>
      </c>
      <c r="E746" t="s">
        <v>23</v>
      </c>
      <c r="F746">
        <v>27</v>
      </c>
      <c r="G746" t="s">
        <v>101</v>
      </c>
      <c r="H746" s="14" t="s">
        <v>102</v>
      </c>
      <c r="I746" s="14" t="s">
        <v>47</v>
      </c>
      <c r="J746" s="14" t="s">
        <v>48</v>
      </c>
      <c r="K746" s="14" t="s">
        <v>39</v>
      </c>
      <c r="L746" s="14" t="s">
        <v>49</v>
      </c>
      <c r="M746" s="14">
        <v>2</v>
      </c>
      <c r="N746" s="14">
        <v>558.6</v>
      </c>
      <c r="O746" s="14">
        <v>420</v>
      </c>
      <c r="P746" s="14">
        <v>30</v>
      </c>
      <c r="Q746" s="14" t="s">
        <v>30</v>
      </c>
      <c r="R746" s="14" t="s">
        <v>65</v>
      </c>
    </row>
    <row r="747" spans="1:20" x14ac:dyDescent="0.3">
      <c r="A747" t="s">
        <v>1326</v>
      </c>
      <c r="B747">
        <v>45512</v>
      </c>
      <c r="C747" t="s">
        <v>366</v>
      </c>
      <c r="D747" t="s">
        <v>367</v>
      </c>
      <c r="E747" t="s">
        <v>77</v>
      </c>
      <c r="F747">
        <v>25</v>
      </c>
      <c r="G747" t="s">
        <v>154</v>
      </c>
      <c r="H747" s="14" t="s">
        <v>91</v>
      </c>
      <c r="I747" s="14" t="s">
        <v>134</v>
      </c>
      <c r="J747" s="14" t="s">
        <v>135</v>
      </c>
      <c r="K747" s="14" t="s">
        <v>39</v>
      </c>
      <c r="L747" s="14" t="s">
        <v>136</v>
      </c>
      <c r="M747" s="14">
        <v>2</v>
      </c>
      <c r="N747" s="14">
        <v>278.60000000000002</v>
      </c>
      <c r="O747" s="14">
        <v>180</v>
      </c>
      <c r="P747" s="14">
        <v>30</v>
      </c>
      <c r="Q747" s="14" t="s">
        <v>30</v>
      </c>
      <c r="R747" s="14" t="s">
        <v>42</v>
      </c>
      <c r="S747" s="14">
        <v>45518</v>
      </c>
      <c r="T747" s="14">
        <v>4</v>
      </c>
    </row>
    <row r="748" spans="1:20" x14ac:dyDescent="0.3">
      <c r="A748" t="s">
        <v>1327</v>
      </c>
      <c r="B748">
        <v>45533</v>
      </c>
      <c r="C748" t="s">
        <v>1091</v>
      </c>
      <c r="D748" t="s">
        <v>963</v>
      </c>
      <c r="E748" t="s">
        <v>77</v>
      </c>
      <c r="F748">
        <v>42</v>
      </c>
      <c r="G748" t="s">
        <v>90</v>
      </c>
      <c r="H748" s="14" t="s">
        <v>91</v>
      </c>
      <c r="I748" s="14" t="s">
        <v>245</v>
      </c>
      <c r="J748" s="14" t="s">
        <v>246</v>
      </c>
      <c r="K748" s="14" t="s">
        <v>130</v>
      </c>
      <c r="L748" s="14" t="s">
        <v>247</v>
      </c>
      <c r="M748" s="14">
        <v>5</v>
      </c>
      <c r="N748" s="14">
        <v>7497</v>
      </c>
      <c r="O748" s="14">
        <v>9350</v>
      </c>
      <c r="P748" s="14">
        <v>40</v>
      </c>
      <c r="Q748" s="14" t="s">
        <v>73</v>
      </c>
      <c r="R748" s="14" t="s">
        <v>42</v>
      </c>
      <c r="S748" s="14">
        <v>45542</v>
      </c>
      <c r="T748" s="14">
        <v>3</v>
      </c>
    </row>
    <row r="749" spans="1:20" x14ac:dyDescent="0.3">
      <c r="A749" t="s">
        <v>1328</v>
      </c>
      <c r="B749">
        <v>45623</v>
      </c>
      <c r="C749" t="s">
        <v>181</v>
      </c>
      <c r="D749" t="s">
        <v>182</v>
      </c>
      <c r="E749" t="s">
        <v>23</v>
      </c>
      <c r="F749">
        <v>51</v>
      </c>
      <c r="G749" t="s">
        <v>154</v>
      </c>
      <c r="H749" s="14" t="s">
        <v>91</v>
      </c>
      <c r="I749" s="14" t="s">
        <v>85</v>
      </c>
      <c r="J749" s="14" t="s">
        <v>86</v>
      </c>
      <c r="K749" s="14" t="s">
        <v>87</v>
      </c>
      <c r="L749" s="14" t="s">
        <v>88</v>
      </c>
      <c r="M749" s="14">
        <v>4</v>
      </c>
      <c r="N749" s="14">
        <v>3917.2</v>
      </c>
      <c r="O749" s="14">
        <v>3160</v>
      </c>
      <c r="P749" s="14">
        <v>30</v>
      </c>
      <c r="Q749" s="14" t="s">
        <v>50</v>
      </c>
      <c r="R749" s="14" t="s">
        <v>42</v>
      </c>
      <c r="S749" s="14">
        <v>45626</v>
      </c>
      <c r="T749" s="14">
        <v>3</v>
      </c>
    </row>
    <row r="750" spans="1:20" x14ac:dyDescent="0.3">
      <c r="A750" t="s">
        <v>1329</v>
      </c>
      <c r="B750">
        <v>45862</v>
      </c>
      <c r="C750" t="s">
        <v>67</v>
      </c>
      <c r="D750" t="s">
        <v>68</v>
      </c>
      <c r="E750" t="s">
        <v>23</v>
      </c>
      <c r="F750">
        <v>42</v>
      </c>
      <c r="G750" t="s">
        <v>24</v>
      </c>
      <c r="H750" s="14" t="s">
        <v>25</v>
      </c>
      <c r="I750" s="14" t="s">
        <v>183</v>
      </c>
      <c r="J750" s="14" t="s">
        <v>184</v>
      </c>
      <c r="K750" s="14" t="s">
        <v>130</v>
      </c>
      <c r="L750" s="14" t="s">
        <v>185</v>
      </c>
      <c r="M750" s="14">
        <v>2</v>
      </c>
      <c r="N750" s="14">
        <v>4798.8</v>
      </c>
      <c r="O750" s="14">
        <v>6100</v>
      </c>
      <c r="P750" s="14">
        <v>40</v>
      </c>
      <c r="Q750" s="14" t="s">
        <v>41</v>
      </c>
      <c r="R750" s="14" t="s">
        <v>65</v>
      </c>
    </row>
    <row r="751" spans="1:20" x14ac:dyDescent="0.3">
      <c r="A751" t="s">
        <v>1330</v>
      </c>
      <c r="B751">
        <v>45978</v>
      </c>
      <c r="C751" t="s">
        <v>235</v>
      </c>
      <c r="D751" t="s">
        <v>227</v>
      </c>
      <c r="E751" t="s">
        <v>23</v>
      </c>
      <c r="F751">
        <v>35</v>
      </c>
      <c r="G751" t="s">
        <v>161</v>
      </c>
      <c r="H751" s="14" t="s">
        <v>25</v>
      </c>
      <c r="I751" s="14" t="s">
        <v>128</v>
      </c>
      <c r="J751" s="14" t="s">
        <v>129</v>
      </c>
      <c r="K751" s="14" t="s">
        <v>130</v>
      </c>
      <c r="L751" s="14" t="s">
        <v>131</v>
      </c>
      <c r="M751" s="14">
        <v>5</v>
      </c>
      <c r="N751" s="14">
        <v>22746.5</v>
      </c>
      <c r="O751" s="14">
        <v>25500</v>
      </c>
      <c r="P751" s="14">
        <v>30</v>
      </c>
      <c r="Q751" s="14" t="s">
        <v>41</v>
      </c>
      <c r="R751" s="14" t="s">
        <v>42</v>
      </c>
      <c r="S751" s="14">
        <v>45990</v>
      </c>
      <c r="T751" s="14">
        <v>4</v>
      </c>
    </row>
    <row r="752" spans="1:20" x14ac:dyDescent="0.3">
      <c r="A752" t="s">
        <v>1331</v>
      </c>
      <c r="B752">
        <v>45427</v>
      </c>
      <c r="C752" t="s">
        <v>1332</v>
      </c>
      <c r="D752" t="s">
        <v>338</v>
      </c>
      <c r="E752" t="s">
        <v>77</v>
      </c>
      <c r="F752">
        <v>41</v>
      </c>
      <c r="G752" t="s">
        <v>24</v>
      </c>
      <c r="H752" s="14" t="s">
        <v>25</v>
      </c>
      <c r="I752" s="14" t="s">
        <v>198</v>
      </c>
      <c r="J752" s="14" t="s">
        <v>199</v>
      </c>
      <c r="K752" s="14" t="s">
        <v>114</v>
      </c>
      <c r="L752" s="14" t="s">
        <v>200</v>
      </c>
      <c r="M752" s="14">
        <v>2</v>
      </c>
      <c r="N752" s="14">
        <v>2078.4</v>
      </c>
      <c r="O752" s="14">
        <v>1520</v>
      </c>
      <c r="P752" s="14">
        <v>20</v>
      </c>
      <c r="Q752" s="14" t="s">
        <v>30</v>
      </c>
      <c r="R752" s="14" t="s">
        <v>65</v>
      </c>
    </row>
    <row r="753" spans="1:20" x14ac:dyDescent="0.3">
      <c r="A753" t="s">
        <v>1333</v>
      </c>
      <c r="B753">
        <v>45796</v>
      </c>
      <c r="C753" t="s">
        <v>345</v>
      </c>
      <c r="D753" t="s">
        <v>346</v>
      </c>
      <c r="E753" t="s">
        <v>23</v>
      </c>
      <c r="F753">
        <v>18</v>
      </c>
      <c r="G753" t="s">
        <v>61</v>
      </c>
      <c r="H753" s="14" t="s">
        <v>62</v>
      </c>
      <c r="I753" s="14" t="s">
        <v>252</v>
      </c>
      <c r="J753" s="14" t="s">
        <v>253</v>
      </c>
      <c r="K753" s="14" t="s">
        <v>28</v>
      </c>
      <c r="L753" s="14" t="s">
        <v>254</v>
      </c>
      <c r="M753" s="14">
        <v>1</v>
      </c>
      <c r="N753" s="14">
        <v>2249.25</v>
      </c>
      <c r="O753" s="14">
        <v>1900</v>
      </c>
      <c r="P753" s="14">
        <v>25</v>
      </c>
      <c r="Q753" s="14" t="s">
        <v>50</v>
      </c>
      <c r="R753" s="14" t="s">
        <v>42</v>
      </c>
      <c r="S753" s="14">
        <v>45800</v>
      </c>
      <c r="T753" s="14">
        <v>4</v>
      </c>
    </row>
    <row r="754" spans="1:20" x14ac:dyDescent="0.3">
      <c r="A754" t="s">
        <v>1334</v>
      </c>
      <c r="B754">
        <v>45411</v>
      </c>
      <c r="C754" t="s">
        <v>278</v>
      </c>
      <c r="D754" t="s">
        <v>139</v>
      </c>
      <c r="E754" t="s">
        <v>77</v>
      </c>
      <c r="F754">
        <v>32</v>
      </c>
      <c r="G754" t="s">
        <v>24</v>
      </c>
      <c r="H754" s="14" t="s">
        <v>25</v>
      </c>
      <c r="I754" s="14" t="s">
        <v>252</v>
      </c>
      <c r="J754" s="14" t="s">
        <v>253</v>
      </c>
      <c r="K754" s="14" t="s">
        <v>28</v>
      </c>
      <c r="L754" s="14" t="s">
        <v>254</v>
      </c>
      <c r="M754" s="14">
        <v>4</v>
      </c>
      <c r="N754" s="14">
        <v>9596.7999999999993</v>
      </c>
      <c r="O754" s="14">
        <v>7600</v>
      </c>
      <c r="P754" s="14">
        <v>20</v>
      </c>
      <c r="Q754" s="14" t="s">
        <v>41</v>
      </c>
      <c r="R754" s="14" t="s">
        <v>42</v>
      </c>
      <c r="S754" s="14">
        <v>45417</v>
      </c>
      <c r="T754" s="14">
        <v>4</v>
      </c>
    </row>
    <row r="755" spans="1:20" x14ac:dyDescent="0.3">
      <c r="A755" t="s">
        <v>1335</v>
      </c>
      <c r="B755">
        <v>45919</v>
      </c>
      <c r="C755" t="s">
        <v>761</v>
      </c>
      <c r="D755" t="s">
        <v>539</v>
      </c>
      <c r="E755" t="s">
        <v>23</v>
      </c>
      <c r="F755">
        <v>39</v>
      </c>
      <c r="G755" t="s">
        <v>126</v>
      </c>
      <c r="H755" s="14" t="s">
        <v>127</v>
      </c>
      <c r="I755" s="14" t="s">
        <v>134</v>
      </c>
      <c r="J755" s="14" t="s">
        <v>135</v>
      </c>
      <c r="K755" s="14" t="s">
        <v>39</v>
      </c>
      <c r="L755" s="14" t="s">
        <v>136</v>
      </c>
      <c r="M755" s="14">
        <v>2</v>
      </c>
      <c r="N755" s="14">
        <v>298.5</v>
      </c>
      <c r="O755" s="14">
        <v>180</v>
      </c>
      <c r="P755" s="14">
        <v>25</v>
      </c>
      <c r="Q755" s="14" t="s">
        <v>103</v>
      </c>
      <c r="R755" s="14" t="s">
        <v>57</v>
      </c>
      <c r="S755" s="14">
        <v>45923</v>
      </c>
      <c r="T755" s="14">
        <v>5</v>
      </c>
    </row>
    <row r="756" spans="1:20" x14ac:dyDescent="0.3">
      <c r="A756" t="s">
        <v>1336</v>
      </c>
      <c r="B756">
        <v>45346</v>
      </c>
      <c r="C756" t="s">
        <v>550</v>
      </c>
      <c r="D756" t="s">
        <v>482</v>
      </c>
      <c r="E756" t="s">
        <v>23</v>
      </c>
      <c r="F756">
        <v>33</v>
      </c>
      <c r="G756" t="s">
        <v>173</v>
      </c>
      <c r="H756" s="14" t="s">
        <v>79</v>
      </c>
      <c r="I756" s="14" t="s">
        <v>26</v>
      </c>
      <c r="J756" s="14" t="s">
        <v>27</v>
      </c>
      <c r="K756" s="14" t="s">
        <v>28</v>
      </c>
      <c r="L756" s="14" t="s">
        <v>29</v>
      </c>
      <c r="M756" s="14">
        <v>2</v>
      </c>
      <c r="N756" s="14">
        <v>2338.1999999999998</v>
      </c>
      <c r="O756" s="14">
        <v>1580</v>
      </c>
      <c r="P756" s="14">
        <v>10</v>
      </c>
      <c r="Q756" s="14" t="s">
        <v>73</v>
      </c>
      <c r="R756" s="14" t="s">
        <v>42</v>
      </c>
      <c r="S756" s="14">
        <v>45352</v>
      </c>
      <c r="T756" s="14">
        <v>3</v>
      </c>
    </row>
    <row r="757" spans="1:20" x14ac:dyDescent="0.3">
      <c r="A757" t="s">
        <v>1337</v>
      </c>
      <c r="B757">
        <v>46014</v>
      </c>
      <c r="C757" t="s">
        <v>1121</v>
      </c>
      <c r="D757" t="s">
        <v>1122</v>
      </c>
      <c r="E757" t="s">
        <v>77</v>
      </c>
      <c r="F757">
        <v>47</v>
      </c>
      <c r="G757" t="s">
        <v>122</v>
      </c>
      <c r="H757" s="14" t="s">
        <v>123</v>
      </c>
      <c r="I757" s="14" t="s">
        <v>229</v>
      </c>
      <c r="J757" s="14" t="s">
        <v>230</v>
      </c>
      <c r="K757" s="14" t="s">
        <v>28</v>
      </c>
      <c r="L757" s="14" t="s">
        <v>231</v>
      </c>
      <c r="M757" s="14">
        <v>4</v>
      </c>
      <c r="N757" s="14">
        <v>7996</v>
      </c>
      <c r="O757" s="14">
        <v>4920</v>
      </c>
      <c r="P757" s="14">
        <v>0</v>
      </c>
      <c r="Q757" s="14" t="s">
        <v>103</v>
      </c>
      <c r="R757" s="14" t="s">
        <v>42</v>
      </c>
      <c r="S757" s="14">
        <v>46024</v>
      </c>
      <c r="T757" s="14">
        <v>5</v>
      </c>
    </row>
    <row r="758" spans="1:20" x14ac:dyDescent="0.3">
      <c r="A758" t="s">
        <v>1338</v>
      </c>
      <c r="B758">
        <v>45760</v>
      </c>
      <c r="C758" t="s">
        <v>1339</v>
      </c>
      <c r="D758" t="s">
        <v>1340</v>
      </c>
      <c r="E758" t="s">
        <v>23</v>
      </c>
      <c r="F758">
        <v>25</v>
      </c>
      <c r="G758" t="s">
        <v>69</v>
      </c>
      <c r="H758" s="14" t="s">
        <v>69</v>
      </c>
      <c r="I758" s="14" t="s">
        <v>177</v>
      </c>
      <c r="J758" s="14" t="s">
        <v>178</v>
      </c>
      <c r="K758" s="14" t="s">
        <v>87</v>
      </c>
      <c r="L758" s="14" t="s">
        <v>179</v>
      </c>
      <c r="M758" s="14">
        <v>2</v>
      </c>
      <c r="N758" s="14">
        <v>4748.1000000000004</v>
      </c>
      <c r="O758" s="14">
        <v>3240</v>
      </c>
      <c r="P758" s="14">
        <v>5</v>
      </c>
      <c r="Q758" s="14" t="s">
        <v>41</v>
      </c>
      <c r="R758" s="14" t="s">
        <v>42</v>
      </c>
      <c r="S758" s="14">
        <v>45765</v>
      </c>
      <c r="T758" s="14">
        <v>4</v>
      </c>
    </row>
    <row r="759" spans="1:20" x14ac:dyDescent="0.3">
      <c r="A759" t="s">
        <v>1341</v>
      </c>
      <c r="B759">
        <v>45476</v>
      </c>
      <c r="C759" t="s">
        <v>441</v>
      </c>
      <c r="D759" t="s">
        <v>442</v>
      </c>
      <c r="E759" t="s">
        <v>77</v>
      </c>
      <c r="F759">
        <v>44</v>
      </c>
      <c r="G759" t="s">
        <v>207</v>
      </c>
      <c r="H759" s="14" t="s">
        <v>36</v>
      </c>
      <c r="I759" s="14" t="s">
        <v>198</v>
      </c>
      <c r="J759" s="14" t="s">
        <v>199</v>
      </c>
      <c r="K759" s="14" t="s">
        <v>114</v>
      </c>
      <c r="L759" s="14" t="s">
        <v>200</v>
      </c>
      <c r="M759" s="14">
        <v>5</v>
      </c>
      <c r="N759" s="14">
        <v>5520.75</v>
      </c>
      <c r="O759" s="14">
        <v>3800</v>
      </c>
      <c r="P759" s="14">
        <v>15</v>
      </c>
      <c r="Q759" s="14" t="s">
        <v>50</v>
      </c>
      <c r="R759" s="14" t="s">
        <v>42</v>
      </c>
      <c r="S759" s="14">
        <v>45486</v>
      </c>
      <c r="T759" s="14">
        <v>3</v>
      </c>
    </row>
    <row r="760" spans="1:20" x14ac:dyDescent="0.3">
      <c r="A760" t="s">
        <v>1342</v>
      </c>
      <c r="B760">
        <v>45718</v>
      </c>
      <c r="C760" t="s">
        <v>902</v>
      </c>
      <c r="D760" t="s">
        <v>303</v>
      </c>
      <c r="E760" t="s">
        <v>77</v>
      </c>
      <c r="F760">
        <v>33</v>
      </c>
      <c r="G760" t="s">
        <v>90</v>
      </c>
      <c r="H760" s="14" t="s">
        <v>91</v>
      </c>
      <c r="I760" s="14" t="s">
        <v>37</v>
      </c>
      <c r="J760" s="14" t="s">
        <v>38</v>
      </c>
      <c r="K760" s="14" t="s">
        <v>39</v>
      </c>
      <c r="L760" s="14" t="s">
        <v>40</v>
      </c>
      <c r="M760" s="14">
        <v>1</v>
      </c>
      <c r="N760" s="14">
        <v>674.25</v>
      </c>
      <c r="O760" s="14">
        <v>520</v>
      </c>
      <c r="P760" s="14">
        <v>25</v>
      </c>
      <c r="Q760" s="14" t="s">
        <v>73</v>
      </c>
      <c r="R760" s="14" t="s">
        <v>42</v>
      </c>
      <c r="S760" s="14">
        <v>45730</v>
      </c>
      <c r="T760" s="14">
        <v>3</v>
      </c>
    </row>
    <row r="761" spans="1:20" x14ac:dyDescent="0.3">
      <c r="A761" t="s">
        <v>1343</v>
      </c>
      <c r="B761">
        <v>45695</v>
      </c>
      <c r="C761" t="s">
        <v>520</v>
      </c>
      <c r="D761" t="s">
        <v>506</v>
      </c>
      <c r="E761" t="s">
        <v>77</v>
      </c>
      <c r="F761">
        <v>36</v>
      </c>
      <c r="G761" t="s">
        <v>69</v>
      </c>
      <c r="H761" s="14" t="s">
        <v>69</v>
      </c>
      <c r="I761" s="14" t="s">
        <v>183</v>
      </c>
      <c r="J761" s="14" t="s">
        <v>184</v>
      </c>
      <c r="K761" s="14" t="s">
        <v>130</v>
      </c>
      <c r="L761" s="14" t="s">
        <v>185</v>
      </c>
      <c r="M761" s="14">
        <v>2</v>
      </c>
      <c r="N761" s="14">
        <v>7998</v>
      </c>
      <c r="O761" s="14">
        <v>6100</v>
      </c>
      <c r="P761" s="14">
        <v>0</v>
      </c>
      <c r="Q761" s="14" t="s">
        <v>73</v>
      </c>
      <c r="R761" s="14" t="s">
        <v>42</v>
      </c>
      <c r="S761" s="14">
        <v>45707</v>
      </c>
      <c r="T761" s="14">
        <v>5</v>
      </c>
    </row>
    <row r="762" spans="1:20" x14ac:dyDescent="0.3">
      <c r="A762" t="s">
        <v>1344</v>
      </c>
      <c r="B762">
        <v>45756</v>
      </c>
      <c r="C762" t="s">
        <v>822</v>
      </c>
      <c r="D762" t="s">
        <v>823</v>
      </c>
      <c r="E762" t="s">
        <v>77</v>
      </c>
      <c r="F762">
        <v>49</v>
      </c>
      <c r="G762" t="s">
        <v>161</v>
      </c>
      <c r="H762" s="14" t="s">
        <v>25</v>
      </c>
      <c r="I762" s="14" t="s">
        <v>183</v>
      </c>
      <c r="J762" s="14" t="s">
        <v>184</v>
      </c>
      <c r="K762" s="14" t="s">
        <v>130</v>
      </c>
      <c r="L762" s="14" t="s">
        <v>185</v>
      </c>
      <c r="M762" s="14">
        <v>1</v>
      </c>
      <c r="N762" s="14">
        <v>2399.4</v>
      </c>
      <c r="O762" s="14">
        <v>3050</v>
      </c>
      <c r="P762" s="14">
        <v>40</v>
      </c>
      <c r="Q762" s="14" t="s">
        <v>41</v>
      </c>
      <c r="R762" s="14" t="s">
        <v>31</v>
      </c>
      <c r="S762" s="14">
        <v>45767</v>
      </c>
      <c r="T762" s="14">
        <v>3</v>
      </c>
    </row>
    <row r="763" spans="1:20" x14ac:dyDescent="0.3">
      <c r="A763" t="s">
        <v>1345</v>
      </c>
      <c r="B763">
        <v>45508</v>
      </c>
      <c r="C763" t="s">
        <v>809</v>
      </c>
      <c r="D763" t="s">
        <v>810</v>
      </c>
      <c r="E763" t="s">
        <v>77</v>
      </c>
      <c r="F763">
        <v>41</v>
      </c>
      <c r="G763" t="s">
        <v>35</v>
      </c>
      <c r="H763" s="14" t="s">
        <v>36</v>
      </c>
      <c r="I763" s="14" t="s">
        <v>183</v>
      </c>
      <c r="J763" s="14" t="s">
        <v>184</v>
      </c>
      <c r="K763" s="14" t="s">
        <v>130</v>
      </c>
      <c r="L763" s="14" t="s">
        <v>185</v>
      </c>
      <c r="M763" s="14">
        <v>1</v>
      </c>
      <c r="N763" s="14">
        <v>3799.05</v>
      </c>
      <c r="O763" s="14">
        <v>3050</v>
      </c>
      <c r="P763" s="14">
        <v>5</v>
      </c>
      <c r="Q763" s="14" t="s">
        <v>50</v>
      </c>
      <c r="R763" s="14" t="s">
        <v>65</v>
      </c>
    </row>
    <row r="764" spans="1:20" x14ac:dyDescent="0.3">
      <c r="A764" t="s">
        <v>1346</v>
      </c>
      <c r="B764">
        <v>45682</v>
      </c>
      <c r="C764" t="s">
        <v>926</v>
      </c>
      <c r="D764" t="s">
        <v>927</v>
      </c>
      <c r="E764" t="s">
        <v>23</v>
      </c>
      <c r="F764">
        <v>42</v>
      </c>
      <c r="G764" t="s">
        <v>165</v>
      </c>
      <c r="H764" s="14" t="s">
        <v>166</v>
      </c>
      <c r="I764" s="14" t="s">
        <v>128</v>
      </c>
      <c r="J764" s="14" t="s">
        <v>129</v>
      </c>
      <c r="K764" s="14" t="s">
        <v>130</v>
      </c>
      <c r="L764" s="14" t="s">
        <v>131</v>
      </c>
      <c r="M764" s="14">
        <v>2</v>
      </c>
      <c r="N764" s="14">
        <v>11048.3</v>
      </c>
      <c r="O764" s="14">
        <v>10200</v>
      </c>
      <c r="P764" s="14">
        <v>15</v>
      </c>
      <c r="Q764" s="14" t="s">
        <v>103</v>
      </c>
      <c r="R764" s="14" t="s">
        <v>42</v>
      </c>
      <c r="S764" s="14">
        <v>45684</v>
      </c>
      <c r="T764" s="14">
        <v>4</v>
      </c>
    </row>
    <row r="765" spans="1:20" x14ac:dyDescent="0.3">
      <c r="A765" t="s">
        <v>1347</v>
      </c>
      <c r="B765">
        <v>45458</v>
      </c>
      <c r="C765" t="s">
        <v>711</v>
      </c>
      <c r="D765" t="s">
        <v>712</v>
      </c>
      <c r="E765" t="s">
        <v>77</v>
      </c>
      <c r="F765">
        <v>58</v>
      </c>
      <c r="G765" t="s">
        <v>165</v>
      </c>
      <c r="H765" s="14" t="s">
        <v>166</v>
      </c>
      <c r="I765" s="14" t="s">
        <v>143</v>
      </c>
      <c r="J765" s="14" t="s">
        <v>144</v>
      </c>
      <c r="K765" s="14" t="s">
        <v>130</v>
      </c>
      <c r="L765" s="14" t="s">
        <v>131</v>
      </c>
      <c r="M765" s="14">
        <v>2</v>
      </c>
      <c r="N765" s="14">
        <v>10448.1</v>
      </c>
      <c r="O765" s="14">
        <v>8600</v>
      </c>
      <c r="P765" s="14">
        <v>5</v>
      </c>
      <c r="Q765" s="14" t="s">
        <v>41</v>
      </c>
      <c r="R765" s="14" t="s">
        <v>42</v>
      </c>
      <c r="S765" s="14">
        <v>45466</v>
      </c>
      <c r="T765" s="14">
        <v>4</v>
      </c>
    </row>
    <row r="766" spans="1:20" x14ac:dyDescent="0.3">
      <c r="A766" t="s">
        <v>1348</v>
      </c>
      <c r="B766">
        <v>45993</v>
      </c>
      <c r="C766" t="s">
        <v>632</v>
      </c>
      <c r="D766" t="s">
        <v>372</v>
      </c>
      <c r="E766" t="s">
        <v>77</v>
      </c>
      <c r="F766">
        <v>34</v>
      </c>
      <c r="G766" t="s">
        <v>211</v>
      </c>
      <c r="H766" s="14" t="s">
        <v>127</v>
      </c>
      <c r="I766" s="14" t="s">
        <v>107</v>
      </c>
      <c r="J766" s="14" t="s">
        <v>108</v>
      </c>
      <c r="K766" s="14" t="s">
        <v>87</v>
      </c>
      <c r="L766" s="14" t="s">
        <v>88</v>
      </c>
      <c r="M766" s="14">
        <v>1</v>
      </c>
      <c r="N766" s="14">
        <v>599.25</v>
      </c>
      <c r="O766" s="14">
        <v>420</v>
      </c>
      <c r="P766" s="14">
        <v>25</v>
      </c>
      <c r="Q766" s="14" t="s">
        <v>50</v>
      </c>
      <c r="R766" s="14" t="s">
        <v>42</v>
      </c>
      <c r="S766" s="14">
        <v>46002</v>
      </c>
      <c r="T766" s="14">
        <v>5</v>
      </c>
    </row>
    <row r="767" spans="1:20" x14ac:dyDescent="0.3">
      <c r="A767" t="s">
        <v>1349</v>
      </c>
      <c r="B767">
        <v>45689</v>
      </c>
      <c r="C767" t="s">
        <v>340</v>
      </c>
      <c r="D767" t="s">
        <v>341</v>
      </c>
      <c r="E767" t="s">
        <v>23</v>
      </c>
      <c r="F767">
        <v>21</v>
      </c>
      <c r="G767" t="s">
        <v>207</v>
      </c>
      <c r="H767" s="14" t="s">
        <v>36</v>
      </c>
      <c r="I767" s="14" t="s">
        <v>198</v>
      </c>
      <c r="J767" s="14" t="s">
        <v>199</v>
      </c>
      <c r="K767" s="14" t="s">
        <v>114</v>
      </c>
      <c r="L767" s="14" t="s">
        <v>200</v>
      </c>
      <c r="M767" s="14">
        <v>5</v>
      </c>
      <c r="N767" s="14">
        <v>4546.5</v>
      </c>
      <c r="O767" s="14">
        <v>3800</v>
      </c>
      <c r="P767" s="14">
        <v>30</v>
      </c>
      <c r="Q767" s="14" t="s">
        <v>73</v>
      </c>
      <c r="R767" s="14" t="s">
        <v>57</v>
      </c>
      <c r="S767" s="14">
        <v>45697</v>
      </c>
      <c r="T767" s="14">
        <v>4</v>
      </c>
    </row>
    <row r="768" spans="1:20" x14ac:dyDescent="0.3">
      <c r="A768" t="s">
        <v>1350</v>
      </c>
      <c r="B768">
        <v>45920</v>
      </c>
      <c r="C768" t="s">
        <v>390</v>
      </c>
      <c r="D768" t="s">
        <v>391</v>
      </c>
      <c r="E768" t="s">
        <v>23</v>
      </c>
      <c r="F768">
        <v>52</v>
      </c>
      <c r="G768" t="s">
        <v>122</v>
      </c>
      <c r="H768" s="14" t="s">
        <v>123</v>
      </c>
      <c r="I768" s="14" t="s">
        <v>92</v>
      </c>
      <c r="J768" s="14" t="s">
        <v>93</v>
      </c>
      <c r="K768" s="14" t="s">
        <v>87</v>
      </c>
      <c r="L768" s="14" t="s">
        <v>94</v>
      </c>
      <c r="M768" s="14">
        <v>4</v>
      </c>
      <c r="N768" s="14">
        <v>6076.2</v>
      </c>
      <c r="O768" s="14">
        <v>3720</v>
      </c>
      <c r="P768" s="14">
        <v>5</v>
      </c>
      <c r="Q768" s="14" t="s">
        <v>73</v>
      </c>
      <c r="R768" s="14" t="s">
        <v>65</v>
      </c>
    </row>
    <row r="769" spans="1:20" x14ac:dyDescent="0.3">
      <c r="A769" t="s">
        <v>1351</v>
      </c>
      <c r="B769">
        <v>45641</v>
      </c>
      <c r="C769" t="s">
        <v>1137</v>
      </c>
      <c r="D769" t="s">
        <v>1018</v>
      </c>
      <c r="E769" t="s">
        <v>23</v>
      </c>
      <c r="F769">
        <v>29</v>
      </c>
      <c r="G769" t="s">
        <v>90</v>
      </c>
      <c r="H769" s="14" t="s">
        <v>91</v>
      </c>
      <c r="I769" s="14" t="s">
        <v>92</v>
      </c>
      <c r="J769" s="14" t="s">
        <v>93</v>
      </c>
      <c r="K769" s="14" t="s">
        <v>87</v>
      </c>
      <c r="L769" s="14" t="s">
        <v>94</v>
      </c>
      <c r="M769" s="14">
        <v>2</v>
      </c>
      <c r="N769" s="14">
        <v>1918.8</v>
      </c>
      <c r="O769" s="14">
        <v>1860</v>
      </c>
      <c r="P769" s="14">
        <v>40</v>
      </c>
      <c r="Q769" s="14" t="s">
        <v>50</v>
      </c>
      <c r="R769" s="14" t="s">
        <v>31</v>
      </c>
      <c r="S769" s="14">
        <v>45653</v>
      </c>
      <c r="T769" s="14">
        <v>3</v>
      </c>
    </row>
    <row r="770" spans="1:20" x14ac:dyDescent="0.3">
      <c r="A770" t="s">
        <v>1352</v>
      </c>
      <c r="B770">
        <v>45589</v>
      </c>
      <c r="C770" t="s">
        <v>1121</v>
      </c>
      <c r="D770" t="s">
        <v>1122</v>
      </c>
      <c r="E770" t="s">
        <v>77</v>
      </c>
      <c r="F770">
        <v>47</v>
      </c>
      <c r="G770" t="s">
        <v>122</v>
      </c>
      <c r="H770" s="14" t="s">
        <v>123</v>
      </c>
      <c r="I770" s="14" t="s">
        <v>54</v>
      </c>
      <c r="J770" s="14" t="s">
        <v>55</v>
      </c>
      <c r="K770" s="14" t="s">
        <v>28</v>
      </c>
      <c r="L770" s="14" t="s">
        <v>56</v>
      </c>
      <c r="M770" s="14">
        <v>4</v>
      </c>
      <c r="N770" s="14">
        <v>2236.8000000000002</v>
      </c>
      <c r="O770" s="14">
        <v>1640</v>
      </c>
      <c r="P770" s="14">
        <v>20</v>
      </c>
      <c r="Q770" s="14" t="s">
        <v>30</v>
      </c>
      <c r="R770" s="14" t="s">
        <v>42</v>
      </c>
      <c r="S770" s="14">
        <v>45601</v>
      </c>
      <c r="T770" s="14">
        <v>4</v>
      </c>
    </row>
    <row r="771" spans="1:20" x14ac:dyDescent="0.3">
      <c r="A771" t="s">
        <v>1353</v>
      </c>
      <c r="B771">
        <v>45546</v>
      </c>
      <c r="C771" t="s">
        <v>758</v>
      </c>
      <c r="D771" t="s">
        <v>635</v>
      </c>
      <c r="E771" t="s">
        <v>77</v>
      </c>
      <c r="F771">
        <v>57</v>
      </c>
      <c r="G771" t="s">
        <v>122</v>
      </c>
      <c r="H771" s="14" t="s">
        <v>123</v>
      </c>
      <c r="I771" s="14" t="s">
        <v>143</v>
      </c>
      <c r="J771" s="14" t="s">
        <v>144</v>
      </c>
      <c r="K771" s="14" t="s">
        <v>130</v>
      </c>
      <c r="L771" s="14" t="s">
        <v>131</v>
      </c>
      <c r="M771" s="14">
        <v>5</v>
      </c>
      <c r="N771" s="14">
        <v>27495</v>
      </c>
      <c r="O771" s="14">
        <v>21500</v>
      </c>
      <c r="P771" s="14">
        <v>0</v>
      </c>
      <c r="Q771" s="14" t="s">
        <v>50</v>
      </c>
      <c r="R771" s="14" t="s">
        <v>42</v>
      </c>
      <c r="S771" s="14">
        <v>45548</v>
      </c>
      <c r="T771" s="14">
        <v>3</v>
      </c>
    </row>
    <row r="772" spans="1:20" x14ac:dyDescent="0.3">
      <c r="A772" t="s">
        <v>1354</v>
      </c>
      <c r="B772">
        <v>45814</v>
      </c>
      <c r="C772" t="s">
        <v>205</v>
      </c>
      <c r="D772" t="s">
        <v>206</v>
      </c>
      <c r="E772" t="s">
        <v>77</v>
      </c>
      <c r="F772">
        <v>26</v>
      </c>
      <c r="G772" t="s">
        <v>122</v>
      </c>
      <c r="H772" s="14" t="s">
        <v>123</v>
      </c>
      <c r="I772" s="14" t="s">
        <v>229</v>
      </c>
      <c r="J772" s="14" t="s">
        <v>230</v>
      </c>
      <c r="K772" s="14" t="s">
        <v>28</v>
      </c>
      <c r="L772" s="14" t="s">
        <v>231</v>
      </c>
      <c r="M772" s="14">
        <v>4</v>
      </c>
      <c r="N772" s="14">
        <v>6396.8</v>
      </c>
      <c r="O772" s="14">
        <v>4920</v>
      </c>
      <c r="P772" s="14">
        <v>20</v>
      </c>
      <c r="Q772" s="14" t="s">
        <v>41</v>
      </c>
      <c r="R772" s="14" t="s">
        <v>42</v>
      </c>
      <c r="S772" s="14">
        <v>45825</v>
      </c>
      <c r="T772" s="14">
        <v>3</v>
      </c>
    </row>
    <row r="773" spans="1:20" x14ac:dyDescent="0.3">
      <c r="A773" t="s">
        <v>1355</v>
      </c>
      <c r="B773">
        <v>45807</v>
      </c>
      <c r="C773" t="s">
        <v>555</v>
      </c>
      <c r="D773" t="s">
        <v>556</v>
      </c>
      <c r="E773" t="s">
        <v>23</v>
      </c>
      <c r="F773">
        <v>52</v>
      </c>
      <c r="G773" t="s">
        <v>69</v>
      </c>
      <c r="H773" s="14" t="s">
        <v>69</v>
      </c>
      <c r="I773" s="14" t="s">
        <v>177</v>
      </c>
      <c r="J773" s="14" t="s">
        <v>178</v>
      </c>
      <c r="K773" s="14" t="s">
        <v>87</v>
      </c>
      <c r="L773" s="14" t="s">
        <v>179</v>
      </c>
      <c r="M773" s="14">
        <v>4</v>
      </c>
      <c r="N773" s="14">
        <v>8996.4</v>
      </c>
      <c r="O773" s="14">
        <v>6480</v>
      </c>
      <c r="P773" s="14">
        <v>10</v>
      </c>
      <c r="Q773" s="14" t="s">
        <v>30</v>
      </c>
      <c r="R773" s="14" t="s">
        <v>57</v>
      </c>
      <c r="S773" s="14">
        <v>45815</v>
      </c>
      <c r="T773" s="14">
        <v>2</v>
      </c>
    </row>
    <row r="774" spans="1:20" x14ac:dyDescent="0.3">
      <c r="A774" t="s">
        <v>1356</v>
      </c>
      <c r="B774">
        <v>45377</v>
      </c>
      <c r="C774" t="s">
        <v>546</v>
      </c>
      <c r="D774" t="s">
        <v>547</v>
      </c>
      <c r="E774" t="s">
        <v>77</v>
      </c>
      <c r="F774">
        <v>33</v>
      </c>
      <c r="G774" t="s">
        <v>35</v>
      </c>
      <c r="H774" s="14" t="s">
        <v>36</v>
      </c>
      <c r="I774" s="14" t="s">
        <v>183</v>
      </c>
      <c r="J774" s="14" t="s">
        <v>184</v>
      </c>
      <c r="K774" s="14" t="s">
        <v>130</v>
      </c>
      <c r="L774" s="14" t="s">
        <v>185</v>
      </c>
      <c r="M774" s="14">
        <v>5</v>
      </c>
      <c r="N774" s="14">
        <v>11997</v>
      </c>
      <c r="O774" s="14">
        <v>15250</v>
      </c>
      <c r="P774" s="14">
        <v>40</v>
      </c>
      <c r="Q774" s="14" t="s">
        <v>103</v>
      </c>
      <c r="R774" s="14" t="s">
        <v>65</v>
      </c>
    </row>
    <row r="775" spans="1:20" x14ac:dyDescent="0.3">
      <c r="A775" t="s">
        <v>1357</v>
      </c>
      <c r="B775">
        <v>45563</v>
      </c>
      <c r="C775" t="s">
        <v>450</v>
      </c>
      <c r="D775" t="s">
        <v>451</v>
      </c>
      <c r="E775" t="s">
        <v>77</v>
      </c>
      <c r="F775">
        <v>30</v>
      </c>
      <c r="G775" t="s">
        <v>78</v>
      </c>
      <c r="H775" s="14" t="s">
        <v>79</v>
      </c>
      <c r="I775" s="14" t="s">
        <v>70</v>
      </c>
      <c r="J775" s="14" t="s">
        <v>71</v>
      </c>
      <c r="K775" s="14" t="s">
        <v>28</v>
      </c>
      <c r="L775" s="14" t="s">
        <v>72</v>
      </c>
      <c r="M775" s="14">
        <v>2</v>
      </c>
      <c r="N775" s="14">
        <v>2848.1</v>
      </c>
      <c r="O775" s="14">
        <v>1840</v>
      </c>
      <c r="P775" s="14">
        <v>5</v>
      </c>
      <c r="Q775" s="14" t="s">
        <v>50</v>
      </c>
      <c r="R775" s="14" t="s">
        <v>42</v>
      </c>
      <c r="S775" s="14">
        <v>45575</v>
      </c>
      <c r="T775" s="14">
        <v>3</v>
      </c>
    </row>
    <row r="776" spans="1:20" x14ac:dyDescent="0.3">
      <c r="A776" t="s">
        <v>1358</v>
      </c>
      <c r="B776">
        <v>45736</v>
      </c>
      <c r="C776" t="s">
        <v>640</v>
      </c>
      <c r="D776" t="s">
        <v>349</v>
      </c>
      <c r="E776" t="s">
        <v>23</v>
      </c>
      <c r="F776">
        <v>42</v>
      </c>
      <c r="G776" t="s">
        <v>161</v>
      </c>
      <c r="H776" s="14" t="s">
        <v>25</v>
      </c>
      <c r="I776" s="14" t="s">
        <v>80</v>
      </c>
      <c r="J776" s="14" t="s">
        <v>81</v>
      </c>
      <c r="K776" s="14" t="s">
        <v>28</v>
      </c>
      <c r="L776" s="14" t="s">
        <v>29</v>
      </c>
      <c r="M776" s="14">
        <v>4</v>
      </c>
      <c r="N776" s="14">
        <v>3036.2</v>
      </c>
      <c r="O776" s="14">
        <v>1880</v>
      </c>
      <c r="P776" s="14">
        <v>5</v>
      </c>
      <c r="Q776" s="14" t="s">
        <v>73</v>
      </c>
      <c r="R776" s="14" t="s">
        <v>42</v>
      </c>
      <c r="S776" s="14">
        <v>45748</v>
      </c>
      <c r="T776" s="14">
        <v>5</v>
      </c>
    </row>
    <row r="777" spans="1:20" x14ac:dyDescent="0.3">
      <c r="A777" t="s">
        <v>1359</v>
      </c>
      <c r="B777">
        <v>45763</v>
      </c>
      <c r="C777" t="s">
        <v>412</v>
      </c>
      <c r="D777" t="s">
        <v>413</v>
      </c>
      <c r="E777" t="s">
        <v>77</v>
      </c>
      <c r="F777">
        <v>38</v>
      </c>
      <c r="G777" t="s">
        <v>101</v>
      </c>
      <c r="H777" s="14" t="s">
        <v>102</v>
      </c>
      <c r="I777" s="14" t="s">
        <v>143</v>
      </c>
      <c r="J777" s="14" t="s">
        <v>144</v>
      </c>
      <c r="K777" s="14" t="s">
        <v>130</v>
      </c>
      <c r="L777" s="14" t="s">
        <v>131</v>
      </c>
      <c r="M777" s="14">
        <v>5</v>
      </c>
      <c r="N777" s="14">
        <v>20621.25</v>
      </c>
      <c r="O777" s="14">
        <v>21500</v>
      </c>
      <c r="P777" s="14">
        <v>25</v>
      </c>
      <c r="Q777" s="14" t="s">
        <v>103</v>
      </c>
      <c r="R777" s="14" t="s">
        <v>57</v>
      </c>
      <c r="S777" s="14">
        <v>45769</v>
      </c>
      <c r="T777" s="14">
        <v>3</v>
      </c>
    </row>
    <row r="778" spans="1:20" x14ac:dyDescent="0.3">
      <c r="A778" t="s">
        <v>1360</v>
      </c>
      <c r="B778">
        <v>45420</v>
      </c>
      <c r="C778" t="s">
        <v>693</v>
      </c>
      <c r="D778" t="s">
        <v>694</v>
      </c>
      <c r="E778" t="s">
        <v>23</v>
      </c>
      <c r="F778">
        <v>30</v>
      </c>
      <c r="G778" t="s">
        <v>161</v>
      </c>
      <c r="H778" s="14" t="s">
        <v>25</v>
      </c>
      <c r="I778" s="14" t="s">
        <v>70</v>
      </c>
      <c r="J778" s="14" t="s">
        <v>71</v>
      </c>
      <c r="K778" s="14" t="s">
        <v>28</v>
      </c>
      <c r="L778" s="14" t="s">
        <v>72</v>
      </c>
      <c r="M778" s="14">
        <v>1</v>
      </c>
      <c r="N778" s="14">
        <v>1499</v>
      </c>
      <c r="O778" s="14">
        <v>920</v>
      </c>
      <c r="P778" s="14">
        <v>0</v>
      </c>
      <c r="Q778" s="14" t="s">
        <v>30</v>
      </c>
      <c r="R778" s="14" t="s">
        <v>57</v>
      </c>
      <c r="S778" s="14">
        <v>45422</v>
      </c>
      <c r="T778" s="14">
        <v>4</v>
      </c>
    </row>
    <row r="779" spans="1:20" x14ac:dyDescent="0.3">
      <c r="A779" t="s">
        <v>1361</v>
      </c>
      <c r="B779">
        <v>45784</v>
      </c>
      <c r="C779" t="s">
        <v>193</v>
      </c>
      <c r="D779" t="s">
        <v>194</v>
      </c>
      <c r="E779" t="s">
        <v>23</v>
      </c>
      <c r="F779">
        <v>19</v>
      </c>
      <c r="G779" t="s">
        <v>90</v>
      </c>
      <c r="H779" s="14" t="s">
        <v>91</v>
      </c>
      <c r="I779" s="14" t="s">
        <v>134</v>
      </c>
      <c r="J779" s="14" t="s">
        <v>135</v>
      </c>
      <c r="K779" s="14" t="s">
        <v>39</v>
      </c>
      <c r="L779" s="14" t="s">
        <v>136</v>
      </c>
      <c r="M779" s="14">
        <v>5</v>
      </c>
      <c r="N779" s="14">
        <v>845.75</v>
      </c>
      <c r="O779" s="14">
        <v>450</v>
      </c>
      <c r="P779" s="14">
        <v>15</v>
      </c>
      <c r="Q779" s="14" t="s">
        <v>73</v>
      </c>
      <c r="R779" s="14" t="s">
        <v>42</v>
      </c>
      <c r="S779" s="14">
        <v>45793</v>
      </c>
      <c r="T779" s="14">
        <v>3</v>
      </c>
    </row>
    <row r="780" spans="1:20" x14ac:dyDescent="0.3">
      <c r="A780" t="s">
        <v>1362</v>
      </c>
      <c r="B780">
        <v>45777</v>
      </c>
      <c r="C780" t="s">
        <v>354</v>
      </c>
      <c r="D780" t="s">
        <v>355</v>
      </c>
      <c r="E780" t="s">
        <v>77</v>
      </c>
      <c r="F780">
        <v>38</v>
      </c>
      <c r="G780" t="s">
        <v>161</v>
      </c>
      <c r="H780" s="14" t="s">
        <v>25</v>
      </c>
      <c r="I780" s="14" t="s">
        <v>229</v>
      </c>
      <c r="J780" s="14" t="s">
        <v>230</v>
      </c>
      <c r="K780" s="14" t="s">
        <v>28</v>
      </c>
      <c r="L780" s="14" t="s">
        <v>231</v>
      </c>
      <c r="M780" s="14">
        <v>2</v>
      </c>
      <c r="N780" s="14">
        <v>3598.2</v>
      </c>
      <c r="O780" s="14">
        <v>2460</v>
      </c>
      <c r="P780" s="14">
        <v>10</v>
      </c>
      <c r="Q780" s="14" t="s">
        <v>103</v>
      </c>
      <c r="R780" s="14" t="s">
        <v>42</v>
      </c>
      <c r="S780" s="14">
        <v>45786</v>
      </c>
      <c r="T780" s="14">
        <v>2</v>
      </c>
    </row>
    <row r="781" spans="1:20" x14ac:dyDescent="0.3">
      <c r="A781" t="s">
        <v>1363</v>
      </c>
      <c r="B781">
        <v>45752</v>
      </c>
      <c r="C781" t="s">
        <v>788</v>
      </c>
      <c r="D781" t="s">
        <v>789</v>
      </c>
      <c r="E781" t="s">
        <v>77</v>
      </c>
      <c r="F781">
        <v>52</v>
      </c>
      <c r="G781" t="s">
        <v>90</v>
      </c>
      <c r="H781" s="14" t="s">
        <v>91</v>
      </c>
      <c r="I781" s="14" t="s">
        <v>70</v>
      </c>
      <c r="J781" s="14" t="s">
        <v>71</v>
      </c>
      <c r="K781" s="14" t="s">
        <v>28</v>
      </c>
      <c r="L781" s="14" t="s">
        <v>72</v>
      </c>
      <c r="M781" s="14">
        <v>3</v>
      </c>
      <c r="N781" s="14">
        <v>3147.9</v>
      </c>
      <c r="O781" s="14">
        <v>2760</v>
      </c>
      <c r="P781" s="14">
        <v>30</v>
      </c>
      <c r="Q781" s="14" t="s">
        <v>73</v>
      </c>
      <c r="R781" s="14" t="s">
        <v>42</v>
      </c>
      <c r="S781" s="14">
        <v>45754</v>
      </c>
      <c r="T781" s="14">
        <v>3</v>
      </c>
    </row>
    <row r="782" spans="1:20" x14ac:dyDescent="0.3">
      <c r="A782" t="s">
        <v>1364</v>
      </c>
      <c r="B782">
        <v>45937</v>
      </c>
      <c r="C782" t="s">
        <v>1146</v>
      </c>
      <c r="D782" t="s">
        <v>1147</v>
      </c>
      <c r="E782" t="s">
        <v>77</v>
      </c>
      <c r="F782">
        <v>47</v>
      </c>
      <c r="G782" t="s">
        <v>122</v>
      </c>
      <c r="H782" s="14" t="s">
        <v>123</v>
      </c>
      <c r="I782" s="14" t="s">
        <v>37</v>
      </c>
      <c r="J782" s="14" t="s">
        <v>38</v>
      </c>
      <c r="K782" s="14" t="s">
        <v>39</v>
      </c>
      <c r="L782" s="14" t="s">
        <v>40</v>
      </c>
      <c r="M782" s="14">
        <v>5</v>
      </c>
      <c r="N782" s="14">
        <v>3596</v>
      </c>
      <c r="O782" s="14">
        <v>2600</v>
      </c>
      <c r="P782" s="14">
        <v>20</v>
      </c>
      <c r="Q782" s="14" t="s">
        <v>73</v>
      </c>
      <c r="R782" s="14" t="s">
        <v>42</v>
      </c>
      <c r="S782" s="14">
        <v>45945</v>
      </c>
      <c r="T782" s="14">
        <v>5</v>
      </c>
    </row>
    <row r="783" spans="1:20" x14ac:dyDescent="0.3">
      <c r="A783" t="s">
        <v>1365</v>
      </c>
      <c r="B783">
        <v>45817</v>
      </c>
      <c r="C783" t="s">
        <v>563</v>
      </c>
      <c r="D783" t="s">
        <v>53</v>
      </c>
      <c r="E783" t="s">
        <v>23</v>
      </c>
      <c r="F783">
        <v>47</v>
      </c>
      <c r="G783" t="s">
        <v>90</v>
      </c>
      <c r="H783" s="14" t="s">
        <v>91</v>
      </c>
      <c r="I783" s="14" t="s">
        <v>85</v>
      </c>
      <c r="J783" s="14" t="s">
        <v>86</v>
      </c>
      <c r="K783" s="14" t="s">
        <v>87</v>
      </c>
      <c r="L783" s="14" t="s">
        <v>88</v>
      </c>
      <c r="M783" s="14">
        <v>1</v>
      </c>
      <c r="N783" s="14">
        <v>1399</v>
      </c>
      <c r="O783" s="14">
        <v>790</v>
      </c>
      <c r="P783" s="14">
        <v>0</v>
      </c>
      <c r="Q783" s="14" t="s">
        <v>103</v>
      </c>
      <c r="R783" s="14" t="s">
        <v>65</v>
      </c>
    </row>
    <row r="784" spans="1:20" x14ac:dyDescent="0.3">
      <c r="A784" t="s">
        <v>1366</v>
      </c>
      <c r="B784">
        <v>45615</v>
      </c>
      <c r="C784" t="s">
        <v>429</v>
      </c>
      <c r="D784" t="s">
        <v>315</v>
      </c>
      <c r="E784" t="s">
        <v>77</v>
      </c>
      <c r="F784">
        <v>23</v>
      </c>
      <c r="G784" t="s">
        <v>46</v>
      </c>
      <c r="H784" s="14" t="s">
        <v>25</v>
      </c>
      <c r="I784" s="14" t="s">
        <v>128</v>
      </c>
      <c r="J784" s="14" t="s">
        <v>129</v>
      </c>
      <c r="K784" s="14" t="s">
        <v>130</v>
      </c>
      <c r="L784" s="14" t="s">
        <v>131</v>
      </c>
      <c r="M784" s="14">
        <v>4</v>
      </c>
      <c r="N784" s="14">
        <v>15597.6</v>
      </c>
      <c r="O784" s="14">
        <v>20400</v>
      </c>
      <c r="P784" s="14">
        <v>40</v>
      </c>
      <c r="Q784" s="14" t="s">
        <v>73</v>
      </c>
      <c r="R784" s="14" t="s">
        <v>42</v>
      </c>
      <c r="S784" s="14">
        <v>45626</v>
      </c>
      <c r="T784" s="14">
        <v>4</v>
      </c>
    </row>
    <row r="785" spans="1:20" x14ac:dyDescent="0.3">
      <c r="A785" t="s">
        <v>1367</v>
      </c>
      <c r="B785">
        <v>45751</v>
      </c>
      <c r="C785" t="s">
        <v>665</v>
      </c>
      <c r="D785" t="s">
        <v>666</v>
      </c>
      <c r="E785" t="s">
        <v>77</v>
      </c>
      <c r="F785">
        <v>55</v>
      </c>
      <c r="G785" t="s">
        <v>161</v>
      </c>
      <c r="H785" s="14" t="s">
        <v>25</v>
      </c>
      <c r="I785" s="14" t="s">
        <v>319</v>
      </c>
      <c r="J785" s="14" t="s">
        <v>320</v>
      </c>
      <c r="K785" s="14" t="s">
        <v>28</v>
      </c>
      <c r="L785" s="14" t="s">
        <v>29</v>
      </c>
      <c r="M785" s="14">
        <v>3</v>
      </c>
      <c r="N785" s="14">
        <v>3057.45</v>
      </c>
      <c r="O785" s="14">
        <v>2130</v>
      </c>
      <c r="P785" s="14">
        <v>15</v>
      </c>
      <c r="Q785" s="14" t="s">
        <v>103</v>
      </c>
      <c r="R785" s="14" t="s">
        <v>42</v>
      </c>
      <c r="S785" s="14">
        <v>45760</v>
      </c>
      <c r="T785" s="14">
        <v>4</v>
      </c>
    </row>
    <row r="786" spans="1:20" x14ac:dyDescent="0.3">
      <c r="A786" t="s">
        <v>1368</v>
      </c>
      <c r="B786">
        <v>45811</v>
      </c>
      <c r="C786" t="s">
        <v>215</v>
      </c>
      <c r="D786" t="s">
        <v>147</v>
      </c>
      <c r="E786" t="s">
        <v>23</v>
      </c>
      <c r="F786">
        <v>33</v>
      </c>
      <c r="G786" t="s">
        <v>126</v>
      </c>
      <c r="H786" s="14" t="s">
        <v>127</v>
      </c>
      <c r="I786" s="14" t="s">
        <v>155</v>
      </c>
      <c r="J786" s="14" t="s">
        <v>156</v>
      </c>
      <c r="K786" s="14" t="s">
        <v>114</v>
      </c>
      <c r="L786" s="14" t="s">
        <v>157</v>
      </c>
      <c r="M786" s="14">
        <v>4</v>
      </c>
      <c r="N786" s="14">
        <v>3596.4</v>
      </c>
      <c r="O786" s="14">
        <v>2440</v>
      </c>
      <c r="P786" s="14">
        <v>10</v>
      </c>
      <c r="Q786" s="14" t="s">
        <v>41</v>
      </c>
      <c r="R786" s="14" t="s">
        <v>31</v>
      </c>
      <c r="S786" s="14">
        <v>45819</v>
      </c>
      <c r="T786" s="14">
        <v>5</v>
      </c>
    </row>
    <row r="787" spans="1:20" x14ac:dyDescent="0.3">
      <c r="A787" t="s">
        <v>1369</v>
      </c>
      <c r="B787">
        <v>45981</v>
      </c>
      <c r="C787" t="s">
        <v>514</v>
      </c>
      <c r="D787" t="s">
        <v>515</v>
      </c>
      <c r="E787" t="s">
        <v>23</v>
      </c>
      <c r="F787">
        <v>37</v>
      </c>
      <c r="G787" t="s">
        <v>101</v>
      </c>
      <c r="H787" s="14" t="s">
        <v>102</v>
      </c>
      <c r="I787" s="14" t="s">
        <v>319</v>
      </c>
      <c r="J787" s="14" t="s">
        <v>320</v>
      </c>
      <c r="K787" s="14" t="s">
        <v>28</v>
      </c>
      <c r="L787" s="14" t="s">
        <v>29</v>
      </c>
      <c r="M787" s="14">
        <v>5</v>
      </c>
      <c r="N787" s="14">
        <v>5095.75</v>
      </c>
      <c r="O787" s="14">
        <v>3550</v>
      </c>
      <c r="P787" s="14">
        <v>15</v>
      </c>
      <c r="Q787" s="14" t="s">
        <v>41</v>
      </c>
      <c r="R787" s="14" t="s">
        <v>31</v>
      </c>
      <c r="S787" s="14">
        <v>45984</v>
      </c>
      <c r="T787" s="14">
        <v>5</v>
      </c>
    </row>
    <row r="788" spans="1:20" x14ac:dyDescent="0.3">
      <c r="A788" t="s">
        <v>1370</v>
      </c>
      <c r="B788">
        <v>45424</v>
      </c>
      <c r="C788" t="s">
        <v>863</v>
      </c>
      <c r="D788" t="s">
        <v>380</v>
      </c>
      <c r="E788" t="s">
        <v>77</v>
      </c>
      <c r="F788">
        <v>24</v>
      </c>
      <c r="G788" t="s">
        <v>154</v>
      </c>
      <c r="H788" s="14" t="s">
        <v>91</v>
      </c>
      <c r="I788" s="14" t="s">
        <v>319</v>
      </c>
      <c r="J788" s="14" t="s">
        <v>320</v>
      </c>
      <c r="K788" s="14" t="s">
        <v>28</v>
      </c>
      <c r="L788" s="14" t="s">
        <v>29</v>
      </c>
      <c r="M788" s="14">
        <v>5</v>
      </c>
      <c r="N788" s="14">
        <v>3597</v>
      </c>
      <c r="O788" s="14">
        <v>3550</v>
      </c>
      <c r="P788" s="14">
        <v>40</v>
      </c>
      <c r="Q788" s="14" t="s">
        <v>73</v>
      </c>
      <c r="R788" s="14" t="s">
        <v>57</v>
      </c>
      <c r="S788" s="14">
        <v>45432</v>
      </c>
      <c r="T788" s="14">
        <v>5</v>
      </c>
    </row>
    <row r="789" spans="1:20" x14ac:dyDescent="0.3">
      <c r="A789" t="s">
        <v>1371</v>
      </c>
      <c r="B789">
        <v>45602</v>
      </c>
      <c r="C789" t="s">
        <v>752</v>
      </c>
      <c r="D789" t="s">
        <v>250</v>
      </c>
      <c r="E789" t="s">
        <v>23</v>
      </c>
      <c r="F789">
        <v>37</v>
      </c>
      <c r="G789" t="s">
        <v>154</v>
      </c>
      <c r="H789" s="14" t="s">
        <v>91</v>
      </c>
      <c r="I789" s="14" t="s">
        <v>222</v>
      </c>
      <c r="J789" s="14" t="s">
        <v>223</v>
      </c>
      <c r="K789" s="14" t="s">
        <v>114</v>
      </c>
      <c r="L789" s="14" t="s">
        <v>115</v>
      </c>
      <c r="M789" s="14">
        <v>1</v>
      </c>
      <c r="N789" s="14">
        <v>899</v>
      </c>
      <c r="O789" s="14">
        <v>510</v>
      </c>
      <c r="P789" s="14">
        <v>0</v>
      </c>
      <c r="Q789" s="14" t="s">
        <v>41</v>
      </c>
      <c r="R789" s="14" t="s">
        <v>42</v>
      </c>
      <c r="S789" s="14">
        <v>45609</v>
      </c>
      <c r="T789" s="14">
        <v>3</v>
      </c>
    </row>
    <row r="790" spans="1:20" x14ac:dyDescent="0.3">
      <c r="A790" t="s">
        <v>1372</v>
      </c>
      <c r="B790">
        <v>45470</v>
      </c>
      <c r="C790" t="s">
        <v>681</v>
      </c>
      <c r="D790" t="s">
        <v>203</v>
      </c>
      <c r="E790" t="s">
        <v>23</v>
      </c>
      <c r="F790">
        <v>58</v>
      </c>
      <c r="G790" t="s">
        <v>24</v>
      </c>
      <c r="H790" s="14" t="s">
        <v>25</v>
      </c>
      <c r="I790" s="14" t="s">
        <v>54</v>
      </c>
      <c r="J790" s="14" t="s">
        <v>55</v>
      </c>
      <c r="K790" s="14" t="s">
        <v>28</v>
      </c>
      <c r="L790" s="14" t="s">
        <v>56</v>
      </c>
      <c r="M790" s="14">
        <v>3</v>
      </c>
      <c r="N790" s="14">
        <v>1467.9</v>
      </c>
      <c r="O790" s="14">
        <v>1230</v>
      </c>
      <c r="P790" s="14">
        <v>30</v>
      </c>
      <c r="Q790" s="14" t="s">
        <v>73</v>
      </c>
      <c r="R790" s="14" t="s">
        <v>65</v>
      </c>
    </row>
    <row r="791" spans="1:20" x14ac:dyDescent="0.3">
      <c r="A791" t="s">
        <v>1373</v>
      </c>
      <c r="B791">
        <v>45524</v>
      </c>
      <c r="C791" t="s">
        <v>962</v>
      </c>
      <c r="D791" t="s">
        <v>963</v>
      </c>
      <c r="E791" t="s">
        <v>77</v>
      </c>
      <c r="F791">
        <v>25</v>
      </c>
      <c r="G791" t="s">
        <v>90</v>
      </c>
      <c r="H791" s="14" t="s">
        <v>91</v>
      </c>
      <c r="I791" s="14" t="s">
        <v>37</v>
      </c>
      <c r="J791" s="14" t="s">
        <v>38</v>
      </c>
      <c r="K791" s="14" t="s">
        <v>39</v>
      </c>
      <c r="L791" s="14" t="s">
        <v>40</v>
      </c>
      <c r="M791" s="14">
        <v>3</v>
      </c>
      <c r="N791" s="14">
        <v>2022.75</v>
      </c>
      <c r="O791" s="14">
        <v>1560</v>
      </c>
      <c r="P791" s="14">
        <v>25</v>
      </c>
      <c r="Q791" s="14" t="s">
        <v>41</v>
      </c>
      <c r="R791" s="14" t="s">
        <v>57</v>
      </c>
      <c r="S791" s="14">
        <v>45526</v>
      </c>
      <c r="T791" s="14">
        <v>4</v>
      </c>
    </row>
    <row r="792" spans="1:20" x14ac:dyDescent="0.3">
      <c r="A792" t="s">
        <v>1374</v>
      </c>
      <c r="B792">
        <v>45446</v>
      </c>
      <c r="C792" t="s">
        <v>1375</v>
      </c>
      <c r="D792" t="s">
        <v>385</v>
      </c>
      <c r="E792" t="s">
        <v>23</v>
      </c>
      <c r="F792">
        <v>49</v>
      </c>
      <c r="G792" t="s">
        <v>69</v>
      </c>
      <c r="H792" s="14" t="s">
        <v>69</v>
      </c>
      <c r="I792" s="14" t="s">
        <v>85</v>
      </c>
      <c r="J792" s="14" t="s">
        <v>86</v>
      </c>
      <c r="K792" s="14" t="s">
        <v>87</v>
      </c>
      <c r="L792" s="14" t="s">
        <v>88</v>
      </c>
      <c r="M792" s="14">
        <v>1</v>
      </c>
      <c r="N792" s="14">
        <v>839.4</v>
      </c>
      <c r="O792" s="14">
        <v>790</v>
      </c>
      <c r="P792" s="14">
        <v>40</v>
      </c>
      <c r="Q792" s="14" t="s">
        <v>103</v>
      </c>
      <c r="R792" s="14" t="s">
        <v>57</v>
      </c>
      <c r="S792" s="14">
        <v>45449</v>
      </c>
      <c r="T792" s="14">
        <v>3</v>
      </c>
    </row>
    <row r="793" spans="1:20" x14ac:dyDescent="0.3">
      <c r="A793" t="s">
        <v>1376</v>
      </c>
      <c r="B793">
        <v>45917</v>
      </c>
      <c r="C793" t="s">
        <v>650</v>
      </c>
      <c r="D793" t="s">
        <v>638</v>
      </c>
      <c r="E793" t="s">
        <v>77</v>
      </c>
      <c r="F793">
        <v>25</v>
      </c>
      <c r="G793" t="s">
        <v>24</v>
      </c>
      <c r="H793" s="14" t="s">
        <v>25</v>
      </c>
      <c r="I793" s="14" t="s">
        <v>112</v>
      </c>
      <c r="J793" s="14" t="s">
        <v>113</v>
      </c>
      <c r="K793" s="14" t="s">
        <v>114</v>
      </c>
      <c r="L793" s="14" t="s">
        <v>115</v>
      </c>
      <c r="M793" s="14">
        <v>1</v>
      </c>
      <c r="N793" s="14">
        <v>629.1</v>
      </c>
      <c r="O793" s="14">
        <v>370</v>
      </c>
      <c r="P793" s="14">
        <v>10</v>
      </c>
      <c r="Q793" s="14" t="s">
        <v>73</v>
      </c>
      <c r="R793" s="14" t="s">
        <v>57</v>
      </c>
      <c r="S793" s="14">
        <v>45922</v>
      </c>
      <c r="T793" s="14">
        <v>4</v>
      </c>
    </row>
    <row r="794" spans="1:20" x14ac:dyDescent="0.3">
      <c r="A794" t="s">
        <v>1377</v>
      </c>
      <c r="B794">
        <v>45452</v>
      </c>
      <c r="C794" t="s">
        <v>1083</v>
      </c>
      <c r="D794" t="s">
        <v>1084</v>
      </c>
      <c r="E794" t="s">
        <v>77</v>
      </c>
      <c r="F794">
        <v>20</v>
      </c>
      <c r="G794" t="s">
        <v>61</v>
      </c>
      <c r="H794" s="14" t="s">
        <v>62</v>
      </c>
      <c r="I794" s="14" t="s">
        <v>112</v>
      </c>
      <c r="J794" s="14" t="s">
        <v>113</v>
      </c>
      <c r="K794" s="14" t="s">
        <v>114</v>
      </c>
      <c r="L794" s="14" t="s">
        <v>115</v>
      </c>
      <c r="M794" s="14">
        <v>4</v>
      </c>
      <c r="N794" s="14">
        <v>2656.2</v>
      </c>
      <c r="O794" s="14">
        <v>1480</v>
      </c>
      <c r="P794" s="14">
        <v>5</v>
      </c>
      <c r="Q794" s="14" t="s">
        <v>30</v>
      </c>
      <c r="R794" s="14" t="s">
        <v>31</v>
      </c>
      <c r="S794" s="14">
        <v>45459</v>
      </c>
      <c r="T794" s="14">
        <v>4</v>
      </c>
    </row>
    <row r="795" spans="1:20" x14ac:dyDescent="0.3">
      <c r="A795" t="s">
        <v>1378</v>
      </c>
      <c r="B795">
        <v>45433</v>
      </c>
      <c r="C795" t="s">
        <v>490</v>
      </c>
      <c r="D795" t="s">
        <v>139</v>
      </c>
      <c r="E795" t="s">
        <v>77</v>
      </c>
      <c r="F795">
        <v>33</v>
      </c>
      <c r="G795" t="s">
        <v>154</v>
      </c>
      <c r="H795" s="14" t="s">
        <v>91</v>
      </c>
      <c r="I795" s="14" t="s">
        <v>63</v>
      </c>
      <c r="J795" s="14" t="s">
        <v>64</v>
      </c>
      <c r="K795" s="14" t="s">
        <v>39</v>
      </c>
      <c r="L795" s="14" t="s">
        <v>40</v>
      </c>
      <c r="M795" s="14">
        <v>4</v>
      </c>
      <c r="N795" s="14">
        <v>2396</v>
      </c>
      <c r="O795" s="14">
        <v>1320</v>
      </c>
      <c r="P795" s="14">
        <v>0</v>
      </c>
      <c r="Q795" s="14" t="s">
        <v>30</v>
      </c>
      <c r="R795" s="14" t="s">
        <v>57</v>
      </c>
      <c r="S795" s="14">
        <v>45442</v>
      </c>
      <c r="T795" s="14">
        <v>4</v>
      </c>
    </row>
    <row r="796" spans="1:20" x14ac:dyDescent="0.3">
      <c r="A796" t="s">
        <v>1379</v>
      </c>
      <c r="B796">
        <v>45585</v>
      </c>
      <c r="C796" t="s">
        <v>843</v>
      </c>
      <c r="D796" t="s">
        <v>97</v>
      </c>
      <c r="E796" t="s">
        <v>23</v>
      </c>
      <c r="F796">
        <v>37</v>
      </c>
      <c r="G796" t="s">
        <v>78</v>
      </c>
      <c r="H796" s="14" t="s">
        <v>79</v>
      </c>
      <c r="I796" s="14" t="s">
        <v>54</v>
      </c>
      <c r="J796" s="14" t="s">
        <v>55</v>
      </c>
      <c r="K796" s="14" t="s">
        <v>28</v>
      </c>
      <c r="L796" s="14" t="s">
        <v>56</v>
      </c>
      <c r="M796" s="14">
        <v>3</v>
      </c>
      <c r="N796" s="14">
        <v>1572.75</v>
      </c>
      <c r="O796" s="14">
        <v>1230</v>
      </c>
      <c r="P796" s="14">
        <v>25</v>
      </c>
      <c r="Q796" s="14" t="s">
        <v>103</v>
      </c>
      <c r="R796" s="14" t="s">
        <v>42</v>
      </c>
      <c r="S796" s="14">
        <v>45597</v>
      </c>
      <c r="T796" s="14">
        <v>4</v>
      </c>
    </row>
    <row r="797" spans="1:20" x14ac:dyDescent="0.3">
      <c r="A797" t="s">
        <v>1380</v>
      </c>
      <c r="B797">
        <v>45447</v>
      </c>
      <c r="C797" t="s">
        <v>272</v>
      </c>
      <c r="D797" t="s">
        <v>273</v>
      </c>
      <c r="E797" t="s">
        <v>23</v>
      </c>
      <c r="F797">
        <v>46</v>
      </c>
      <c r="G797" t="s">
        <v>122</v>
      </c>
      <c r="H797" s="14" t="s">
        <v>123</v>
      </c>
      <c r="I797" s="14" t="s">
        <v>304</v>
      </c>
      <c r="J797" s="14" t="s">
        <v>305</v>
      </c>
      <c r="K797" s="14" t="s">
        <v>28</v>
      </c>
      <c r="L797" s="14" t="s">
        <v>231</v>
      </c>
      <c r="M797" s="14">
        <v>2</v>
      </c>
      <c r="N797" s="14">
        <v>2518.6</v>
      </c>
      <c r="O797" s="14">
        <v>2160</v>
      </c>
      <c r="P797" s="14">
        <v>30</v>
      </c>
      <c r="Q797" s="14" t="s">
        <v>103</v>
      </c>
      <c r="R797" s="14" t="s">
        <v>42</v>
      </c>
      <c r="S797" s="14">
        <v>45456</v>
      </c>
      <c r="T797" s="14">
        <v>4</v>
      </c>
    </row>
    <row r="798" spans="1:20" x14ac:dyDescent="0.3">
      <c r="A798" t="s">
        <v>1381</v>
      </c>
      <c r="B798">
        <v>45322</v>
      </c>
      <c r="C798" t="s">
        <v>138</v>
      </c>
      <c r="D798" t="s">
        <v>139</v>
      </c>
      <c r="E798" t="s">
        <v>77</v>
      </c>
      <c r="F798">
        <v>42</v>
      </c>
      <c r="G798" t="s">
        <v>173</v>
      </c>
      <c r="H798" s="14" t="s">
        <v>79</v>
      </c>
      <c r="I798" s="14" t="s">
        <v>80</v>
      </c>
      <c r="J798" s="14" t="s">
        <v>81</v>
      </c>
      <c r="K798" s="14" t="s">
        <v>28</v>
      </c>
      <c r="L798" s="14" t="s">
        <v>29</v>
      </c>
      <c r="M798" s="14">
        <v>5</v>
      </c>
      <c r="N798" s="14">
        <v>3795.25</v>
      </c>
      <c r="O798" s="14">
        <v>2350</v>
      </c>
      <c r="P798" s="14">
        <v>5</v>
      </c>
      <c r="Q798" s="14" t="s">
        <v>73</v>
      </c>
      <c r="R798" s="14" t="s">
        <v>42</v>
      </c>
      <c r="S798" s="14">
        <v>45329</v>
      </c>
      <c r="T798" s="14">
        <v>5</v>
      </c>
    </row>
    <row r="799" spans="1:20" x14ac:dyDescent="0.3">
      <c r="A799" t="s">
        <v>1382</v>
      </c>
      <c r="B799">
        <v>45460</v>
      </c>
      <c r="C799" t="s">
        <v>1044</v>
      </c>
      <c r="D799" t="s">
        <v>1045</v>
      </c>
      <c r="E799" t="s">
        <v>77</v>
      </c>
      <c r="F799">
        <v>31</v>
      </c>
      <c r="G799" t="s">
        <v>24</v>
      </c>
      <c r="H799" s="14" t="s">
        <v>25</v>
      </c>
      <c r="I799" s="14" t="s">
        <v>47</v>
      </c>
      <c r="J799" s="14" t="s">
        <v>48</v>
      </c>
      <c r="K799" s="14" t="s">
        <v>39</v>
      </c>
      <c r="L799" s="14" t="s">
        <v>49</v>
      </c>
      <c r="M799" s="14">
        <v>1</v>
      </c>
      <c r="N799" s="14">
        <v>359.1</v>
      </c>
      <c r="O799" s="14">
        <v>210</v>
      </c>
      <c r="P799" s="14">
        <v>10</v>
      </c>
      <c r="Q799" s="14" t="s">
        <v>50</v>
      </c>
      <c r="R799" s="14" t="s">
        <v>42</v>
      </c>
      <c r="S799" s="14">
        <v>45472</v>
      </c>
      <c r="T799" s="14">
        <v>4</v>
      </c>
    </row>
    <row r="800" spans="1:20" x14ac:dyDescent="0.3">
      <c r="A800" t="s">
        <v>1383</v>
      </c>
      <c r="B800">
        <v>45721</v>
      </c>
      <c r="C800" t="s">
        <v>662</v>
      </c>
      <c r="D800" t="s">
        <v>97</v>
      </c>
      <c r="E800" t="s">
        <v>23</v>
      </c>
      <c r="F800">
        <v>47</v>
      </c>
      <c r="G800" t="s">
        <v>35</v>
      </c>
      <c r="H800" s="14" t="s">
        <v>36</v>
      </c>
      <c r="I800" s="14" t="s">
        <v>177</v>
      </c>
      <c r="J800" s="14" t="s">
        <v>178</v>
      </c>
      <c r="K800" s="14" t="s">
        <v>87</v>
      </c>
      <c r="L800" s="14" t="s">
        <v>179</v>
      </c>
      <c r="M800" s="14">
        <v>3</v>
      </c>
      <c r="N800" s="14">
        <v>5622.75</v>
      </c>
      <c r="O800" s="14">
        <v>4860</v>
      </c>
      <c r="P800" s="14">
        <v>25</v>
      </c>
      <c r="Q800" s="14" t="s">
        <v>73</v>
      </c>
      <c r="R800" s="14" t="s">
        <v>57</v>
      </c>
      <c r="S800" s="14">
        <v>45727</v>
      </c>
      <c r="T800" s="14">
        <v>3</v>
      </c>
    </row>
    <row r="801" spans="1:20" x14ac:dyDescent="0.3">
      <c r="A801" t="s">
        <v>749</v>
      </c>
      <c r="B801">
        <v>45561</v>
      </c>
      <c r="C801" t="s">
        <v>357</v>
      </c>
      <c r="D801" t="s">
        <v>358</v>
      </c>
      <c r="E801" t="s">
        <v>23</v>
      </c>
      <c r="F801">
        <v>23</v>
      </c>
      <c r="G801" t="s">
        <v>207</v>
      </c>
      <c r="H801" s="14" t="s">
        <v>36</v>
      </c>
      <c r="I801" s="14" t="s">
        <v>198</v>
      </c>
      <c r="J801" s="14" t="s">
        <v>199</v>
      </c>
      <c r="K801" s="14" t="s">
        <v>114</v>
      </c>
      <c r="L801" s="14" t="s">
        <v>200</v>
      </c>
      <c r="M801" s="14">
        <v>1</v>
      </c>
      <c r="N801" s="14">
        <v>1169.0999999999999</v>
      </c>
      <c r="O801" s="14">
        <v>760</v>
      </c>
      <c r="P801" s="14">
        <v>10</v>
      </c>
      <c r="Q801" s="14" t="s">
        <v>73</v>
      </c>
      <c r="R801" s="14" t="s">
        <v>42</v>
      </c>
      <c r="S801" s="14">
        <v>45573</v>
      </c>
      <c r="T801" s="14">
        <v>4</v>
      </c>
    </row>
    <row r="802" spans="1:20" x14ac:dyDescent="0.3">
      <c r="A802" t="s">
        <v>1384</v>
      </c>
      <c r="B802">
        <v>45494</v>
      </c>
      <c r="C802" t="s">
        <v>879</v>
      </c>
      <c r="D802" t="s">
        <v>880</v>
      </c>
      <c r="E802" t="s">
        <v>23</v>
      </c>
      <c r="F802">
        <v>44</v>
      </c>
      <c r="G802" t="s">
        <v>46</v>
      </c>
      <c r="H802" s="14" t="s">
        <v>25</v>
      </c>
      <c r="I802" s="14" t="s">
        <v>26</v>
      </c>
      <c r="J802" s="14" t="s">
        <v>27</v>
      </c>
      <c r="K802" s="14" t="s">
        <v>28</v>
      </c>
      <c r="L802" s="14" t="s">
        <v>29</v>
      </c>
      <c r="M802" s="14">
        <v>5</v>
      </c>
      <c r="N802" s="14">
        <v>4871.25</v>
      </c>
      <c r="O802" s="14">
        <v>3950</v>
      </c>
      <c r="P802" s="14">
        <v>25</v>
      </c>
      <c r="Q802" s="14" t="s">
        <v>103</v>
      </c>
      <c r="R802" s="14" t="s">
        <v>31</v>
      </c>
      <c r="S802" s="14">
        <v>45498</v>
      </c>
      <c r="T802" s="14">
        <v>4</v>
      </c>
    </row>
    <row r="803" spans="1:20" x14ac:dyDescent="0.3">
      <c r="A803" t="s">
        <v>1385</v>
      </c>
      <c r="B803">
        <v>45510</v>
      </c>
      <c r="C803" t="s">
        <v>926</v>
      </c>
      <c r="D803" t="s">
        <v>927</v>
      </c>
      <c r="E803" t="s">
        <v>23</v>
      </c>
      <c r="F803">
        <v>42</v>
      </c>
      <c r="G803" t="s">
        <v>35</v>
      </c>
      <c r="H803" s="14" t="s">
        <v>36</v>
      </c>
      <c r="I803" s="14" t="s">
        <v>112</v>
      </c>
      <c r="J803" s="14" t="s">
        <v>113</v>
      </c>
      <c r="K803" s="14" t="s">
        <v>114</v>
      </c>
      <c r="L803" s="14" t="s">
        <v>115</v>
      </c>
      <c r="M803" s="14">
        <v>3</v>
      </c>
      <c r="N803" s="14">
        <v>1887.3</v>
      </c>
      <c r="O803" s="14">
        <v>1110</v>
      </c>
      <c r="P803" s="14">
        <v>10</v>
      </c>
      <c r="Q803" s="14" t="s">
        <v>73</v>
      </c>
      <c r="R803" s="14" t="s">
        <v>42</v>
      </c>
      <c r="S803" s="14">
        <v>45520</v>
      </c>
      <c r="T803" s="14">
        <v>4</v>
      </c>
    </row>
    <row r="804" spans="1:20" x14ac:dyDescent="0.3">
      <c r="A804" t="s">
        <v>1386</v>
      </c>
      <c r="B804">
        <v>45539</v>
      </c>
      <c r="C804" t="s">
        <v>331</v>
      </c>
      <c r="D804" t="s">
        <v>332</v>
      </c>
      <c r="E804" t="s">
        <v>23</v>
      </c>
      <c r="F804">
        <v>39</v>
      </c>
      <c r="G804" t="s">
        <v>122</v>
      </c>
      <c r="H804" s="14" t="s">
        <v>123</v>
      </c>
      <c r="I804" s="14" t="s">
        <v>112</v>
      </c>
      <c r="J804" s="14" t="s">
        <v>113</v>
      </c>
      <c r="K804" s="14" t="s">
        <v>114</v>
      </c>
      <c r="L804" s="14" t="s">
        <v>115</v>
      </c>
      <c r="M804" s="14">
        <v>1</v>
      </c>
      <c r="N804" s="14">
        <v>699</v>
      </c>
      <c r="O804" s="14">
        <v>370</v>
      </c>
      <c r="P804" s="14">
        <v>0</v>
      </c>
      <c r="Q804" s="14" t="s">
        <v>41</v>
      </c>
      <c r="R804" s="14" t="s">
        <v>42</v>
      </c>
      <c r="S804" s="14">
        <v>45551</v>
      </c>
      <c r="T804" s="14">
        <v>4</v>
      </c>
    </row>
    <row r="805" spans="1:20" x14ac:dyDescent="0.3">
      <c r="A805" t="s">
        <v>1387</v>
      </c>
      <c r="B805">
        <v>45418</v>
      </c>
      <c r="C805" t="s">
        <v>809</v>
      </c>
      <c r="D805" t="s">
        <v>810</v>
      </c>
      <c r="E805" t="s">
        <v>77</v>
      </c>
      <c r="F805">
        <v>41</v>
      </c>
      <c r="G805" t="s">
        <v>69</v>
      </c>
      <c r="H805" s="14" t="s">
        <v>69</v>
      </c>
      <c r="I805" s="14" t="s">
        <v>63</v>
      </c>
      <c r="J805" s="14" t="s">
        <v>64</v>
      </c>
      <c r="K805" s="14" t="s">
        <v>39</v>
      </c>
      <c r="L805" s="14" t="s">
        <v>40</v>
      </c>
      <c r="M805" s="14">
        <v>3</v>
      </c>
      <c r="N805" s="14">
        <v>1797</v>
      </c>
      <c r="O805" s="14">
        <v>990</v>
      </c>
      <c r="P805" s="14">
        <v>0</v>
      </c>
      <c r="Q805" s="14" t="s">
        <v>103</v>
      </c>
      <c r="R805" s="14" t="s">
        <v>42</v>
      </c>
      <c r="S805" s="14">
        <v>45423</v>
      </c>
      <c r="T805" s="14">
        <v>4</v>
      </c>
    </row>
    <row r="806" spans="1:20" x14ac:dyDescent="0.3">
      <c r="A806" t="s">
        <v>1388</v>
      </c>
      <c r="B806">
        <v>45650</v>
      </c>
      <c r="C806" t="s">
        <v>1042</v>
      </c>
      <c r="D806" t="s">
        <v>238</v>
      </c>
      <c r="E806" t="s">
        <v>23</v>
      </c>
      <c r="F806">
        <v>33</v>
      </c>
      <c r="G806" t="s">
        <v>35</v>
      </c>
      <c r="H806" s="14" t="s">
        <v>36</v>
      </c>
      <c r="I806" s="14" t="s">
        <v>107</v>
      </c>
      <c r="J806" s="14" t="s">
        <v>108</v>
      </c>
      <c r="K806" s="14" t="s">
        <v>87</v>
      </c>
      <c r="L806" s="14" t="s">
        <v>88</v>
      </c>
      <c r="M806" s="14">
        <v>5</v>
      </c>
      <c r="N806" s="14">
        <v>3595.5</v>
      </c>
      <c r="O806" s="14">
        <v>2100</v>
      </c>
      <c r="P806" s="14">
        <v>10</v>
      </c>
      <c r="Q806" s="14" t="s">
        <v>103</v>
      </c>
      <c r="R806" s="14" t="s">
        <v>65</v>
      </c>
    </row>
    <row r="807" spans="1:20" x14ac:dyDescent="0.3">
      <c r="A807" t="s">
        <v>1389</v>
      </c>
      <c r="B807">
        <v>45545</v>
      </c>
      <c r="C807" t="s">
        <v>284</v>
      </c>
      <c r="D807" t="s">
        <v>285</v>
      </c>
      <c r="E807" t="s">
        <v>77</v>
      </c>
      <c r="F807">
        <v>28</v>
      </c>
      <c r="G807" t="s">
        <v>126</v>
      </c>
      <c r="H807" s="14" t="s">
        <v>127</v>
      </c>
      <c r="I807" s="14" t="s">
        <v>112</v>
      </c>
      <c r="J807" s="14" t="s">
        <v>113</v>
      </c>
      <c r="K807" s="14" t="s">
        <v>114</v>
      </c>
      <c r="L807" s="14" t="s">
        <v>115</v>
      </c>
      <c r="M807" s="14">
        <v>5</v>
      </c>
      <c r="N807" s="14">
        <v>2970.75</v>
      </c>
      <c r="O807" s="14">
        <v>1850</v>
      </c>
      <c r="P807" s="14">
        <v>15</v>
      </c>
      <c r="Q807" s="14" t="s">
        <v>41</v>
      </c>
      <c r="R807" s="14" t="s">
        <v>42</v>
      </c>
      <c r="S807" s="14">
        <v>45548</v>
      </c>
      <c r="T807" s="14">
        <v>3</v>
      </c>
    </row>
    <row r="808" spans="1:20" x14ac:dyDescent="0.3">
      <c r="A808" t="s">
        <v>1390</v>
      </c>
      <c r="B808">
        <v>46020</v>
      </c>
      <c r="C808" t="s">
        <v>205</v>
      </c>
      <c r="D808" t="s">
        <v>206</v>
      </c>
      <c r="E808" t="s">
        <v>77</v>
      </c>
      <c r="F808">
        <v>26</v>
      </c>
      <c r="G808" t="s">
        <v>122</v>
      </c>
      <c r="H808" s="14" t="s">
        <v>123</v>
      </c>
      <c r="I808" s="14" t="s">
        <v>54</v>
      </c>
      <c r="J808" s="14" t="s">
        <v>55</v>
      </c>
      <c r="K808" s="14" t="s">
        <v>28</v>
      </c>
      <c r="L808" s="14" t="s">
        <v>56</v>
      </c>
      <c r="M808" s="14">
        <v>1</v>
      </c>
      <c r="N808" s="14">
        <v>699</v>
      </c>
      <c r="O808" s="14">
        <v>410</v>
      </c>
      <c r="P808" s="14">
        <v>0</v>
      </c>
      <c r="Q808" s="14" t="s">
        <v>103</v>
      </c>
      <c r="R808" s="14" t="s">
        <v>42</v>
      </c>
      <c r="S808" s="14">
        <v>46029</v>
      </c>
      <c r="T808" s="14">
        <v>4</v>
      </c>
    </row>
    <row r="809" spans="1:20" x14ac:dyDescent="0.3">
      <c r="A809" t="s">
        <v>1391</v>
      </c>
      <c r="B809">
        <v>45748</v>
      </c>
      <c r="C809" t="s">
        <v>902</v>
      </c>
      <c r="D809" t="s">
        <v>303</v>
      </c>
      <c r="E809" t="s">
        <v>77</v>
      </c>
      <c r="F809">
        <v>33</v>
      </c>
      <c r="G809" t="s">
        <v>211</v>
      </c>
      <c r="H809" s="14" t="s">
        <v>127</v>
      </c>
      <c r="I809" s="14" t="s">
        <v>107</v>
      </c>
      <c r="J809" s="14" t="s">
        <v>108</v>
      </c>
      <c r="K809" s="14" t="s">
        <v>87</v>
      </c>
      <c r="L809" s="14" t="s">
        <v>88</v>
      </c>
      <c r="M809" s="14">
        <v>5</v>
      </c>
      <c r="N809" s="14">
        <v>2796.5</v>
      </c>
      <c r="O809" s="14">
        <v>2100</v>
      </c>
      <c r="P809" s="14">
        <v>30</v>
      </c>
      <c r="Q809" s="14" t="s">
        <v>50</v>
      </c>
      <c r="R809" s="14" t="s">
        <v>65</v>
      </c>
    </row>
    <row r="810" spans="1:20" x14ac:dyDescent="0.3">
      <c r="A810" t="s">
        <v>1392</v>
      </c>
      <c r="B810">
        <v>45823</v>
      </c>
      <c r="C810" t="s">
        <v>226</v>
      </c>
      <c r="D810" t="s">
        <v>227</v>
      </c>
      <c r="E810" t="s">
        <v>23</v>
      </c>
      <c r="F810">
        <v>32</v>
      </c>
      <c r="G810" t="s">
        <v>207</v>
      </c>
      <c r="H810" s="14" t="s">
        <v>36</v>
      </c>
      <c r="I810" s="14" t="s">
        <v>198</v>
      </c>
      <c r="J810" s="14" t="s">
        <v>199</v>
      </c>
      <c r="K810" s="14" t="s">
        <v>114</v>
      </c>
      <c r="L810" s="14" t="s">
        <v>200</v>
      </c>
      <c r="M810" s="14">
        <v>4</v>
      </c>
      <c r="N810" s="14">
        <v>3637.2</v>
      </c>
      <c r="O810" s="14">
        <v>3040</v>
      </c>
      <c r="P810" s="14">
        <v>30</v>
      </c>
      <c r="Q810" s="14" t="s">
        <v>103</v>
      </c>
      <c r="R810" s="14" t="s">
        <v>31</v>
      </c>
      <c r="S810" s="14">
        <v>45832</v>
      </c>
      <c r="T810" s="14">
        <v>5</v>
      </c>
    </row>
    <row r="811" spans="1:20" x14ac:dyDescent="0.3">
      <c r="A811" t="s">
        <v>1393</v>
      </c>
      <c r="B811">
        <v>45458</v>
      </c>
      <c r="C811" t="s">
        <v>387</v>
      </c>
      <c r="D811" t="s">
        <v>388</v>
      </c>
      <c r="E811" t="s">
        <v>23</v>
      </c>
      <c r="F811">
        <v>32</v>
      </c>
      <c r="G811" t="s">
        <v>173</v>
      </c>
      <c r="H811" s="14" t="s">
        <v>79</v>
      </c>
      <c r="I811" s="14" t="s">
        <v>37</v>
      </c>
      <c r="J811" s="14" t="s">
        <v>38</v>
      </c>
      <c r="K811" s="14" t="s">
        <v>39</v>
      </c>
      <c r="L811" s="14" t="s">
        <v>40</v>
      </c>
      <c r="M811" s="14">
        <v>4</v>
      </c>
      <c r="N811" s="14">
        <v>3236.4</v>
      </c>
      <c r="O811" s="14">
        <v>2080</v>
      </c>
      <c r="P811" s="14">
        <v>10</v>
      </c>
      <c r="Q811" s="14" t="s">
        <v>50</v>
      </c>
      <c r="R811" s="14" t="s">
        <v>57</v>
      </c>
      <c r="S811" s="14">
        <v>45468</v>
      </c>
      <c r="T811" s="14">
        <v>3</v>
      </c>
    </row>
    <row r="812" spans="1:20" x14ac:dyDescent="0.3">
      <c r="A812" t="s">
        <v>1394</v>
      </c>
      <c r="B812">
        <v>46003</v>
      </c>
      <c r="C812" t="s">
        <v>904</v>
      </c>
      <c r="D812" t="s">
        <v>358</v>
      </c>
      <c r="E812" t="s">
        <v>23</v>
      </c>
      <c r="F812">
        <v>48</v>
      </c>
      <c r="G812" t="s">
        <v>61</v>
      </c>
      <c r="H812" s="14" t="s">
        <v>62</v>
      </c>
      <c r="I812" s="14" t="s">
        <v>37</v>
      </c>
      <c r="J812" s="14" t="s">
        <v>38</v>
      </c>
      <c r="K812" s="14" t="s">
        <v>39</v>
      </c>
      <c r="L812" s="14" t="s">
        <v>40</v>
      </c>
      <c r="M812" s="14">
        <v>1</v>
      </c>
      <c r="N812" s="14">
        <v>809.1</v>
      </c>
      <c r="O812" s="14">
        <v>520</v>
      </c>
      <c r="P812" s="14">
        <v>10</v>
      </c>
      <c r="Q812" s="14" t="s">
        <v>50</v>
      </c>
      <c r="R812" s="14" t="s">
        <v>42</v>
      </c>
      <c r="S812" s="14">
        <v>46006</v>
      </c>
      <c r="T812" s="14">
        <v>5</v>
      </c>
    </row>
    <row r="813" spans="1:20" x14ac:dyDescent="0.3">
      <c r="A813" t="s">
        <v>1395</v>
      </c>
      <c r="B813">
        <v>45404</v>
      </c>
      <c r="C813" t="s">
        <v>962</v>
      </c>
      <c r="D813" t="s">
        <v>963</v>
      </c>
      <c r="E813" t="s">
        <v>77</v>
      </c>
      <c r="F813">
        <v>25</v>
      </c>
      <c r="G813" t="s">
        <v>211</v>
      </c>
      <c r="H813" s="14" t="s">
        <v>127</v>
      </c>
      <c r="I813" s="14" t="s">
        <v>198</v>
      </c>
      <c r="J813" s="14" t="s">
        <v>199</v>
      </c>
      <c r="K813" s="14" t="s">
        <v>114</v>
      </c>
      <c r="L813" s="14" t="s">
        <v>200</v>
      </c>
      <c r="M813" s="14">
        <v>3</v>
      </c>
      <c r="N813" s="14">
        <v>3897</v>
      </c>
      <c r="O813" s="14">
        <v>2280</v>
      </c>
      <c r="P813" s="14">
        <v>0</v>
      </c>
      <c r="Q813" s="14" t="s">
        <v>50</v>
      </c>
      <c r="R813" s="14" t="s">
        <v>42</v>
      </c>
      <c r="S813" s="14">
        <v>45407</v>
      </c>
      <c r="T813" s="14">
        <v>4</v>
      </c>
    </row>
    <row r="814" spans="1:20" x14ac:dyDescent="0.3">
      <c r="A814" t="s">
        <v>1396</v>
      </c>
      <c r="B814">
        <v>45604</v>
      </c>
      <c r="C814" t="s">
        <v>520</v>
      </c>
      <c r="D814" t="s">
        <v>506</v>
      </c>
      <c r="E814" t="s">
        <v>77</v>
      </c>
      <c r="F814">
        <v>36</v>
      </c>
      <c r="G814" t="s">
        <v>35</v>
      </c>
      <c r="H814" s="14" t="s">
        <v>36</v>
      </c>
      <c r="I814" s="14" t="s">
        <v>143</v>
      </c>
      <c r="J814" s="14" t="s">
        <v>144</v>
      </c>
      <c r="K814" s="14" t="s">
        <v>130</v>
      </c>
      <c r="L814" s="14" t="s">
        <v>131</v>
      </c>
      <c r="M814" s="14">
        <v>4</v>
      </c>
      <c r="N814" s="14">
        <v>21996</v>
      </c>
      <c r="O814" s="14">
        <v>17200</v>
      </c>
      <c r="P814" s="14">
        <v>0</v>
      </c>
      <c r="Q814" s="14" t="s">
        <v>30</v>
      </c>
      <c r="R814" s="14" t="s">
        <v>42</v>
      </c>
      <c r="S814" s="14">
        <v>45615</v>
      </c>
      <c r="T814" s="14">
        <v>5</v>
      </c>
    </row>
    <row r="815" spans="1:20" x14ac:dyDescent="0.3">
      <c r="A815" t="s">
        <v>1397</v>
      </c>
      <c r="B815">
        <v>45341</v>
      </c>
      <c r="C815" t="s">
        <v>1319</v>
      </c>
      <c r="D815" t="s">
        <v>894</v>
      </c>
      <c r="E815" t="s">
        <v>77</v>
      </c>
      <c r="F815">
        <v>33</v>
      </c>
      <c r="G815" t="s">
        <v>35</v>
      </c>
      <c r="H815" s="14" t="s">
        <v>36</v>
      </c>
      <c r="I815" s="14" t="s">
        <v>70</v>
      </c>
      <c r="J815" s="14" t="s">
        <v>71</v>
      </c>
      <c r="K815" s="14" t="s">
        <v>28</v>
      </c>
      <c r="L815" s="14" t="s">
        <v>72</v>
      </c>
      <c r="M815" s="14">
        <v>2</v>
      </c>
      <c r="N815" s="14">
        <v>1798.8</v>
      </c>
      <c r="O815" s="14">
        <v>1840</v>
      </c>
      <c r="P815" s="14">
        <v>40</v>
      </c>
      <c r="Q815" s="14" t="s">
        <v>73</v>
      </c>
      <c r="R815" s="14" t="s">
        <v>42</v>
      </c>
      <c r="S815" s="14">
        <v>45351</v>
      </c>
      <c r="T815" s="14">
        <v>4</v>
      </c>
    </row>
    <row r="816" spans="1:20" x14ac:dyDescent="0.3">
      <c r="A816" t="s">
        <v>1398</v>
      </c>
      <c r="B816">
        <v>45361</v>
      </c>
      <c r="C816" t="s">
        <v>599</v>
      </c>
      <c r="D816" t="s">
        <v>600</v>
      </c>
      <c r="E816" t="s">
        <v>77</v>
      </c>
      <c r="F816">
        <v>32</v>
      </c>
      <c r="G816" t="s">
        <v>122</v>
      </c>
      <c r="H816" s="14" t="s">
        <v>123</v>
      </c>
      <c r="I816" s="14" t="s">
        <v>37</v>
      </c>
      <c r="J816" s="14" t="s">
        <v>38</v>
      </c>
      <c r="K816" s="14" t="s">
        <v>39</v>
      </c>
      <c r="L816" s="14" t="s">
        <v>40</v>
      </c>
      <c r="M816" s="14">
        <v>5</v>
      </c>
      <c r="N816" s="14">
        <v>3596</v>
      </c>
      <c r="O816" s="14">
        <v>2600</v>
      </c>
      <c r="P816" s="14">
        <v>20</v>
      </c>
      <c r="Q816" s="14" t="s">
        <v>50</v>
      </c>
      <c r="R816" s="14" t="s">
        <v>42</v>
      </c>
      <c r="S816" s="14">
        <v>45368</v>
      </c>
      <c r="T816" s="14">
        <v>5</v>
      </c>
    </row>
    <row r="817" spans="1:20" x14ac:dyDescent="0.3">
      <c r="A817" t="s">
        <v>1399</v>
      </c>
      <c r="B817">
        <v>45778</v>
      </c>
      <c r="C817" t="s">
        <v>632</v>
      </c>
      <c r="D817" t="s">
        <v>372</v>
      </c>
      <c r="E817" t="s">
        <v>77</v>
      </c>
      <c r="F817">
        <v>34</v>
      </c>
      <c r="G817" t="s">
        <v>173</v>
      </c>
      <c r="H817" s="14" t="s">
        <v>79</v>
      </c>
      <c r="I817" s="14" t="s">
        <v>112</v>
      </c>
      <c r="J817" s="14" t="s">
        <v>113</v>
      </c>
      <c r="K817" s="14" t="s">
        <v>114</v>
      </c>
      <c r="L817" s="14" t="s">
        <v>115</v>
      </c>
      <c r="M817" s="14">
        <v>4</v>
      </c>
      <c r="N817" s="14">
        <v>1677.6</v>
      </c>
      <c r="O817" s="14">
        <v>1480</v>
      </c>
      <c r="P817" s="14">
        <v>40</v>
      </c>
      <c r="Q817" s="14" t="s">
        <v>103</v>
      </c>
      <c r="R817" s="14" t="s">
        <v>42</v>
      </c>
      <c r="S817" s="14">
        <v>45785</v>
      </c>
      <c r="T817" s="14">
        <v>3</v>
      </c>
    </row>
    <row r="818" spans="1:20" x14ac:dyDescent="0.3">
      <c r="A818" t="s">
        <v>1400</v>
      </c>
      <c r="B818">
        <v>45931</v>
      </c>
      <c r="C818" t="s">
        <v>775</v>
      </c>
      <c r="D818" t="s">
        <v>244</v>
      </c>
      <c r="E818" t="s">
        <v>77</v>
      </c>
      <c r="F818">
        <v>46</v>
      </c>
      <c r="G818" t="s">
        <v>165</v>
      </c>
      <c r="H818" s="14" t="s">
        <v>166</v>
      </c>
      <c r="I818" s="14" t="s">
        <v>304</v>
      </c>
      <c r="J818" s="14" t="s">
        <v>305</v>
      </c>
      <c r="K818" s="14" t="s">
        <v>28</v>
      </c>
      <c r="L818" s="14" t="s">
        <v>231</v>
      </c>
      <c r="M818" s="14">
        <v>4</v>
      </c>
      <c r="N818" s="14">
        <v>5397</v>
      </c>
      <c r="O818" s="14">
        <v>4320</v>
      </c>
      <c r="P818" s="14">
        <v>25</v>
      </c>
      <c r="Q818" s="14" t="s">
        <v>50</v>
      </c>
      <c r="R818" s="14" t="s">
        <v>42</v>
      </c>
      <c r="S818" s="14">
        <v>45943</v>
      </c>
      <c r="T818" s="14">
        <v>5</v>
      </c>
    </row>
    <row r="819" spans="1:20" x14ac:dyDescent="0.3">
      <c r="A819" t="s">
        <v>1401</v>
      </c>
      <c r="B819">
        <v>45576</v>
      </c>
      <c r="C819" t="s">
        <v>125</v>
      </c>
      <c r="D819" t="s">
        <v>121</v>
      </c>
      <c r="E819" t="s">
        <v>23</v>
      </c>
      <c r="F819">
        <v>27</v>
      </c>
      <c r="G819" t="s">
        <v>78</v>
      </c>
      <c r="H819" s="14" t="s">
        <v>79</v>
      </c>
      <c r="I819" s="14" t="s">
        <v>85</v>
      </c>
      <c r="J819" s="14" t="s">
        <v>86</v>
      </c>
      <c r="K819" s="14" t="s">
        <v>87</v>
      </c>
      <c r="L819" s="14" t="s">
        <v>88</v>
      </c>
      <c r="M819" s="14">
        <v>1</v>
      </c>
      <c r="N819" s="14">
        <v>1119.2</v>
      </c>
      <c r="O819" s="14">
        <v>790</v>
      </c>
      <c r="P819" s="14">
        <v>20</v>
      </c>
      <c r="Q819" s="14" t="s">
        <v>50</v>
      </c>
      <c r="R819" s="14" t="s">
        <v>31</v>
      </c>
      <c r="S819" s="14">
        <v>45579</v>
      </c>
      <c r="T819" s="14">
        <v>3</v>
      </c>
    </row>
    <row r="820" spans="1:20" x14ac:dyDescent="0.3">
      <c r="A820" t="s">
        <v>1402</v>
      </c>
      <c r="B820">
        <v>45489</v>
      </c>
      <c r="C820" t="s">
        <v>133</v>
      </c>
      <c r="D820" t="s">
        <v>857</v>
      </c>
      <c r="E820" t="s">
        <v>77</v>
      </c>
      <c r="F820">
        <v>56</v>
      </c>
      <c r="G820" t="s">
        <v>24</v>
      </c>
      <c r="H820" s="14" t="s">
        <v>25</v>
      </c>
      <c r="I820" s="14" t="s">
        <v>198</v>
      </c>
      <c r="J820" s="14" t="s">
        <v>199</v>
      </c>
      <c r="K820" s="14" t="s">
        <v>114</v>
      </c>
      <c r="L820" s="14" t="s">
        <v>200</v>
      </c>
      <c r="M820" s="14">
        <v>5</v>
      </c>
      <c r="N820" s="14">
        <v>5520.75</v>
      </c>
      <c r="O820" s="14">
        <v>3800</v>
      </c>
      <c r="P820" s="14">
        <v>15</v>
      </c>
      <c r="Q820" s="14" t="s">
        <v>103</v>
      </c>
      <c r="R820" s="14" t="s">
        <v>65</v>
      </c>
    </row>
    <row r="821" spans="1:20" x14ac:dyDescent="0.3">
      <c r="A821" t="s">
        <v>1403</v>
      </c>
      <c r="B821">
        <v>45311</v>
      </c>
      <c r="C821" t="s">
        <v>962</v>
      </c>
      <c r="D821" t="s">
        <v>963</v>
      </c>
      <c r="E821" t="s">
        <v>77</v>
      </c>
      <c r="F821">
        <v>25</v>
      </c>
      <c r="G821" t="s">
        <v>78</v>
      </c>
      <c r="H821" s="14" t="s">
        <v>79</v>
      </c>
      <c r="I821" s="14" t="s">
        <v>80</v>
      </c>
      <c r="J821" s="14" t="s">
        <v>81</v>
      </c>
      <c r="K821" s="14" t="s">
        <v>28</v>
      </c>
      <c r="L821" s="14" t="s">
        <v>29</v>
      </c>
      <c r="M821" s="14">
        <v>3</v>
      </c>
      <c r="N821" s="14">
        <v>2037.45</v>
      </c>
      <c r="O821" s="14">
        <v>1410</v>
      </c>
      <c r="P821" s="14">
        <v>15</v>
      </c>
      <c r="Q821" s="14" t="s">
        <v>30</v>
      </c>
      <c r="R821" s="14" t="s">
        <v>57</v>
      </c>
      <c r="S821" s="14">
        <v>45322</v>
      </c>
      <c r="T821" s="14">
        <v>5</v>
      </c>
    </row>
    <row r="822" spans="1:20" x14ac:dyDescent="0.3">
      <c r="A822" t="s">
        <v>1404</v>
      </c>
      <c r="B822">
        <v>45378</v>
      </c>
      <c r="C822" t="s">
        <v>640</v>
      </c>
      <c r="D822" t="s">
        <v>349</v>
      </c>
      <c r="E822" t="s">
        <v>23</v>
      </c>
      <c r="F822">
        <v>42</v>
      </c>
      <c r="G822" t="s">
        <v>126</v>
      </c>
      <c r="H822" s="14" t="s">
        <v>127</v>
      </c>
      <c r="I822" s="14" t="s">
        <v>47</v>
      </c>
      <c r="J822" s="14" t="s">
        <v>48</v>
      </c>
      <c r="K822" s="14" t="s">
        <v>39</v>
      </c>
      <c r="L822" s="14" t="s">
        <v>49</v>
      </c>
      <c r="M822" s="14">
        <v>5</v>
      </c>
      <c r="N822" s="14">
        <v>1995</v>
      </c>
      <c r="O822" s="14">
        <v>1050</v>
      </c>
      <c r="P822" s="14">
        <v>0</v>
      </c>
      <c r="Q822" s="14" t="s">
        <v>103</v>
      </c>
      <c r="R822" s="14" t="s">
        <v>57</v>
      </c>
      <c r="S822" s="14">
        <v>45380</v>
      </c>
      <c r="T822" s="14">
        <v>4</v>
      </c>
    </row>
    <row r="823" spans="1:20" x14ac:dyDescent="0.3">
      <c r="A823" t="s">
        <v>1405</v>
      </c>
      <c r="B823">
        <v>45739</v>
      </c>
      <c r="C823" t="s">
        <v>967</v>
      </c>
      <c r="D823" t="s">
        <v>968</v>
      </c>
      <c r="E823" t="s">
        <v>23</v>
      </c>
      <c r="F823">
        <v>29</v>
      </c>
      <c r="G823" t="s">
        <v>122</v>
      </c>
      <c r="H823" s="14" t="s">
        <v>123</v>
      </c>
      <c r="I823" s="14" t="s">
        <v>80</v>
      </c>
      <c r="J823" s="14" t="s">
        <v>81</v>
      </c>
      <c r="K823" s="14" t="s">
        <v>28</v>
      </c>
      <c r="L823" s="14" t="s">
        <v>29</v>
      </c>
      <c r="M823" s="14">
        <v>5</v>
      </c>
      <c r="N823" s="14">
        <v>2996.25</v>
      </c>
      <c r="O823" s="14">
        <v>2350</v>
      </c>
      <c r="P823" s="14">
        <v>25</v>
      </c>
      <c r="Q823" s="14" t="s">
        <v>103</v>
      </c>
      <c r="R823" s="14" t="s">
        <v>42</v>
      </c>
      <c r="S823" s="14">
        <v>45742</v>
      </c>
      <c r="T823" s="14">
        <v>3</v>
      </c>
    </row>
    <row r="824" spans="1:20" x14ac:dyDescent="0.3">
      <c r="A824" t="s">
        <v>1406</v>
      </c>
      <c r="B824">
        <v>45393</v>
      </c>
      <c r="C824" t="s">
        <v>133</v>
      </c>
      <c r="D824" t="s">
        <v>857</v>
      </c>
      <c r="E824" t="s">
        <v>77</v>
      </c>
      <c r="F824">
        <v>56</v>
      </c>
      <c r="G824" t="s">
        <v>78</v>
      </c>
      <c r="H824" s="14" t="s">
        <v>79</v>
      </c>
      <c r="I824" s="14" t="s">
        <v>143</v>
      </c>
      <c r="J824" s="14" t="s">
        <v>144</v>
      </c>
      <c r="K824" s="14" t="s">
        <v>130</v>
      </c>
      <c r="L824" s="14" t="s">
        <v>131</v>
      </c>
      <c r="M824" s="14">
        <v>2</v>
      </c>
      <c r="N824" s="14">
        <v>9898.2000000000007</v>
      </c>
      <c r="O824" s="14">
        <v>8600</v>
      </c>
      <c r="P824" s="14">
        <v>10</v>
      </c>
      <c r="Q824" s="14" t="s">
        <v>41</v>
      </c>
      <c r="R824" s="14" t="s">
        <v>57</v>
      </c>
      <c r="S824" s="14">
        <v>45396</v>
      </c>
      <c r="T824" s="14">
        <v>3</v>
      </c>
    </row>
    <row r="825" spans="1:20" x14ac:dyDescent="0.3">
      <c r="A825" t="s">
        <v>1407</v>
      </c>
      <c r="B825">
        <v>45606</v>
      </c>
      <c r="C825" t="s">
        <v>1314</v>
      </c>
      <c r="D825" t="s">
        <v>1315</v>
      </c>
      <c r="E825" t="s">
        <v>77</v>
      </c>
      <c r="F825">
        <v>50</v>
      </c>
      <c r="G825" t="s">
        <v>78</v>
      </c>
      <c r="H825" s="14" t="s">
        <v>79</v>
      </c>
      <c r="I825" s="14" t="s">
        <v>26</v>
      </c>
      <c r="J825" s="14" t="s">
        <v>27</v>
      </c>
      <c r="K825" s="14" t="s">
        <v>28</v>
      </c>
      <c r="L825" s="14" t="s">
        <v>29</v>
      </c>
      <c r="M825" s="14">
        <v>5</v>
      </c>
      <c r="N825" s="14">
        <v>4871.25</v>
      </c>
      <c r="O825" s="14">
        <v>3950</v>
      </c>
      <c r="P825" s="14">
        <v>25</v>
      </c>
      <c r="Q825" s="14" t="s">
        <v>30</v>
      </c>
      <c r="R825" s="14" t="s">
        <v>42</v>
      </c>
      <c r="S825" s="14">
        <v>45608</v>
      </c>
      <c r="T825" s="14">
        <v>4</v>
      </c>
    </row>
    <row r="826" spans="1:20" x14ac:dyDescent="0.3">
      <c r="A826" t="s">
        <v>1408</v>
      </c>
      <c r="B826">
        <v>45691</v>
      </c>
      <c r="C826" t="s">
        <v>240</v>
      </c>
      <c r="D826" t="s">
        <v>241</v>
      </c>
      <c r="E826" t="s">
        <v>23</v>
      </c>
      <c r="F826">
        <v>25</v>
      </c>
      <c r="G826" t="s">
        <v>126</v>
      </c>
      <c r="H826" s="14" t="s">
        <v>127</v>
      </c>
      <c r="I826" s="14" t="s">
        <v>252</v>
      </c>
      <c r="J826" s="14" t="s">
        <v>253</v>
      </c>
      <c r="K826" s="14" t="s">
        <v>28</v>
      </c>
      <c r="L826" s="14" t="s">
        <v>254</v>
      </c>
      <c r="M826" s="14">
        <v>4</v>
      </c>
      <c r="N826" s="14">
        <v>8997</v>
      </c>
      <c r="O826" s="14">
        <v>7600</v>
      </c>
      <c r="P826" s="14">
        <v>25</v>
      </c>
      <c r="Q826" s="14" t="s">
        <v>41</v>
      </c>
      <c r="R826" s="14" t="s">
        <v>42</v>
      </c>
      <c r="S826" s="14">
        <v>45694</v>
      </c>
      <c r="T826" s="14">
        <v>2</v>
      </c>
    </row>
    <row r="827" spans="1:20" x14ac:dyDescent="0.3">
      <c r="A827" t="s">
        <v>1409</v>
      </c>
      <c r="B827">
        <v>45499</v>
      </c>
      <c r="C827" t="s">
        <v>141</v>
      </c>
      <c r="D827" t="s">
        <v>142</v>
      </c>
      <c r="E827" t="s">
        <v>23</v>
      </c>
      <c r="F827">
        <v>57</v>
      </c>
      <c r="G827" t="s">
        <v>90</v>
      </c>
      <c r="H827" s="14" t="s">
        <v>91</v>
      </c>
      <c r="I827" s="14" t="s">
        <v>37</v>
      </c>
      <c r="J827" s="14" t="s">
        <v>38</v>
      </c>
      <c r="K827" s="14" t="s">
        <v>39</v>
      </c>
      <c r="L827" s="14" t="s">
        <v>40</v>
      </c>
      <c r="M827" s="14">
        <v>5</v>
      </c>
      <c r="N827" s="14">
        <v>3146.5</v>
      </c>
      <c r="O827" s="14">
        <v>2600</v>
      </c>
      <c r="P827" s="14">
        <v>30</v>
      </c>
      <c r="Q827" s="14" t="s">
        <v>73</v>
      </c>
      <c r="R827" s="14" t="s">
        <v>42</v>
      </c>
      <c r="S827" s="14">
        <v>45501</v>
      </c>
      <c r="T827" s="14">
        <v>4</v>
      </c>
    </row>
    <row r="828" spans="1:20" x14ac:dyDescent="0.3">
      <c r="A828" t="s">
        <v>1410</v>
      </c>
      <c r="B828">
        <v>45767</v>
      </c>
      <c r="C828" t="s">
        <v>429</v>
      </c>
      <c r="D828" t="s">
        <v>315</v>
      </c>
      <c r="E828" t="s">
        <v>77</v>
      </c>
      <c r="F828">
        <v>23</v>
      </c>
      <c r="G828" t="s">
        <v>122</v>
      </c>
      <c r="H828" s="14" t="s">
        <v>123</v>
      </c>
      <c r="I828" s="14" t="s">
        <v>54</v>
      </c>
      <c r="J828" s="14" t="s">
        <v>55</v>
      </c>
      <c r="K828" s="14" t="s">
        <v>28</v>
      </c>
      <c r="L828" s="14" t="s">
        <v>56</v>
      </c>
      <c r="M828" s="14">
        <v>4</v>
      </c>
      <c r="N828" s="14">
        <v>2796</v>
      </c>
      <c r="O828" s="14">
        <v>1640</v>
      </c>
      <c r="P828" s="14">
        <v>0</v>
      </c>
      <c r="Q828" s="14" t="s">
        <v>103</v>
      </c>
      <c r="R828" s="14" t="s">
        <v>31</v>
      </c>
      <c r="S828" s="14">
        <v>45772</v>
      </c>
      <c r="T828" s="14">
        <v>2</v>
      </c>
    </row>
    <row r="829" spans="1:20" x14ac:dyDescent="0.3">
      <c r="A829" t="s">
        <v>1411</v>
      </c>
      <c r="B829">
        <v>45567</v>
      </c>
      <c r="C829" t="s">
        <v>429</v>
      </c>
      <c r="D829" t="s">
        <v>315</v>
      </c>
      <c r="E829" t="s">
        <v>77</v>
      </c>
      <c r="F829">
        <v>23</v>
      </c>
      <c r="G829" t="s">
        <v>69</v>
      </c>
      <c r="H829" s="14" t="s">
        <v>69</v>
      </c>
      <c r="I829" s="14" t="s">
        <v>304</v>
      </c>
      <c r="J829" s="14" t="s">
        <v>305</v>
      </c>
      <c r="K829" s="14" t="s">
        <v>28</v>
      </c>
      <c r="L829" s="14" t="s">
        <v>231</v>
      </c>
      <c r="M829" s="14">
        <v>5</v>
      </c>
      <c r="N829" s="14">
        <v>8095.5</v>
      </c>
      <c r="O829" s="14">
        <v>5400</v>
      </c>
      <c r="P829" s="14">
        <v>10</v>
      </c>
      <c r="Q829" s="14" t="s">
        <v>41</v>
      </c>
      <c r="R829" s="14" t="s">
        <v>65</v>
      </c>
    </row>
    <row r="830" spans="1:20" x14ac:dyDescent="0.3">
      <c r="A830" t="s">
        <v>1412</v>
      </c>
      <c r="B830">
        <v>45708</v>
      </c>
      <c r="C830" t="s">
        <v>538</v>
      </c>
      <c r="D830" t="s">
        <v>539</v>
      </c>
      <c r="E830" t="s">
        <v>23</v>
      </c>
      <c r="F830">
        <v>49</v>
      </c>
      <c r="G830" t="s">
        <v>46</v>
      </c>
      <c r="H830" s="14" t="s">
        <v>25</v>
      </c>
      <c r="I830" s="14" t="s">
        <v>92</v>
      </c>
      <c r="J830" s="14" t="s">
        <v>93</v>
      </c>
      <c r="K830" s="14" t="s">
        <v>87</v>
      </c>
      <c r="L830" s="14" t="s">
        <v>94</v>
      </c>
      <c r="M830" s="14">
        <v>5</v>
      </c>
      <c r="N830" s="14">
        <v>6795.75</v>
      </c>
      <c r="O830" s="14">
        <v>4650</v>
      </c>
      <c r="P830" s="14">
        <v>15</v>
      </c>
      <c r="Q830" s="14" t="s">
        <v>30</v>
      </c>
      <c r="R830" s="14" t="s">
        <v>42</v>
      </c>
      <c r="S830" s="14">
        <v>45718</v>
      </c>
      <c r="T830" s="14">
        <v>3</v>
      </c>
    </row>
    <row r="831" spans="1:20" x14ac:dyDescent="0.3">
      <c r="A831" t="s">
        <v>1413</v>
      </c>
      <c r="B831">
        <v>45543</v>
      </c>
      <c r="C831" t="s">
        <v>886</v>
      </c>
      <c r="D831" t="s">
        <v>887</v>
      </c>
      <c r="E831" t="s">
        <v>77</v>
      </c>
      <c r="F831">
        <v>49</v>
      </c>
      <c r="G831" t="s">
        <v>122</v>
      </c>
      <c r="H831" s="14" t="s">
        <v>123</v>
      </c>
      <c r="I831" s="14" t="s">
        <v>222</v>
      </c>
      <c r="J831" s="14" t="s">
        <v>223</v>
      </c>
      <c r="K831" s="14" t="s">
        <v>114</v>
      </c>
      <c r="L831" s="14" t="s">
        <v>115</v>
      </c>
      <c r="M831" s="14">
        <v>4</v>
      </c>
      <c r="N831" s="14">
        <v>3596</v>
      </c>
      <c r="O831" s="14">
        <v>2040</v>
      </c>
      <c r="P831" s="14">
        <v>0</v>
      </c>
      <c r="Q831" s="14" t="s">
        <v>73</v>
      </c>
      <c r="R831" s="14" t="s">
        <v>57</v>
      </c>
      <c r="S831" s="14">
        <v>45552</v>
      </c>
      <c r="T831" s="14">
        <v>4</v>
      </c>
    </row>
    <row r="832" spans="1:20" x14ac:dyDescent="0.3">
      <c r="A832" t="s">
        <v>1414</v>
      </c>
      <c r="B832">
        <v>45960</v>
      </c>
      <c r="C832" t="s">
        <v>190</v>
      </c>
      <c r="D832" t="s">
        <v>191</v>
      </c>
      <c r="E832" t="s">
        <v>23</v>
      </c>
      <c r="F832">
        <v>45</v>
      </c>
      <c r="G832" t="s">
        <v>161</v>
      </c>
      <c r="H832" s="14" t="s">
        <v>25</v>
      </c>
      <c r="I832" s="14" t="s">
        <v>26</v>
      </c>
      <c r="J832" s="14" t="s">
        <v>27</v>
      </c>
      <c r="K832" s="14" t="s">
        <v>28</v>
      </c>
      <c r="L832" s="14" t="s">
        <v>29</v>
      </c>
      <c r="M832" s="14">
        <v>4</v>
      </c>
      <c r="N832" s="14">
        <v>4156.8</v>
      </c>
      <c r="O832" s="14">
        <v>3160</v>
      </c>
      <c r="P832" s="14">
        <v>20</v>
      </c>
      <c r="Q832" s="14" t="s">
        <v>50</v>
      </c>
      <c r="R832" s="14" t="s">
        <v>42</v>
      </c>
      <c r="S832" s="14">
        <v>45972</v>
      </c>
      <c r="T832" s="14">
        <v>5</v>
      </c>
    </row>
    <row r="833" spans="1:20" x14ac:dyDescent="0.3">
      <c r="A833" t="s">
        <v>1415</v>
      </c>
      <c r="B833">
        <v>45651</v>
      </c>
      <c r="C833" t="s">
        <v>904</v>
      </c>
      <c r="D833" t="s">
        <v>358</v>
      </c>
      <c r="E833" t="s">
        <v>23</v>
      </c>
      <c r="F833">
        <v>48</v>
      </c>
      <c r="G833" t="s">
        <v>35</v>
      </c>
      <c r="H833" s="14" t="s">
        <v>36</v>
      </c>
      <c r="I833" s="14" t="s">
        <v>26</v>
      </c>
      <c r="J833" s="14" t="s">
        <v>27</v>
      </c>
      <c r="K833" s="14" t="s">
        <v>28</v>
      </c>
      <c r="L833" s="14" t="s">
        <v>29</v>
      </c>
      <c r="M833" s="14">
        <v>2</v>
      </c>
      <c r="N833" s="14">
        <v>2468.1</v>
      </c>
      <c r="O833" s="14">
        <v>1580</v>
      </c>
      <c r="P833" s="14">
        <v>5</v>
      </c>
      <c r="Q833" s="14" t="s">
        <v>41</v>
      </c>
      <c r="R833" s="14" t="s">
        <v>42</v>
      </c>
      <c r="S833" s="14">
        <v>45659</v>
      </c>
      <c r="T833" s="14">
        <v>3</v>
      </c>
    </row>
    <row r="834" spans="1:20" x14ac:dyDescent="0.3">
      <c r="A834" t="s">
        <v>1416</v>
      </c>
      <c r="B834">
        <v>45435</v>
      </c>
      <c r="C834" t="s">
        <v>1417</v>
      </c>
      <c r="D834" t="s">
        <v>1418</v>
      </c>
      <c r="E834" t="s">
        <v>77</v>
      </c>
      <c r="F834">
        <v>43</v>
      </c>
      <c r="G834" t="s">
        <v>207</v>
      </c>
      <c r="H834" s="14" t="s">
        <v>36</v>
      </c>
      <c r="I834" s="14" t="s">
        <v>134</v>
      </c>
      <c r="J834" s="14" t="s">
        <v>135</v>
      </c>
      <c r="K834" s="14" t="s">
        <v>39</v>
      </c>
      <c r="L834" s="14" t="s">
        <v>136</v>
      </c>
      <c r="M834" s="14">
        <v>2</v>
      </c>
      <c r="N834" s="14">
        <v>298.5</v>
      </c>
      <c r="O834" s="14">
        <v>180</v>
      </c>
      <c r="P834" s="14">
        <v>25</v>
      </c>
      <c r="Q834" s="14" t="s">
        <v>41</v>
      </c>
      <c r="R834" s="14" t="s">
        <v>31</v>
      </c>
      <c r="S834" s="14">
        <v>45441</v>
      </c>
      <c r="T834" s="14">
        <v>5</v>
      </c>
    </row>
    <row r="835" spans="1:20" x14ac:dyDescent="0.3">
      <c r="A835" t="s">
        <v>1419</v>
      </c>
      <c r="B835">
        <v>45571</v>
      </c>
      <c r="C835" t="s">
        <v>706</v>
      </c>
      <c r="D835" t="s">
        <v>303</v>
      </c>
      <c r="E835" t="s">
        <v>77</v>
      </c>
      <c r="F835">
        <v>40</v>
      </c>
      <c r="G835" t="s">
        <v>126</v>
      </c>
      <c r="H835" s="14" t="s">
        <v>127</v>
      </c>
      <c r="I835" s="14" t="s">
        <v>183</v>
      </c>
      <c r="J835" s="14" t="s">
        <v>184</v>
      </c>
      <c r="K835" s="14" t="s">
        <v>130</v>
      </c>
      <c r="L835" s="14" t="s">
        <v>185</v>
      </c>
      <c r="M835" s="14">
        <v>2</v>
      </c>
      <c r="N835" s="14">
        <v>4798.8</v>
      </c>
      <c r="O835" s="14">
        <v>6100</v>
      </c>
      <c r="P835" s="14">
        <v>40</v>
      </c>
      <c r="Q835" s="14" t="s">
        <v>50</v>
      </c>
      <c r="R835" s="14" t="s">
        <v>42</v>
      </c>
      <c r="S835" s="14">
        <v>45573</v>
      </c>
      <c r="T835" s="14">
        <v>3</v>
      </c>
    </row>
    <row r="836" spans="1:20" x14ac:dyDescent="0.3">
      <c r="A836" t="s">
        <v>1420</v>
      </c>
      <c r="B836">
        <v>45953</v>
      </c>
      <c r="C836" t="s">
        <v>1247</v>
      </c>
      <c r="D836" t="s">
        <v>323</v>
      </c>
      <c r="E836" t="s">
        <v>23</v>
      </c>
      <c r="F836">
        <v>33</v>
      </c>
      <c r="G836" t="s">
        <v>101</v>
      </c>
      <c r="H836" s="14" t="s">
        <v>102</v>
      </c>
      <c r="I836" s="14" t="s">
        <v>80</v>
      </c>
      <c r="J836" s="14" t="s">
        <v>81</v>
      </c>
      <c r="K836" s="14" t="s">
        <v>28</v>
      </c>
      <c r="L836" s="14" t="s">
        <v>29</v>
      </c>
      <c r="M836" s="14">
        <v>1</v>
      </c>
      <c r="N836" s="14">
        <v>719.1</v>
      </c>
      <c r="O836" s="14">
        <v>470</v>
      </c>
      <c r="P836" s="14">
        <v>10</v>
      </c>
      <c r="Q836" s="14" t="s">
        <v>103</v>
      </c>
      <c r="R836" s="14" t="s">
        <v>65</v>
      </c>
    </row>
    <row r="837" spans="1:20" x14ac:dyDescent="0.3">
      <c r="A837" t="s">
        <v>1421</v>
      </c>
      <c r="B837">
        <v>46005</v>
      </c>
      <c r="C837" t="s">
        <v>1422</v>
      </c>
      <c r="D837" t="s">
        <v>402</v>
      </c>
      <c r="E837" t="s">
        <v>23</v>
      </c>
      <c r="F837">
        <v>41</v>
      </c>
      <c r="G837" t="s">
        <v>165</v>
      </c>
      <c r="H837" s="14" t="s">
        <v>166</v>
      </c>
      <c r="I837" s="14" t="s">
        <v>222</v>
      </c>
      <c r="J837" s="14" t="s">
        <v>223</v>
      </c>
      <c r="K837" s="14" t="s">
        <v>114</v>
      </c>
      <c r="L837" s="14" t="s">
        <v>115</v>
      </c>
      <c r="M837" s="14">
        <v>1</v>
      </c>
      <c r="N837" s="14">
        <v>854.05</v>
      </c>
      <c r="O837" s="14">
        <v>510</v>
      </c>
      <c r="P837" s="14">
        <v>5</v>
      </c>
      <c r="Q837" s="14" t="s">
        <v>50</v>
      </c>
      <c r="R837" s="14" t="s">
        <v>42</v>
      </c>
      <c r="S837" s="14">
        <v>46017</v>
      </c>
      <c r="T837" s="14">
        <v>5</v>
      </c>
    </row>
    <row r="838" spans="1:20" x14ac:dyDescent="0.3">
      <c r="A838" t="s">
        <v>1423</v>
      </c>
      <c r="B838">
        <v>45980</v>
      </c>
      <c r="C838" t="s">
        <v>404</v>
      </c>
      <c r="D838" t="s">
        <v>326</v>
      </c>
      <c r="E838" t="s">
        <v>23</v>
      </c>
      <c r="F838">
        <v>54</v>
      </c>
      <c r="G838" t="s">
        <v>211</v>
      </c>
      <c r="H838" s="14" t="s">
        <v>127</v>
      </c>
      <c r="I838" s="14" t="s">
        <v>47</v>
      </c>
      <c r="J838" s="14" t="s">
        <v>48</v>
      </c>
      <c r="K838" s="14" t="s">
        <v>39</v>
      </c>
      <c r="L838" s="14" t="s">
        <v>49</v>
      </c>
      <c r="M838" s="14">
        <v>5</v>
      </c>
      <c r="N838" s="14">
        <v>1496.25</v>
      </c>
      <c r="O838" s="14">
        <v>1050</v>
      </c>
      <c r="P838" s="14">
        <v>25</v>
      </c>
      <c r="Q838" s="14" t="s">
        <v>103</v>
      </c>
      <c r="R838" s="14" t="s">
        <v>42</v>
      </c>
      <c r="S838" s="14">
        <v>45982</v>
      </c>
      <c r="T838" s="14">
        <v>3</v>
      </c>
    </row>
    <row r="839" spans="1:20" x14ac:dyDescent="0.3">
      <c r="A839" t="s">
        <v>1424</v>
      </c>
      <c r="B839">
        <v>45765</v>
      </c>
      <c r="C839" t="s">
        <v>294</v>
      </c>
      <c r="D839" t="s">
        <v>295</v>
      </c>
      <c r="E839" t="s">
        <v>77</v>
      </c>
      <c r="F839">
        <v>31</v>
      </c>
      <c r="G839" t="s">
        <v>154</v>
      </c>
      <c r="H839" s="14" t="s">
        <v>91</v>
      </c>
      <c r="I839" s="14" t="s">
        <v>63</v>
      </c>
      <c r="J839" s="14" t="s">
        <v>64</v>
      </c>
      <c r="K839" s="14" t="s">
        <v>39</v>
      </c>
      <c r="L839" s="14" t="s">
        <v>40</v>
      </c>
      <c r="M839" s="14">
        <v>1</v>
      </c>
      <c r="N839" s="14">
        <v>509.15</v>
      </c>
      <c r="O839" s="14">
        <v>330</v>
      </c>
      <c r="P839" s="14">
        <v>15</v>
      </c>
      <c r="Q839" s="14" t="s">
        <v>73</v>
      </c>
      <c r="R839" s="14" t="s">
        <v>57</v>
      </c>
      <c r="S839" s="14">
        <v>45771</v>
      </c>
      <c r="T839" s="14">
        <v>4</v>
      </c>
    </row>
    <row r="840" spans="1:20" x14ac:dyDescent="0.3">
      <c r="A840" t="s">
        <v>1425</v>
      </c>
      <c r="B840">
        <v>45488</v>
      </c>
      <c r="C840" t="s">
        <v>105</v>
      </c>
      <c r="D840" t="s">
        <v>106</v>
      </c>
      <c r="E840" t="s">
        <v>77</v>
      </c>
      <c r="F840">
        <v>45</v>
      </c>
      <c r="G840" t="s">
        <v>35</v>
      </c>
      <c r="H840" s="14" t="s">
        <v>36</v>
      </c>
      <c r="I840" s="14" t="s">
        <v>85</v>
      </c>
      <c r="J840" s="14" t="s">
        <v>86</v>
      </c>
      <c r="K840" s="14" t="s">
        <v>87</v>
      </c>
      <c r="L840" s="14" t="s">
        <v>88</v>
      </c>
      <c r="M840" s="14">
        <v>2</v>
      </c>
      <c r="N840" s="14">
        <v>2378.3000000000002</v>
      </c>
      <c r="O840" s="14">
        <v>1580</v>
      </c>
      <c r="P840" s="14">
        <v>15</v>
      </c>
      <c r="Q840" s="14" t="s">
        <v>103</v>
      </c>
      <c r="R840" s="14" t="s">
        <v>42</v>
      </c>
      <c r="S840" s="14">
        <v>45490</v>
      </c>
      <c r="T840" s="14">
        <v>4</v>
      </c>
    </row>
    <row r="841" spans="1:20" x14ac:dyDescent="0.3">
      <c r="A841" t="s">
        <v>1426</v>
      </c>
      <c r="B841">
        <v>45796</v>
      </c>
      <c r="C841" t="s">
        <v>849</v>
      </c>
      <c r="D841" t="s">
        <v>850</v>
      </c>
      <c r="E841" t="s">
        <v>23</v>
      </c>
      <c r="F841">
        <v>21</v>
      </c>
      <c r="G841" t="s">
        <v>161</v>
      </c>
      <c r="H841" s="14" t="s">
        <v>25</v>
      </c>
      <c r="I841" s="14" t="s">
        <v>70</v>
      </c>
      <c r="J841" s="14" t="s">
        <v>71</v>
      </c>
      <c r="K841" s="14" t="s">
        <v>28</v>
      </c>
      <c r="L841" s="14" t="s">
        <v>72</v>
      </c>
      <c r="M841" s="14">
        <v>4</v>
      </c>
      <c r="N841" s="14">
        <v>5696.2</v>
      </c>
      <c r="O841" s="14">
        <v>3680</v>
      </c>
      <c r="P841" s="14">
        <v>5</v>
      </c>
      <c r="Q841" s="14" t="s">
        <v>41</v>
      </c>
      <c r="R841" s="14" t="s">
        <v>65</v>
      </c>
    </row>
    <row r="842" spans="1:20" x14ac:dyDescent="0.3">
      <c r="A842" t="s">
        <v>1427</v>
      </c>
      <c r="B842">
        <v>45804</v>
      </c>
      <c r="C842" t="s">
        <v>1339</v>
      </c>
      <c r="D842" t="s">
        <v>1340</v>
      </c>
      <c r="E842" t="s">
        <v>23</v>
      </c>
      <c r="F842">
        <v>25</v>
      </c>
      <c r="G842" t="s">
        <v>78</v>
      </c>
      <c r="H842" s="14" t="s">
        <v>79</v>
      </c>
      <c r="I842" s="14" t="s">
        <v>222</v>
      </c>
      <c r="J842" s="14" t="s">
        <v>223</v>
      </c>
      <c r="K842" s="14" t="s">
        <v>114</v>
      </c>
      <c r="L842" s="14" t="s">
        <v>115</v>
      </c>
      <c r="M842" s="14">
        <v>2</v>
      </c>
      <c r="N842" s="14">
        <v>1618.2</v>
      </c>
      <c r="O842" s="14">
        <v>1020</v>
      </c>
      <c r="P842" s="14">
        <v>10</v>
      </c>
      <c r="Q842" s="14" t="s">
        <v>73</v>
      </c>
      <c r="R842" s="14" t="s">
        <v>65</v>
      </c>
    </row>
    <row r="843" spans="1:20" x14ac:dyDescent="0.3">
      <c r="A843" t="s">
        <v>1428</v>
      </c>
      <c r="B843">
        <v>45423</v>
      </c>
      <c r="C843" t="s">
        <v>769</v>
      </c>
      <c r="D843" t="s">
        <v>326</v>
      </c>
      <c r="E843" t="s">
        <v>23</v>
      </c>
      <c r="F843">
        <v>20</v>
      </c>
      <c r="G843" t="s">
        <v>173</v>
      </c>
      <c r="H843" s="14" t="s">
        <v>79</v>
      </c>
      <c r="I843" s="14" t="s">
        <v>128</v>
      </c>
      <c r="J843" s="14" t="s">
        <v>129</v>
      </c>
      <c r="K843" s="14" t="s">
        <v>130</v>
      </c>
      <c r="L843" s="14" t="s">
        <v>131</v>
      </c>
      <c r="M843" s="14">
        <v>5</v>
      </c>
      <c r="N843" s="14">
        <v>27620.75</v>
      </c>
      <c r="O843" s="14">
        <v>25500</v>
      </c>
      <c r="P843" s="14">
        <v>15</v>
      </c>
      <c r="Q843" s="14" t="s">
        <v>50</v>
      </c>
      <c r="R843" s="14" t="s">
        <v>31</v>
      </c>
      <c r="S843" s="14">
        <v>45429</v>
      </c>
      <c r="T843" s="14">
        <v>4</v>
      </c>
    </row>
    <row r="844" spans="1:20" x14ac:dyDescent="0.3">
      <c r="A844" t="s">
        <v>1429</v>
      </c>
      <c r="B844">
        <v>45986</v>
      </c>
      <c r="C844" t="s">
        <v>1064</v>
      </c>
      <c r="D844" t="s">
        <v>182</v>
      </c>
      <c r="E844" t="s">
        <v>23</v>
      </c>
      <c r="F844">
        <v>45</v>
      </c>
      <c r="G844" t="s">
        <v>207</v>
      </c>
      <c r="H844" s="14" t="s">
        <v>36</v>
      </c>
      <c r="I844" s="14" t="s">
        <v>107</v>
      </c>
      <c r="J844" s="14" t="s">
        <v>108</v>
      </c>
      <c r="K844" s="14" t="s">
        <v>87</v>
      </c>
      <c r="L844" s="14" t="s">
        <v>88</v>
      </c>
      <c r="M844" s="14">
        <v>5</v>
      </c>
      <c r="N844" s="14">
        <v>2397</v>
      </c>
      <c r="O844" s="14">
        <v>2100</v>
      </c>
      <c r="P844" s="14">
        <v>40</v>
      </c>
      <c r="Q844" s="14" t="s">
        <v>73</v>
      </c>
      <c r="R844" s="14" t="s">
        <v>42</v>
      </c>
      <c r="S844" s="14">
        <v>45998</v>
      </c>
      <c r="T844" s="14">
        <v>2</v>
      </c>
    </row>
    <row r="845" spans="1:20" x14ac:dyDescent="0.3">
      <c r="A845" t="s">
        <v>1430</v>
      </c>
      <c r="B845">
        <v>45622</v>
      </c>
      <c r="C845" t="s">
        <v>1146</v>
      </c>
      <c r="D845" t="s">
        <v>1147</v>
      </c>
      <c r="E845" t="s">
        <v>77</v>
      </c>
      <c r="F845">
        <v>47</v>
      </c>
      <c r="G845" t="s">
        <v>122</v>
      </c>
      <c r="H845" s="14" t="s">
        <v>123</v>
      </c>
      <c r="I845" s="14" t="s">
        <v>128</v>
      </c>
      <c r="J845" s="14" t="s">
        <v>129</v>
      </c>
      <c r="K845" s="14" t="s">
        <v>130</v>
      </c>
      <c r="L845" s="14" t="s">
        <v>131</v>
      </c>
      <c r="M845" s="14">
        <v>1</v>
      </c>
      <c r="N845" s="14">
        <v>3899.4</v>
      </c>
      <c r="O845" s="14">
        <v>5100</v>
      </c>
      <c r="P845" s="14">
        <v>40</v>
      </c>
      <c r="Q845" s="14" t="s">
        <v>103</v>
      </c>
      <c r="R845" s="14" t="s">
        <v>42</v>
      </c>
      <c r="S845" s="14">
        <v>45632</v>
      </c>
      <c r="T845" s="14">
        <v>2</v>
      </c>
    </row>
    <row r="846" spans="1:20" x14ac:dyDescent="0.3">
      <c r="A846" t="s">
        <v>1431</v>
      </c>
      <c r="B846">
        <v>45521</v>
      </c>
      <c r="C846" t="s">
        <v>809</v>
      </c>
      <c r="D846" t="s">
        <v>810</v>
      </c>
      <c r="E846" t="s">
        <v>77</v>
      </c>
      <c r="F846">
        <v>41</v>
      </c>
      <c r="G846" t="s">
        <v>207</v>
      </c>
      <c r="H846" s="14" t="s">
        <v>36</v>
      </c>
      <c r="I846" s="14" t="s">
        <v>134</v>
      </c>
      <c r="J846" s="14" t="s">
        <v>135</v>
      </c>
      <c r="K846" s="14" t="s">
        <v>39</v>
      </c>
      <c r="L846" s="14" t="s">
        <v>136</v>
      </c>
      <c r="M846" s="14">
        <v>5</v>
      </c>
      <c r="N846" s="14">
        <v>597</v>
      </c>
      <c r="O846" s="14">
        <v>450</v>
      </c>
      <c r="P846" s="14">
        <v>40</v>
      </c>
      <c r="Q846" s="14" t="s">
        <v>41</v>
      </c>
      <c r="R846" s="14" t="s">
        <v>42</v>
      </c>
      <c r="S846" s="14">
        <v>45529</v>
      </c>
      <c r="T846" s="14">
        <v>4</v>
      </c>
    </row>
    <row r="847" spans="1:20" x14ac:dyDescent="0.3">
      <c r="A847" t="s">
        <v>1432</v>
      </c>
      <c r="B847">
        <v>45634</v>
      </c>
      <c r="C847" t="s">
        <v>297</v>
      </c>
      <c r="D847" t="s">
        <v>298</v>
      </c>
      <c r="E847" t="s">
        <v>1433</v>
      </c>
      <c r="F847">
        <v>55</v>
      </c>
      <c r="G847" t="s">
        <v>161</v>
      </c>
      <c r="H847" s="14" t="s">
        <v>25</v>
      </c>
      <c r="I847" s="14" t="s">
        <v>177</v>
      </c>
      <c r="J847" s="14" t="s">
        <v>178</v>
      </c>
      <c r="K847" s="14" t="s">
        <v>87</v>
      </c>
      <c r="L847" s="14" t="s">
        <v>179</v>
      </c>
      <c r="M847" s="14">
        <v>2</v>
      </c>
      <c r="N847" s="14">
        <v>3498.6</v>
      </c>
      <c r="O847" s="14">
        <v>3240</v>
      </c>
      <c r="P847" s="14">
        <v>30</v>
      </c>
      <c r="Q847" s="14" t="s">
        <v>73</v>
      </c>
      <c r="R847" s="14" t="s">
        <v>42</v>
      </c>
      <c r="S847" s="14">
        <v>45639</v>
      </c>
      <c r="T847" s="14">
        <v>3</v>
      </c>
    </row>
    <row r="848" spans="1:20" x14ac:dyDescent="0.3">
      <c r="A848" t="s">
        <v>1434</v>
      </c>
      <c r="B848">
        <v>45629</v>
      </c>
      <c r="C848" t="s">
        <v>999</v>
      </c>
      <c r="D848" t="s">
        <v>210</v>
      </c>
      <c r="E848" t="s">
        <v>23</v>
      </c>
      <c r="F848">
        <v>47</v>
      </c>
      <c r="G848" t="s">
        <v>46</v>
      </c>
      <c r="H848" s="14" t="s">
        <v>25</v>
      </c>
      <c r="I848" s="14" t="s">
        <v>92</v>
      </c>
      <c r="J848" s="14" t="s">
        <v>93</v>
      </c>
      <c r="K848" s="14" t="s">
        <v>87</v>
      </c>
      <c r="L848" s="14" t="s">
        <v>94</v>
      </c>
      <c r="M848" s="14">
        <v>1</v>
      </c>
      <c r="N848" s="14">
        <v>1599</v>
      </c>
      <c r="O848" s="14">
        <v>930</v>
      </c>
      <c r="P848" s="14">
        <v>0</v>
      </c>
      <c r="Q848" s="14" t="s">
        <v>103</v>
      </c>
      <c r="R848" s="14" t="s">
        <v>42</v>
      </c>
      <c r="S848" s="14">
        <v>45631</v>
      </c>
      <c r="T848" s="14">
        <v>4</v>
      </c>
    </row>
    <row r="849" spans="1:20" x14ac:dyDescent="0.3">
      <c r="A849" t="s">
        <v>1435</v>
      </c>
      <c r="B849">
        <v>45548</v>
      </c>
      <c r="C849" t="s">
        <v>343</v>
      </c>
      <c r="D849" t="s">
        <v>188</v>
      </c>
      <c r="E849" t="s">
        <v>23</v>
      </c>
      <c r="F849">
        <v>41</v>
      </c>
      <c r="G849" t="s">
        <v>69</v>
      </c>
      <c r="H849" s="14" t="s">
        <v>69</v>
      </c>
      <c r="I849" s="14" t="s">
        <v>37</v>
      </c>
      <c r="J849" s="14" t="s">
        <v>38</v>
      </c>
      <c r="K849" s="14" t="s">
        <v>39</v>
      </c>
      <c r="L849" s="14" t="s">
        <v>40</v>
      </c>
      <c r="M849" s="14">
        <v>2</v>
      </c>
      <c r="N849" s="14">
        <v>1348.5</v>
      </c>
      <c r="O849" s="14">
        <v>1040</v>
      </c>
      <c r="P849" s="14">
        <v>25</v>
      </c>
      <c r="Q849" s="14" t="s">
        <v>73</v>
      </c>
      <c r="R849" s="14" t="s">
        <v>57</v>
      </c>
      <c r="S849" s="14">
        <v>45555</v>
      </c>
      <c r="T849" s="14">
        <v>4</v>
      </c>
    </row>
    <row r="850" spans="1:20" x14ac:dyDescent="0.3">
      <c r="A850" t="s">
        <v>1436</v>
      </c>
      <c r="B850">
        <v>45366</v>
      </c>
      <c r="C850" t="s">
        <v>996</v>
      </c>
      <c r="D850" t="s">
        <v>997</v>
      </c>
      <c r="E850" t="s">
        <v>23</v>
      </c>
      <c r="F850">
        <v>54</v>
      </c>
      <c r="G850" t="s">
        <v>69</v>
      </c>
      <c r="H850" s="14" t="s">
        <v>69</v>
      </c>
      <c r="I850" s="14" t="s">
        <v>92</v>
      </c>
      <c r="J850" s="14" t="s">
        <v>93</v>
      </c>
      <c r="K850" s="14" t="s">
        <v>87</v>
      </c>
      <c r="L850" s="14" t="s">
        <v>94</v>
      </c>
      <c r="M850" s="14">
        <v>4</v>
      </c>
      <c r="N850" s="14">
        <v>6076.2</v>
      </c>
      <c r="O850" s="14">
        <v>3720</v>
      </c>
      <c r="P850" s="14">
        <v>5</v>
      </c>
      <c r="Q850" s="14" t="s">
        <v>73</v>
      </c>
      <c r="R850" s="14" t="s">
        <v>42</v>
      </c>
      <c r="S850" s="14">
        <v>45368</v>
      </c>
      <c r="T850" s="14">
        <v>5</v>
      </c>
    </row>
    <row r="851" spans="1:20" x14ac:dyDescent="0.3">
      <c r="A851" t="s">
        <v>1437</v>
      </c>
      <c r="B851">
        <v>45612</v>
      </c>
      <c r="C851" t="s">
        <v>769</v>
      </c>
      <c r="D851" t="s">
        <v>326</v>
      </c>
      <c r="E851" t="s">
        <v>23</v>
      </c>
      <c r="F851">
        <v>20</v>
      </c>
      <c r="G851" t="s">
        <v>173</v>
      </c>
      <c r="H851" s="14" t="s">
        <v>79</v>
      </c>
      <c r="I851" s="14" t="s">
        <v>26</v>
      </c>
      <c r="J851" s="14" t="s">
        <v>27</v>
      </c>
      <c r="K851" s="14" t="s">
        <v>28</v>
      </c>
      <c r="L851" s="14" t="s">
        <v>29</v>
      </c>
      <c r="M851" s="14">
        <v>4</v>
      </c>
      <c r="N851" s="14">
        <v>5196</v>
      </c>
      <c r="O851" s="14">
        <v>3160</v>
      </c>
      <c r="P851" s="14">
        <v>0</v>
      </c>
      <c r="Q851" s="14" t="s">
        <v>41</v>
      </c>
      <c r="R851" s="14" t="s">
        <v>65</v>
      </c>
    </row>
    <row r="852" spans="1:20" x14ac:dyDescent="0.3">
      <c r="A852" t="s">
        <v>1438</v>
      </c>
      <c r="B852">
        <v>45933</v>
      </c>
      <c r="C852" t="s">
        <v>1146</v>
      </c>
      <c r="D852" t="s">
        <v>1147</v>
      </c>
      <c r="E852" t="s">
        <v>77</v>
      </c>
      <c r="F852">
        <v>47</v>
      </c>
      <c r="G852" t="s">
        <v>46</v>
      </c>
      <c r="H852" s="14" t="s">
        <v>25</v>
      </c>
      <c r="I852" s="14" t="s">
        <v>229</v>
      </c>
      <c r="J852" s="14" t="s">
        <v>230</v>
      </c>
      <c r="K852" s="14" t="s">
        <v>28</v>
      </c>
      <c r="L852" s="14" t="s">
        <v>231</v>
      </c>
      <c r="M852" s="14">
        <v>1</v>
      </c>
      <c r="N852" s="14">
        <v>1999</v>
      </c>
      <c r="O852" s="14">
        <v>1230</v>
      </c>
      <c r="P852" s="14">
        <v>0</v>
      </c>
      <c r="Q852" s="14" t="s">
        <v>41</v>
      </c>
      <c r="R852" s="14" t="s">
        <v>57</v>
      </c>
      <c r="S852" s="14">
        <v>45941</v>
      </c>
      <c r="T852" s="14">
        <v>5</v>
      </c>
    </row>
    <row r="853" spans="1:20" x14ac:dyDescent="0.3">
      <c r="A853" t="s">
        <v>1439</v>
      </c>
      <c r="B853">
        <v>45390</v>
      </c>
      <c r="C853" t="s">
        <v>918</v>
      </c>
      <c r="D853" t="s">
        <v>182</v>
      </c>
      <c r="E853" t="s">
        <v>23</v>
      </c>
      <c r="F853">
        <v>48</v>
      </c>
      <c r="G853" t="s">
        <v>90</v>
      </c>
      <c r="H853" s="14" t="s">
        <v>91</v>
      </c>
      <c r="I853" s="14" t="s">
        <v>155</v>
      </c>
      <c r="J853" s="14" t="s">
        <v>156</v>
      </c>
      <c r="K853" s="14" t="s">
        <v>114</v>
      </c>
      <c r="L853" s="14" t="s">
        <v>157</v>
      </c>
      <c r="M853" s="14">
        <v>5</v>
      </c>
      <c r="N853" s="14">
        <v>4995</v>
      </c>
      <c r="O853" s="14">
        <v>3050</v>
      </c>
      <c r="P853" s="14">
        <v>0</v>
      </c>
      <c r="Q853" s="14" t="s">
        <v>103</v>
      </c>
      <c r="R853" s="14" t="s">
        <v>42</v>
      </c>
      <c r="S853" s="14">
        <v>45399</v>
      </c>
      <c r="T853" s="14">
        <v>5</v>
      </c>
    </row>
    <row r="854" spans="1:20" x14ac:dyDescent="0.3">
      <c r="A854" t="s">
        <v>1440</v>
      </c>
      <c r="B854">
        <v>45927</v>
      </c>
      <c r="C854" t="s">
        <v>723</v>
      </c>
      <c r="D854" t="s">
        <v>724</v>
      </c>
      <c r="E854" t="s">
        <v>77</v>
      </c>
      <c r="F854">
        <v>35</v>
      </c>
      <c r="G854" t="s">
        <v>126</v>
      </c>
      <c r="H854" s="14" t="s">
        <v>127</v>
      </c>
      <c r="I854" s="14" t="s">
        <v>92</v>
      </c>
      <c r="J854" s="14" t="s">
        <v>93</v>
      </c>
      <c r="K854" s="14" t="s">
        <v>87</v>
      </c>
      <c r="L854" s="14" t="s">
        <v>94</v>
      </c>
      <c r="M854" s="14">
        <v>1</v>
      </c>
      <c r="N854" s="14">
        <v>959.4</v>
      </c>
      <c r="O854" s="14">
        <v>930</v>
      </c>
      <c r="P854" s="14">
        <v>40</v>
      </c>
      <c r="Q854" s="14" t="s">
        <v>50</v>
      </c>
      <c r="R854" s="14" t="s">
        <v>42</v>
      </c>
      <c r="S854" s="14">
        <v>45938</v>
      </c>
      <c r="T854" s="14">
        <v>4</v>
      </c>
    </row>
    <row r="855" spans="1:20" x14ac:dyDescent="0.3">
      <c r="A855" t="s">
        <v>1441</v>
      </c>
      <c r="B855">
        <v>45402</v>
      </c>
      <c r="C855" t="s">
        <v>650</v>
      </c>
      <c r="D855" t="s">
        <v>638</v>
      </c>
      <c r="E855" t="s">
        <v>77</v>
      </c>
      <c r="F855">
        <v>25</v>
      </c>
      <c r="G855" t="s">
        <v>161</v>
      </c>
      <c r="H855" s="14" t="s">
        <v>25</v>
      </c>
      <c r="I855" s="14" t="s">
        <v>155</v>
      </c>
      <c r="J855" s="14" t="s">
        <v>156</v>
      </c>
      <c r="K855" s="14" t="s">
        <v>114</v>
      </c>
      <c r="L855" s="14" t="s">
        <v>157</v>
      </c>
      <c r="M855" s="14">
        <v>1</v>
      </c>
      <c r="N855" s="14">
        <v>849.15</v>
      </c>
      <c r="O855" s="14">
        <v>610</v>
      </c>
      <c r="P855" s="14">
        <v>15</v>
      </c>
      <c r="Q855" s="14" t="s">
        <v>50</v>
      </c>
      <c r="R855" s="14" t="s">
        <v>42</v>
      </c>
      <c r="S855" s="14">
        <v>45414</v>
      </c>
      <c r="T855" s="14">
        <v>4</v>
      </c>
    </row>
    <row r="856" spans="1:20" x14ac:dyDescent="0.3">
      <c r="A856" t="s">
        <v>1442</v>
      </c>
      <c r="B856">
        <v>45655</v>
      </c>
      <c r="C856" t="s">
        <v>1443</v>
      </c>
      <c r="D856" t="s">
        <v>402</v>
      </c>
      <c r="E856" t="s">
        <v>23</v>
      </c>
      <c r="F856">
        <v>33</v>
      </c>
      <c r="G856" t="s">
        <v>101</v>
      </c>
      <c r="H856" s="14" t="s">
        <v>102</v>
      </c>
      <c r="I856" s="14" t="s">
        <v>177</v>
      </c>
      <c r="J856" s="14" t="s">
        <v>178</v>
      </c>
      <c r="K856" s="14" t="s">
        <v>87</v>
      </c>
      <c r="L856" s="14" t="s">
        <v>179</v>
      </c>
      <c r="M856" s="14">
        <v>5</v>
      </c>
      <c r="N856" s="14">
        <v>7497</v>
      </c>
      <c r="O856" s="14">
        <v>8100</v>
      </c>
      <c r="P856" s="14">
        <v>40</v>
      </c>
      <c r="Q856" s="14" t="s">
        <v>30</v>
      </c>
      <c r="R856" s="14" t="s">
        <v>42</v>
      </c>
      <c r="S856" s="14">
        <v>45659</v>
      </c>
      <c r="T856" s="14">
        <v>2</v>
      </c>
    </row>
    <row r="857" spans="1:20" x14ac:dyDescent="0.3">
      <c r="A857" t="s">
        <v>1444</v>
      </c>
      <c r="B857">
        <v>45353</v>
      </c>
      <c r="C857" t="s">
        <v>1445</v>
      </c>
      <c r="D857" t="s">
        <v>172</v>
      </c>
      <c r="E857" t="s">
        <v>23</v>
      </c>
      <c r="F857">
        <v>26</v>
      </c>
      <c r="G857" t="s">
        <v>35</v>
      </c>
      <c r="H857" s="14" t="s">
        <v>36</v>
      </c>
      <c r="I857" s="14" t="s">
        <v>198</v>
      </c>
      <c r="J857" s="14" t="s">
        <v>199</v>
      </c>
      <c r="K857" s="14" t="s">
        <v>114</v>
      </c>
      <c r="L857" s="14" t="s">
        <v>200</v>
      </c>
      <c r="M857" s="14">
        <v>4</v>
      </c>
      <c r="N857" s="14">
        <v>3897</v>
      </c>
      <c r="O857" s="14">
        <v>3040</v>
      </c>
      <c r="P857" s="14">
        <v>25</v>
      </c>
      <c r="Q857" s="14" t="s">
        <v>41</v>
      </c>
      <c r="R857" s="14" t="s">
        <v>65</v>
      </c>
    </row>
    <row r="858" spans="1:20" x14ac:dyDescent="0.3">
      <c r="A858" t="s">
        <v>1446</v>
      </c>
      <c r="B858">
        <v>45846</v>
      </c>
      <c r="C858" t="s">
        <v>193</v>
      </c>
      <c r="D858" t="s">
        <v>194</v>
      </c>
      <c r="E858" t="s">
        <v>23</v>
      </c>
      <c r="F858">
        <v>19</v>
      </c>
      <c r="G858" t="s">
        <v>173</v>
      </c>
      <c r="H858" s="14" t="s">
        <v>79</v>
      </c>
      <c r="I858" s="14" t="s">
        <v>37</v>
      </c>
      <c r="J858" s="14" t="s">
        <v>38</v>
      </c>
      <c r="K858" s="14" t="s">
        <v>39</v>
      </c>
      <c r="L858" s="14" t="s">
        <v>40</v>
      </c>
      <c r="M858" s="14">
        <v>3</v>
      </c>
      <c r="N858" s="14">
        <v>2022.75</v>
      </c>
      <c r="O858" s="14">
        <v>1560</v>
      </c>
      <c r="P858" s="14">
        <v>25</v>
      </c>
      <c r="Q858" s="14" t="s">
        <v>41</v>
      </c>
      <c r="R858" s="14" t="s">
        <v>42</v>
      </c>
      <c r="S858" s="14">
        <v>45848</v>
      </c>
      <c r="T858" s="14">
        <v>3</v>
      </c>
    </row>
    <row r="859" spans="1:20" x14ac:dyDescent="0.3">
      <c r="A859" t="s">
        <v>1447</v>
      </c>
      <c r="B859">
        <v>45350</v>
      </c>
      <c r="C859" t="s">
        <v>1448</v>
      </c>
      <c r="D859" t="s">
        <v>1449</v>
      </c>
      <c r="E859" t="s">
        <v>77</v>
      </c>
      <c r="F859">
        <v>22</v>
      </c>
      <c r="G859" t="s">
        <v>24</v>
      </c>
      <c r="H859" s="14" t="s">
        <v>25</v>
      </c>
      <c r="I859" s="14" t="s">
        <v>134</v>
      </c>
      <c r="J859" s="14" t="s">
        <v>135</v>
      </c>
      <c r="K859" s="14" t="s">
        <v>39</v>
      </c>
      <c r="L859" s="14" t="s">
        <v>136</v>
      </c>
      <c r="M859" s="14">
        <v>3</v>
      </c>
      <c r="N859" s="14">
        <v>507.45</v>
      </c>
      <c r="O859" s="14">
        <v>270</v>
      </c>
      <c r="P859" s="14">
        <v>15</v>
      </c>
      <c r="Q859" s="14" t="s">
        <v>30</v>
      </c>
      <c r="R859" s="14" t="s">
        <v>31</v>
      </c>
      <c r="S859" s="14">
        <v>45355</v>
      </c>
      <c r="T859" s="14">
        <v>3</v>
      </c>
    </row>
    <row r="860" spans="1:20" x14ac:dyDescent="0.3">
      <c r="A860" t="s">
        <v>1450</v>
      </c>
      <c r="B860">
        <v>45641</v>
      </c>
      <c r="C860" t="s">
        <v>550</v>
      </c>
      <c r="D860" t="s">
        <v>482</v>
      </c>
      <c r="E860" t="s">
        <v>23</v>
      </c>
      <c r="F860">
        <v>33</v>
      </c>
      <c r="G860" t="s">
        <v>101</v>
      </c>
      <c r="H860" s="14" t="s">
        <v>102</v>
      </c>
      <c r="I860" s="14" t="s">
        <v>85</v>
      </c>
      <c r="J860" s="14" t="s">
        <v>86</v>
      </c>
      <c r="K860" s="14" t="s">
        <v>87</v>
      </c>
      <c r="L860" s="14" t="s">
        <v>88</v>
      </c>
      <c r="M860" s="14">
        <v>4</v>
      </c>
      <c r="N860" s="14">
        <v>4197</v>
      </c>
      <c r="O860" s="14">
        <v>3160</v>
      </c>
      <c r="P860" s="14">
        <v>25</v>
      </c>
      <c r="Q860" s="14" t="s">
        <v>50</v>
      </c>
      <c r="R860" s="14" t="s">
        <v>65</v>
      </c>
    </row>
    <row r="861" spans="1:20" x14ac:dyDescent="0.3">
      <c r="A861" t="s">
        <v>1451</v>
      </c>
      <c r="B861">
        <v>45635</v>
      </c>
      <c r="C861" t="s">
        <v>1042</v>
      </c>
      <c r="D861" t="s">
        <v>238</v>
      </c>
      <c r="E861" t="s">
        <v>23</v>
      </c>
      <c r="F861">
        <v>33</v>
      </c>
      <c r="G861" t="s">
        <v>122</v>
      </c>
      <c r="H861" s="14" t="s">
        <v>123</v>
      </c>
      <c r="I861" s="14" t="s">
        <v>183</v>
      </c>
      <c r="J861" s="14" t="s">
        <v>184</v>
      </c>
      <c r="K861" s="14" t="s">
        <v>130</v>
      </c>
      <c r="L861" s="14" t="s">
        <v>185</v>
      </c>
      <c r="M861" s="14">
        <v>2</v>
      </c>
      <c r="N861" s="14">
        <v>7598.1</v>
      </c>
      <c r="O861" s="14">
        <v>6100</v>
      </c>
      <c r="P861" s="14">
        <v>5</v>
      </c>
      <c r="Q861" s="14" t="s">
        <v>103</v>
      </c>
      <c r="R861" s="14" t="s">
        <v>57</v>
      </c>
      <c r="S861" s="14">
        <v>45637</v>
      </c>
      <c r="T861" s="14">
        <v>5</v>
      </c>
    </row>
    <row r="862" spans="1:20" x14ac:dyDescent="0.3">
      <c r="A862" t="s">
        <v>1452</v>
      </c>
      <c r="B862">
        <v>45516</v>
      </c>
      <c r="C862" t="s">
        <v>1247</v>
      </c>
      <c r="D862" t="s">
        <v>323</v>
      </c>
      <c r="E862" t="s">
        <v>23</v>
      </c>
      <c r="F862">
        <v>33</v>
      </c>
      <c r="G862" t="s">
        <v>90</v>
      </c>
      <c r="H862" s="14" t="s">
        <v>91</v>
      </c>
      <c r="I862" s="14" t="s">
        <v>85</v>
      </c>
      <c r="J862" s="14" t="s">
        <v>86</v>
      </c>
      <c r="K862" s="14" t="s">
        <v>87</v>
      </c>
      <c r="L862" s="14" t="s">
        <v>88</v>
      </c>
      <c r="M862" s="14">
        <v>2</v>
      </c>
      <c r="N862" s="14">
        <v>1678.8</v>
      </c>
      <c r="O862" s="14">
        <v>1580</v>
      </c>
      <c r="P862" s="14">
        <v>40</v>
      </c>
      <c r="Q862" s="14" t="s">
        <v>50</v>
      </c>
      <c r="R862" s="14" t="s">
        <v>42</v>
      </c>
      <c r="S862" s="14">
        <v>45521</v>
      </c>
      <c r="T862" s="14">
        <v>5</v>
      </c>
    </row>
    <row r="863" spans="1:20" x14ac:dyDescent="0.3">
      <c r="A863" t="s">
        <v>1453</v>
      </c>
      <c r="B863">
        <v>45631</v>
      </c>
      <c r="C863" t="s">
        <v>1454</v>
      </c>
      <c r="D863" t="s">
        <v>1455</v>
      </c>
      <c r="E863" t="s">
        <v>77</v>
      </c>
      <c r="F863">
        <v>58</v>
      </c>
      <c r="G863" t="s">
        <v>154</v>
      </c>
      <c r="H863" s="14" t="s">
        <v>91</v>
      </c>
      <c r="I863" s="14" t="s">
        <v>47</v>
      </c>
      <c r="J863" s="14" t="s">
        <v>48</v>
      </c>
      <c r="K863" s="14" t="s">
        <v>39</v>
      </c>
      <c r="L863" s="14" t="s">
        <v>49</v>
      </c>
      <c r="M863" s="14">
        <v>2</v>
      </c>
      <c r="N863" s="14">
        <v>798</v>
      </c>
      <c r="O863" s="14">
        <v>420</v>
      </c>
      <c r="P863" s="14">
        <v>0</v>
      </c>
      <c r="Q863" s="14" t="s">
        <v>41</v>
      </c>
      <c r="R863" s="14" t="s">
        <v>42</v>
      </c>
      <c r="S863" s="14">
        <v>45634</v>
      </c>
      <c r="T863" s="14">
        <v>4</v>
      </c>
    </row>
    <row r="864" spans="1:20" x14ac:dyDescent="0.3">
      <c r="A864" t="s">
        <v>1456</v>
      </c>
      <c r="B864">
        <v>45322</v>
      </c>
      <c r="C864" t="s">
        <v>1417</v>
      </c>
      <c r="D864" t="s">
        <v>1418</v>
      </c>
      <c r="E864" t="s">
        <v>77</v>
      </c>
      <c r="F864">
        <v>43</v>
      </c>
      <c r="G864" t="s">
        <v>69</v>
      </c>
      <c r="H864" s="14" t="s">
        <v>69</v>
      </c>
      <c r="I864" s="14" t="s">
        <v>252</v>
      </c>
      <c r="J864" s="14" t="s">
        <v>253</v>
      </c>
      <c r="K864" s="14" t="s">
        <v>28</v>
      </c>
      <c r="L864" s="14" t="s">
        <v>254</v>
      </c>
      <c r="M864" s="14">
        <v>3</v>
      </c>
      <c r="N864" s="14">
        <v>5398.2</v>
      </c>
      <c r="O864" s="14">
        <v>5700</v>
      </c>
      <c r="P864" s="14">
        <v>40</v>
      </c>
      <c r="Q864" s="14" t="s">
        <v>30</v>
      </c>
      <c r="R864" s="14" t="s">
        <v>31</v>
      </c>
      <c r="S864" s="14">
        <v>45333</v>
      </c>
      <c r="T864" s="14">
        <v>4</v>
      </c>
    </row>
    <row r="865" spans="1:20" x14ac:dyDescent="0.3">
      <c r="A865" t="s">
        <v>1457</v>
      </c>
      <c r="B865">
        <v>45336</v>
      </c>
      <c r="C865" t="s">
        <v>266</v>
      </c>
      <c r="D865" t="s">
        <v>267</v>
      </c>
      <c r="E865" t="s">
        <v>77</v>
      </c>
      <c r="F865">
        <v>56</v>
      </c>
      <c r="G865" t="s">
        <v>154</v>
      </c>
      <c r="H865" s="14" t="s">
        <v>91</v>
      </c>
      <c r="I865" s="14" t="s">
        <v>70</v>
      </c>
      <c r="J865" s="14" t="s">
        <v>71</v>
      </c>
      <c r="K865" s="14" t="s">
        <v>28</v>
      </c>
      <c r="L865" s="14" t="s">
        <v>72</v>
      </c>
      <c r="M865" s="14">
        <v>3</v>
      </c>
      <c r="N865" s="14">
        <v>4047.3</v>
      </c>
      <c r="O865" s="14">
        <v>2760</v>
      </c>
      <c r="P865" s="14">
        <v>10</v>
      </c>
      <c r="Q865" s="14" t="s">
        <v>30</v>
      </c>
      <c r="R865" s="14" t="s">
        <v>42</v>
      </c>
      <c r="S865" s="14">
        <v>45340</v>
      </c>
      <c r="T865" s="14">
        <v>4</v>
      </c>
    </row>
    <row r="866" spans="1:20" x14ac:dyDescent="0.3">
      <c r="A866" t="s">
        <v>1458</v>
      </c>
      <c r="B866">
        <v>45859</v>
      </c>
      <c r="C866" t="s">
        <v>706</v>
      </c>
      <c r="D866" t="s">
        <v>303</v>
      </c>
      <c r="E866" t="s">
        <v>77</v>
      </c>
      <c r="F866">
        <v>40</v>
      </c>
      <c r="G866" t="s">
        <v>78</v>
      </c>
      <c r="H866" s="14" t="s">
        <v>79</v>
      </c>
      <c r="I866" s="14" t="s">
        <v>70</v>
      </c>
      <c r="J866" s="14" t="s">
        <v>71</v>
      </c>
      <c r="K866" s="14" t="s">
        <v>28</v>
      </c>
      <c r="L866" s="14" t="s">
        <v>72</v>
      </c>
      <c r="M866" s="14">
        <v>1</v>
      </c>
      <c r="N866" s="14">
        <v>1349.1</v>
      </c>
      <c r="O866" s="14">
        <v>920</v>
      </c>
      <c r="P866" s="14">
        <v>10</v>
      </c>
      <c r="Q866" s="14" t="s">
        <v>41</v>
      </c>
      <c r="R866" s="14" t="s">
        <v>42</v>
      </c>
      <c r="S866" s="14">
        <v>45861</v>
      </c>
      <c r="T866" s="14">
        <v>3</v>
      </c>
    </row>
    <row r="867" spans="1:20" x14ac:dyDescent="0.3">
      <c r="A867" t="s">
        <v>1459</v>
      </c>
      <c r="B867">
        <v>45680</v>
      </c>
      <c r="C867" t="s">
        <v>471</v>
      </c>
      <c r="D867" t="s">
        <v>472</v>
      </c>
      <c r="E867" t="s">
        <v>23</v>
      </c>
      <c r="F867">
        <v>37</v>
      </c>
      <c r="G867" t="s">
        <v>126</v>
      </c>
      <c r="H867" s="14" t="s">
        <v>127</v>
      </c>
      <c r="I867" s="14" t="s">
        <v>70</v>
      </c>
      <c r="J867" s="14" t="s">
        <v>71</v>
      </c>
      <c r="K867" s="14" t="s">
        <v>28</v>
      </c>
      <c r="L867" s="14" t="s">
        <v>72</v>
      </c>
      <c r="M867" s="14">
        <v>3</v>
      </c>
      <c r="N867" s="14">
        <v>2698.2</v>
      </c>
      <c r="O867" s="14">
        <v>2760</v>
      </c>
      <c r="P867" s="14">
        <v>40</v>
      </c>
      <c r="Q867" s="14" t="s">
        <v>30</v>
      </c>
      <c r="R867" s="14" t="s">
        <v>42</v>
      </c>
      <c r="S867" s="14">
        <v>45687</v>
      </c>
      <c r="T867" s="14">
        <v>3</v>
      </c>
    </row>
    <row r="868" spans="1:20" x14ac:dyDescent="0.3">
      <c r="A868" t="s">
        <v>1460</v>
      </c>
      <c r="B868">
        <v>45831</v>
      </c>
      <c r="C868" t="s">
        <v>1044</v>
      </c>
      <c r="D868" t="s">
        <v>1045</v>
      </c>
      <c r="E868" t="s">
        <v>77</v>
      </c>
      <c r="F868">
        <v>31</v>
      </c>
      <c r="G868" t="s">
        <v>46</v>
      </c>
      <c r="H868" s="14" t="s">
        <v>25</v>
      </c>
      <c r="I868" s="14" t="s">
        <v>229</v>
      </c>
      <c r="J868" s="14" t="s">
        <v>230</v>
      </c>
      <c r="K868" s="14" t="s">
        <v>28</v>
      </c>
      <c r="L868" s="14" t="s">
        <v>231</v>
      </c>
      <c r="M868" s="14">
        <v>2</v>
      </c>
      <c r="N868" s="14">
        <v>3598.2</v>
      </c>
      <c r="O868" s="14">
        <v>2460</v>
      </c>
      <c r="P868" s="14">
        <v>10</v>
      </c>
      <c r="Q868" s="14" t="s">
        <v>30</v>
      </c>
      <c r="R868" s="14" t="s">
        <v>42</v>
      </c>
      <c r="S868" s="14">
        <v>45841</v>
      </c>
      <c r="T868" s="14">
        <v>5</v>
      </c>
    </row>
    <row r="869" spans="1:20" x14ac:dyDescent="0.3">
      <c r="A869" t="s">
        <v>1461</v>
      </c>
      <c r="B869">
        <v>46003</v>
      </c>
      <c r="C869" t="s">
        <v>520</v>
      </c>
      <c r="D869" t="s">
        <v>506</v>
      </c>
      <c r="E869" t="s">
        <v>77</v>
      </c>
      <c r="F869">
        <v>36</v>
      </c>
      <c r="G869" t="s">
        <v>126</v>
      </c>
      <c r="H869" s="14" t="s">
        <v>127</v>
      </c>
      <c r="I869" s="14" t="s">
        <v>155</v>
      </c>
      <c r="J869" s="14" t="s">
        <v>156</v>
      </c>
      <c r="K869" s="14" t="s">
        <v>114</v>
      </c>
      <c r="L869" s="14" t="s">
        <v>157</v>
      </c>
      <c r="M869" s="14">
        <v>4</v>
      </c>
      <c r="N869" s="14">
        <v>3396.6</v>
      </c>
      <c r="O869" s="14">
        <v>2440</v>
      </c>
      <c r="P869" s="14">
        <v>15</v>
      </c>
      <c r="Q869" s="14" t="s">
        <v>73</v>
      </c>
      <c r="R869" s="14" t="s">
        <v>57</v>
      </c>
      <c r="S869" s="14">
        <v>46014</v>
      </c>
      <c r="T869" s="14">
        <v>4</v>
      </c>
    </row>
    <row r="870" spans="1:20" x14ac:dyDescent="0.3">
      <c r="A870" t="s">
        <v>1462</v>
      </c>
      <c r="B870">
        <v>45840</v>
      </c>
      <c r="C870" t="s">
        <v>409</v>
      </c>
      <c r="D870" t="s">
        <v>352</v>
      </c>
      <c r="E870" t="s">
        <v>77</v>
      </c>
      <c r="F870">
        <v>33</v>
      </c>
      <c r="G870" t="s">
        <v>173</v>
      </c>
      <c r="H870" s="14" t="s">
        <v>79</v>
      </c>
      <c r="I870" s="14" t="s">
        <v>183</v>
      </c>
      <c r="J870" s="14" t="s">
        <v>184</v>
      </c>
      <c r="K870" s="14" t="s">
        <v>130</v>
      </c>
      <c r="L870" s="14" t="s">
        <v>185</v>
      </c>
      <c r="M870" s="14">
        <v>2</v>
      </c>
      <c r="N870" s="14">
        <v>7998</v>
      </c>
      <c r="O870" s="14">
        <v>6100</v>
      </c>
      <c r="P870" s="14">
        <v>0</v>
      </c>
      <c r="Q870" s="14" t="s">
        <v>41</v>
      </c>
      <c r="R870" s="14" t="s">
        <v>57</v>
      </c>
      <c r="S870" s="14">
        <v>45844</v>
      </c>
      <c r="T870" s="14">
        <v>5</v>
      </c>
    </row>
    <row r="871" spans="1:20" x14ac:dyDescent="0.3">
      <c r="A871" t="s">
        <v>1463</v>
      </c>
      <c r="B871">
        <v>45506</v>
      </c>
      <c r="C871" t="s">
        <v>297</v>
      </c>
      <c r="D871" t="s">
        <v>298</v>
      </c>
      <c r="E871" t="s">
        <v>77</v>
      </c>
      <c r="F871">
        <v>55</v>
      </c>
      <c r="G871" t="s">
        <v>101</v>
      </c>
      <c r="H871" s="14" t="s">
        <v>102</v>
      </c>
      <c r="I871" s="14" t="s">
        <v>107</v>
      </c>
      <c r="J871" s="14" t="s">
        <v>108</v>
      </c>
      <c r="K871" s="14" t="s">
        <v>87</v>
      </c>
      <c r="L871" s="14" t="s">
        <v>88</v>
      </c>
      <c r="M871" s="14">
        <v>5</v>
      </c>
      <c r="N871" s="14">
        <v>3795.25</v>
      </c>
      <c r="O871" s="14">
        <v>2100</v>
      </c>
      <c r="P871" s="14">
        <v>5</v>
      </c>
      <c r="Q871" s="14" t="s">
        <v>30</v>
      </c>
      <c r="R871" s="14" t="s">
        <v>65</v>
      </c>
    </row>
    <row r="872" spans="1:20" x14ac:dyDescent="0.3">
      <c r="A872" t="s">
        <v>1464</v>
      </c>
      <c r="B872">
        <v>45689</v>
      </c>
      <c r="C872" t="s">
        <v>427</v>
      </c>
      <c r="D872" t="s">
        <v>407</v>
      </c>
      <c r="E872" t="s">
        <v>23</v>
      </c>
      <c r="F872">
        <v>40</v>
      </c>
      <c r="G872" t="s">
        <v>211</v>
      </c>
      <c r="H872" s="14" t="s">
        <v>127</v>
      </c>
      <c r="I872" s="14" t="s">
        <v>37</v>
      </c>
      <c r="J872" s="14" t="s">
        <v>38</v>
      </c>
      <c r="K872" s="14" t="s">
        <v>39</v>
      </c>
      <c r="L872" s="14" t="s">
        <v>40</v>
      </c>
      <c r="M872" s="14">
        <v>5</v>
      </c>
      <c r="N872" s="14">
        <v>2697</v>
      </c>
      <c r="O872" s="14">
        <v>2600</v>
      </c>
      <c r="P872" s="14">
        <v>40</v>
      </c>
      <c r="Q872" s="14" t="s">
        <v>30</v>
      </c>
      <c r="R872" s="14" t="s">
        <v>42</v>
      </c>
      <c r="S872" s="14">
        <v>45696</v>
      </c>
      <c r="T872" s="14">
        <v>5</v>
      </c>
    </row>
    <row r="873" spans="1:20" x14ac:dyDescent="0.3">
      <c r="A873" t="s">
        <v>1465</v>
      </c>
      <c r="B873">
        <v>45798</v>
      </c>
      <c r="C873" t="s">
        <v>982</v>
      </c>
      <c r="D873" t="s">
        <v>890</v>
      </c>
      <c r="E873" t="s">
        <v>23</v>
      </c>
      <c r="F873">
        <v>19</v>
      </c>
      <c r="G873" t="s">
        <v>207</v>
      </c>
      <c r="H873" s="14" t="s">
        <v>36</v>
      </c>
      <c r="I873" s="14" t="s">
        <v>198</v>
      </c>
      <c r="J873" s="14" t="s">
        <v>199</v>
      </c>
      <c r="K873" s="14" t="s">
        <v>114</v>
      </c>
      <c r="L873" s="14" t="s">
        <v>200</v>
      </c>
      <c r="M873" s="14">
        <v>4</v>
      </c>
      <c r="N873" s="14">
        <v>5196</v>
      </c>
      <c r="O873" s="14">
        <v>3040</v>
      </c>
      <c r="P873" s="14">
        <v>0</v>
      </c>
      <c r="Q873" s="14" t="s">
        <v>30</v>
      </c>
      <c r="R873" s="14" t="s">
        <v>42</v>
      </c>
      <c r="S873" s="14">
        <v>45803</v>
      </c>
      <c r="T873" s="14">
        <v>5</v>
      </c>
    </row>
    <row r="874" spans="1:20" x14ac:dyDescent="0.3">
      <c r="A874" t="s">
        <v>1466</v>
      </c>
      <c r="B874">
        <v>45532</v>
      </c>
      <c r="C874" t="s">
        <v>226</v>
      </c>
      <c r="D874" t="s">
        <v>227</v>
      </c>
      <c r="E874" t="s">
        <v>23</v>
      </c>
      <c r="F874">
        <v>32</v>
      </c>
      <c r="G874" t="s">
        <v>154</v>
      </c>
      <c r="H874" s="14" t="s">
        <v>91</v>
      </c>
      <c r="I874" s="14" t="s">
        <v>143</v>
      </c>
      <c r="J874" s="14" t="s">
        <v>144</v>
      </c>
      <c r="K874" s="14" t="s">
        <v>130</v>
      </c>
      <c r="L874" s="14" t="s">
        <v>131</v>
      </c>
      <c r="M874" s="14">
        <v>4</v>
      </c>
      <c r="N874" s="14">
        <v>15397.2</v>
      </c>
      <c r="O874" s="14">
        <v>17200</v>
      </c>
      <c r="P874" s="14">
        <v>30</v>
      </c>
      <c r="Q874" s="14" t="s">
        <v>50</v>
      </c>
      <c r="R874" s="14" t="s">
        <v>42</v>
      </c>
      <c r="S874" s="14">
        <v>45539</v>
      </c>
      <c r="T874" s="14">
        <v>4</v>
      </c>
    </row>
    <row r="875" spans="1:20" x14ac:dyDescent="0.3">
      <c r="A875" t="s">
        <v>1467</v>
      </c>
      <c r="B875">
        <v>45855</v>
      </c>
      <c r="C875" t="s">
        <v>351</v>
      </c>
      <c r="D875" t="s">
        <v>352</v>
      </c>
      <c r="E875" t="s">
        <v>77</v>
      </c>
      <c r="F875">
        <v>26</v>
      </c>
      <c r="G875" t="s">
        <v>173</v>
      </c>
      <c r="H875" s="14" t="s">
        <v>79</v>
      </c>
      <c r="I875" s="14" t="s">
        <v>54</v>
      </c>
      <c r="J875" s="14" t="s">
        <v>55</v>
      </c>
      <c r="K875" s="14" t="s">
        <v>28</v>
      </c>
      <c r="L875" s="14" t="s">
        <v>56</v>
      </c>
      <c r="M875" s="14">
        <v>3</v>
      </c>
      <c r="N875" s="14">
        <v>1258.2</v>
      </c>
      <c r="O875" s="14">
        <v>1230</v>
      </c>
      <c r="P875" s="14">
        <v>40</v>
      </c>
      <c r="Q875" s="14" t="s">
        <v>50</v>
      </c>
      <c r="R875" s="14" t="s">
        <v>42</v>
      </c>
      <c r="S875" s="14">
        <v>45860</v>
      </c>
      <c r="T875" s="14">
        <v>2</v>
      </c>
    </row>
    <row r="876" spans="1:20" x14ac:dyDescent="0.3">
      <c r="A876" t="s">
        <v>1468</v>
      </c>
      <c r="B876">
        <v>45768</v>
      </c>
      <c r="C876" t="s">
        <v>300</v>
      </c>
      <c r="D876" t="s">
        <v>172</v>
      </c>
      <c r="E876" t="s">
        <v>23</v>
      </c>
      <c r="F876">
        <v>39</v>
      </c>
      <c r="G876" t="s">
        <v>126</v>
      </c>
      <c r="H876" s="14" t="s">
        <v>127</v>
      </c>
      <c r="I876" s="14" t="s">
        <v>134</v>
      </c>
      <c r="J876" s="14" t="s">
        <v>135</v>
      </c>
      <c r="K876" s="14" t="s">
        <v>39</v>
      </c>
      <c r="L876" s="14" t="s">
        <v>136</v>
      </c>
      <c r="M876" s="14">
        <v>4</v>
      </c>
      <c r="N876" s="14">
        <v>477.6</v>
      </c>
      <c r="O876" s="14">
        <v>360</v>
      </c>
      <c r="P876" s="14">
        <v>40</v>
      </c>
      <c r="Q876" s="14" t="s">
        <v>103</v>
      </c>
      <c r="R876" s="14" t="s">
        <v>42</v>
      </c>
      <c r="S876" s="14">
        <v>45775</v>
      </c>
      <c r="T876" s="14">
        <v>5</v>
      </c>
    </row>
    <row r="877" spans="1:20" x14ac:dyDescent="0.3">
      <c r="A877" t="s">
        <v>1469</v>
      </c>
      <c r="B877">
        <v>45616</v>
      </c>
      <c r="C877" t="s">
        <v>149</v>
      </c>
      <c r="D877" t="s">
        <v>150</v>
      </c>
      <c r="E877" t="s">
        <v>77</v>
      </c>
      <c r="F877">
        <v>35</v>
      </c>
      <c r="G877" t="s">
        <v>165</v>
      </c>
      <c r="H877" s="14" t="s">
        <v>166</v>
      </c>
      <c r="I877" s="14" t="s">
        <v>80</v>
      </c>
      <c r="J877" s="14" t="s">
        <v>81</v>
      </c>
      <c r="K877" s="14" t="s">
        <v>28</v>
      </c>
      <c r="L877" s="14" t="s">
        <v>29</v>
      </c>
      <c r="M877" s="14">
        <v>2</v>
      </c>
      <c r="N877" s="14">
        <v>958.8</v>
      </c>
      <c r="O877" s="14">
        <v>940</v>
      </c>
      <c r="P877" s="14">
        <v>40</v>
      </c>
      <c r="Q877" s="14" t="s">
        <v>30</v>
      </c>
      <c r="R877" s="14" t="s">
        <v>42</v>
      </c>
      <c r="S877" s="14">
        <v>45628</v>
      </c>
      <c r="T877" s="14">
        <v>3</v>
      </c>
    </row>
    <row r="878" spans="1:20" x14ac:dyDescent="0.3">
      <c r="A878" t="s">
        <v>1470</v>
      </c>
      <c r="B878">
        <v>45659</v>
      </c>
      <c r="C878" t="s">
        <v>1471</v>
      </c>
      <c r="D878" t="s">
        <v>164</v>
      </c>
      <c r="E878" t="s">
        <v>77</v>
      </c>
      <c r="F878">
        <v>43</v>
      </c>
      <c r="G878" t="s">
        <v>35</v>
      </c>
      <c r="H878" s="14" t="s">
        <v>36</v>
      </c>
      <c r="I878" s="14" t="s">
        <v>112</v>
      </c>
      <c r="J878" s="14" t="s">
        <v>113</v>
      </c>
      <c r="K878" s="14" t="s">
        <v>114</v>
      </c>
      <c r="L878" s="14" t="s">
        <v>115</v>
      </c>
      <c r="M878" s="14">
        <v>5</v>
      </c>
      <c r="N878" s="14">
        <v>3320.25</v>
      </c>
      <c r="O878" s="14">
        <v>1850</v>
      </c>
      <c r="P878" s="14">
        <v>5</v>
      </c>
      <c r="Q878" s="14" t="s">
        <v>41</v>
      </c>
      <c r="R878" s="14" t="s">
        <v>42</v>
      </c>
      <c r="S878" s="14">
        <v>45662</v>
      </c>
      <c r="T878" s="14">
        <v>3</v>
      </c>
    </row>
    <row r="879" spans="1:20" x14ac:dyDescent="0.3">
      <c r="A879" t="s">
        <v>1472</v>
      </c>
      <c r="B879">
        <v>45365</v>
      </c>
      <c r="C879" t="s">
        <v>514</v>
      </c>
      <c r="D879" t="s">
        <v>515</v>
      </c>
      <c r="E879" t="s">
        <v>23</v>
      </c>
      <c r="F879">
        <v>37</v>
      </c>
      <c r="G879" t="s">
        <v>24</v>
      </c>
      <c r="H879" s="14" t="s">
        <v>25</v>
      </c>
      <c r="I879" s="14" t="s">
        <v>222</v>
      </c>
      <c r="J879" s="14" t="s">
        <v>223</v>
      </c>
      <c r="K879" s="14" t="s">
        <v>114</v>
      </c>
      <c r="L879" s="14" t="s">
        <v>115</v>
      </c>
      <c r="M879" s="14">
        <v>2</v>
      </c>
      <c r="N879" s="14">
        <v>1348.5</v>
      </c>
      <c r="O879" s="14">
        <v>1020</v>
      </c>
      <c r="P879" s="14">
        <v>25</v>
      </c>
      <c r="Q879" s="14" t="s">
        <v>30</v>
      </c>
      <c r="R879" s="14" t="s">
        <v>31</v>
      </c>
      <c r="S879" s="14">
        <v>45372</v>
      </c>
      <c r="T879" s="14">
        <v>4</v>
      </c>
    </row>
    <row r="880" spans="1:20" x14ac:dyDescent="0.3">
      <c r="A880" t="s">
        <v>1473</v>
      </c>
      <c r="B880">
        <v>45601</v>
      </c>
      <c r="C880" t="s">
        <v>21</v>
      </c>
      <c r="D880" t="s">
        <v>22</v>
      </c>
      <c r="E880" t="s">
        <v>23</v>
      </c>
      <c r="F880">
        <v>39</v>
      </c>
      <c r="G880" t="s">
        <v>154</v>
      </c>
      <c r="H880" s="14" t="s">
        <v>91</v>
      </c>
      <c r="I880" s="14" t="s">
        <v>85</v>
      </c>
      <c r="J880" s="14" t="s">
        <v>86</v>
      </c>
      <c r="K880" s="14" t="s">
        <v>87</v>
      </c>
      <c r="L880" s="14" t="s">
        <v>88</v>
      </c>
      <c r="M880" s="14">
        <v>5</v>
      </c>
      <c r="N880" s="14">
        <v>6295.5</v>
      </c>
      <c r="O880" s="14">
        <v>3950</v>
      </c>
      <c r="P880" s="14">
        <v>10</v>
      </c>
      <c r="Q880" s="14" t="s">
        <v>50</v>
      </c>
      <c r="R880" s="14" t="s">
        <v>42</v>
      </c>
      <c r="S880" s="14">
        <v>45603</v>
      </c>
      <c r="T880" s="14">
        <v>4</v>
      </c>
    </row>
    <row r="881" spans="1:20" x14ac:dyDescent="0.3">
      <c r="A881" t="s">
        <v>1474</v>
      </c>
      <c r="B881">
        <v>45580</v>
      </c>
      <c r="C881" t="s">
        <v>729</v>
      </c>
      <c r="D881" t="s">
        <v>276</v>
      </c>
      <c r="E881" t="s">
        <v>77</v>
      </c>
      <c r="F881">
        <v>25</v>
      </c>
      <c r="G881" t="s">
        <v>165</v>
      </c>
      <c r="H881" s="14" t="s">
        <v>166</v>
      </c>
      <c r="I881" s="14" t="s">
        <v>47</v>
      </c>
      <c r="J881" s="14" t="s">
        <v>48</v>
      </c>
      <c r="K881" s="14" t="s">
        <v>39</v>
      </c>
      <c r="L881" s="14" t="s">
        <v>49</v>
      </c>
      <c r="M881" s="14">
        <v>5</v>
      </c>
      <c r="N881" s="14">
        <v>1995</v>
      </c>
      <c r="O881" s="14">
        <v>1050</v>
      </c>
      <c r="P881" s="14">
        <v>0</v>
      </c>
      <c r="Q881" s="14" t="s">
        <v>103</v>
      </c>
      <c r="R881" s="14" t="s">
        <v>31</v>
      </c>
      <c r="S881" s="14">
        <v>45590</v>
      </c>
      <c r="T881" s="14">
        <v>3</v>
      </c>
    </row>
    <row r="882" spans="1:20" x14ac:dyDescent="0.3">
      <c r="A882" t="s">
        <v>1475</v>
      </c>
      <c r="B882">
        <v>45699</v>
      </c>
      <c r="C882" t="s">
        <v>1261</v>
      </c>
      <c r="D882" t="s">
        <v>894</v>
      </c>
      <c r="E882" t="s">
        <v>77</v>
      </c>
      <c r="F882">
        <v>55</v>
      </c>
      <c r="G882" t="s">
        <v>90</v>
      </c>
      <c r="H882" s="14" t="s">
        <v>91</v>
      </c>
      <c r="I882" s="14" t="s">
        <v>177</v>
      </c>
      <c r="J882" s="14" t="s">
        <v>178</v>
      </c>
      <c r="K882" s="14" t="s">
        <v>87</v>
      </c>
      <c r="L882" s="14" t="s">
        <v>179</v>
      </c>
      <c r="M882" s="14">
        <v>2</v>
      </c>
      <c r="N882" s="14">
        <v>2998.8</v>
      </c>
      <c r="O882" s="14">
        <v>3240</v>
      </c>
      <c r="P882" s="14">
        <v>40</v>
      </c>
      <c r="Q882" s="14" t="s">
        <v>30</v>
      </c>
      <c r="R882" s="14" t="s">
        <v>65</v>
      </c>
    </row>
    <row r="883" spans="1:20" x14ac:dyDescent="0.3">
      <c r="A883" t="s">
        <v>1476</v>
      </c>
      <c r="B883">
        <v>45893</v>
      </c>
      <c r="C883" t="s">
        <v>1477</v>
      </c>
      <c r="D883" t="s">
        <v>1478</v>
      </c>
      <c r="E883" t="s">
        <v>23</v>
      </c>
      <c r="F883">
        <v>49</v>
      </c>
      <c r="G883" t="s">
        <v>61</v>
      </c>
      <c r="H883" s="14" t="s">
        <v>62</v>
      </c>
      <c r="I883" s="14" t="s">
        <v>177</v>
      </c>
      <c r="J883" s="14" t="s">
        <v>178</v>
      </c>
      <c r="K883" s="14" t="s">
        <v>87</v>
      </c>
      <c r="L883" s="14" t="s">
        <v>179</v>
      </c>
      <c r="M883" s="14">
        <v>4</v>
      </c>
      <c r="N883" s="14">
        <v>7497</v>
      </c>
      <c r="O883" s="14">
        <v>6480</v>
      </c>
      <c r="P883" s="14">
        <v>25</v>
      </c>
      <c r="Q883" s="14" t="s">
        <v>73</v>
      </c>
      <c r="R883" s="14" t="s">
        <v>42</v>
      </c>
      <c r="S883" s="14">
        <v>45898</v>
      </c>
      <c r="T883" s="14">
        <v>5</v>
      </c>
    </row>
    <row r="884" spans="1:20" x14ac:dyDescent="0.3">
      <c r="A884" t="s">
        <v>1479</v>
      </c>
      <c r="B884">
        <v>46006</v>
      </c>
      <c r="C884" t="s">
        <v>546</v>
      </c>
      <c r="D884" t="s">
        <v>547</v>
      </c>
      <c r="E884" t="s">
        <v>77</v>
      </c>
      <c r="F884">
        <v>33</v>
      </c>
      <c r="G884" t="s">
        <v>154</v>
      </c>
      <c r="H884" s="14" t="s">
        <v>91</v>
      </c>
      <c r="I884" s="14" t="s">
        <v>63</v>
      </c>
      <c r="J884" s="14" t="s">
        <v>64</v>
      </c>
      <c r="K884" s="14" t="s">
        <v>39</v>
      </c>
      <c r="L884" s="14" t="s">
        <v>40</v>
      </c>
      <c r="M884" s="14">
        <v>4</v>
      </c>
      <c r="N884" s="14">
        <v>2396</v>
      </c>
      <c r="O884" s="14">
        <v>1320</v>
      </c>
      <c r="P884" s="14">
        <v>0</v>
      </c>
      <c r="Q884" s="14" t="s">
        <v>41</v>
      </c>
      <c r="R884" s="14" t="s">
        <v>42</v>
      </c>
      <c r="S884" s="14">
        <v>46017</v>
      </c>
      <c r="T884" s="14">
        <v>3</v>
      </c>
    </row>
    <row r="885" spans="1:20" x14ac:dyDescent="0.3">
      <c r="A885" t="s">
        <v>1480</v>
      </c>
      <c r="B885">
        <v>45604</v>
      </c>
      <c r="C885" t="s">
        <v>202</v>
      </c>
      <c r="D885" t="s">
        <v>203</v>
      </c>
      <c r="E885" t="s">
        <v>23</v>
      </c>
      <c r="F885">
        <v>45</v>
      </c>
      <c r="G885" t="s">
        <v>101</v>
      </c>
      <c r="H885" s="14" t="s">
        <v>102</v>
      </c>
      <c r="I885" s="14" t="s">
        <v>107</v>
      </c>
      <c r="J885" s="14" t="s">
        <v>108</v>
      </c>
      <c r="K885" s="14" t="s">
        <v>87</v>
      </c>
      <c r="L885" s="14" t="s">
        <v>88</v>
      </c>
      <c r="M885" s="14">
        <v>3</v>
      </c>
      <c r="N885" s="14">
        <v>1797.75</v>
      </c>
      <c r="O885" s="14">
        <v>1260</v>
      </c>
      <c r="P885" s="14">
        <v>25</v>
      </c>
      <c r="Q885" s="14" t="s">
        <v>30</v>
      </c>
      <c r="R885" s="14" t="s">
        <v>42</v>
      </c>
      <c r="S885" s="14">
        <v>45612</v>
      </c>
      <c r="T885" s="14">
        <v>5</v>
      </c>
    </row>
    <row r="886" spans="1:20" x14ac:dyDescent="0.3">
      <c r="A886" t="s">
        <v>1481</v>
      </c>
      <c r="B886">
        <v>45999</v>
      </c>
      <c r="C886" t="s">
        <v>886</v>
      </c>
      <c r="D886" t="s">
        <v>887</v>
      </c>
      <c r="E886" t="s">
        <v>77</v>
      </c>
      <c r="F886">
        <v>49</v>
      </c>
      <c r="G886" t="s">
        <v>35</v>
      </c>
      <c r="H886" s="14" t="s">
        <v>36</v>
      </c>
      <c r="I886" s="14" t="s">
        <v>183</v>
      </c>
      <c r="J886" s="14" t="s">
        <v>184</v>
      </c>
      <c r="K886" s="14" t="s">
        <v>130</v>
      </c>
      <c r="L886" s="14" t="s">
        <v>185</v>
      </c>
      <c r="M886" s="14">
        <v>5</v>
      </c>
      <c r="N886" s="14">
        <v>19995</v>
      </c>
      <c r="O886" s="14">
        <v>15250</v>
      </c>
      <c r="P886" s="14">
        <v>0</v>
      </c>
      <c r="Q886" s="14" t="s">
        <v>50</v>
      </c>
      <c r="R886" s="14" t="s">
        <v>57</v>
      </c>
      <c r="S886" s="14">
        <v>46001</v>
      </c>
      <c r="T886" s="14">
        <v>3</v>
      </c>
    </row>
    <row r="887" spans="1:20" x14ac:dyDescent="0.3">
      <c r="A887" t="s">
        <v>1482</v>
      </c>
      <c r="B887">
        <v>45449</v>
      </c>
      <c r="C887" t="s">
        <v>837</v>
      </c>
      <c r="D887" t="s">
        <v>838</v>
      </c>
      <c r="E887" t="s">
        <v>77</v>
      </c>
      <c r="F887">
        <v>38</v>
      </c>
      <c r="G887" t="s">
        <v>165</v>
      </c>
      <c r="H887" s="14" t="s">
        <v>166</v>
      </c>
      <c r="I887" s="14" t="s">
        <v>47</v>
      </c>
      <c r="J887" s="14" t="s">
        <v>48</v>
      </c>
      <c r="K887" s="14" t="s">
        <v>39</v>
      </c>
      <c r="L887" s="14" t="s">
        <v>49</v>
      </c>
      <c r="M887" s="14">
        <v>2</v>
      </c>
      <c r="N887" s="14">
        <v>558.6</v>
      </c>
      <c r="O887" s="14">
        <v>420</v>
      </c>
      <c r="P887" s="14">
        <v>30</v>
      </c>
      <c r="Q887" s="14" t="s">
        <v>73</v>
      </c>
      <c r="R887" s="14" t="s">
        <v>65</v>
      </c>
    </row>
    <row r="888" spans="1:20" x14ac:dyDescent="0.3">
      <c r="A888" t="s">
        <v>1483</v>
      </c>
      <c r="B888">
        <v>45687</v>
      </c>
      <c r="C888" t="s">
        <v>550</v>
      </c>
      <c r="D888" t="s">
        <v>482</v>
      </c>
      <c r="E888" t="s">
        <v>23</v>
      </c>
      <c r="F888">
        <v>33</v>
      </c>
      <c r="G888" t="s">
        <v>101</v>
      </c>
      <c r="H888" s="14" t="s">
        <v>102</v>
      </c>
      <c r="I888" s="14" t="s">
        <v>229</v>
      </c>
      <c r="J888" s="14" t="s">
        <v>230</v>
      </c>
      <c r="K888" s="14" t="s">
        <v>28</v>
      </c>
      <c r="L888" s="14" t="s">
        <v>231</v>
      </c>
      <c r="M888" s="14">
        <v>3</v>
      </c>
      <c r="N888" s="14">
        <v>3598.2</v>
      </c>
      <c r="O888" s="14">
        <v>3690</v>
      </c>
      <c r="P888" s="14">
        <v>40</v>
      </c>
      <c r="Q888" s="14" t="s">
        <v>41</v>
      </c>
      <c r="R888" s="14" t="s">
        <v>42</v>
      </c>
      <c r="S888" s="14">
        <v>45691</v>
      </c>
      <c r="T888" s="14">
        <v>3</v>
      </c>
    </row>
    <row r="889" spans="1:20" x14ac:dyDescent="0.3">
      <c r="A889" t="s">
        <v>1484</v>
      </c>
      <c r="B889">
        <v>45983</v>
      </c>
      <c r="C889" t="s">
        <v>429</v>
      </c>
      <c r="D889" t="s">
        <v>315</v>
      </c>
      <c r="E889" t="s">
        <v>77</v>
      </c>
      <c r="F889">
        <v>23</v>
      </c>
      <c r="G889" t="s">
        <v>78</v>
      </c>
      <c r="H889" s="14" t="s">
        <v>79</v>
      </c>
      <c r="I889" s="14" t="s">
        <v>26</v>
      </c>
      <c r="J889" s="14" t="s">
        <v>27</v>
      </c>
      <c r="K889" s="14" t="s">
        <v>28</v>
      </c>
      <c r="L889" s="14" t="s">
        <v>29</v>
      </c>
      <c r="M889" s="14">
        <v>5</v>
      </c>
      <c r="N889" s="14">
        <v>3897</v>
      </c>
      <c r="O889" s="14">
        <v>3950</v>
      </c>
      <c r="P889" s="14">
        <v>40</v>
      </c>
      <c r="Q889" s="14" t="s">
        <v>73</v>
      </c>
      <c r="R889" s="14" t="s">
        <v>42</v>
      </c>
      <c r="S889" s="14">
        <v>45988</v>
      </c>
      <c r="T889" s="14">
        <v>3</v>
      </c>
    </row>
    <row r="890" spans="1:20" x14ac:dyDescent="0.3">
      <c r="A890" t="s">
        <v>1485</v>
      </c>
      <c r="B890">
        <v>45687</v>
      </c>
      <c r="C890" t="s">
        <v>438</v>
      </c>
      <c r="D890" t="s">
        <v>439</v>
      </c>
      <c r="E890" t="s">
        <v>23</v>
      </c>
      <c r="F890">
        <v>27</v>
      </c>
      <c r="G890" t="s">
        <v>154</v>
      </c>
      <c r="H890" s="14" t="s">
        <v>91</v>
      </c>
      <c r="I890" s="14" t="s">
        <v>304</v>
      </c>
      <c r="J890" s="14" t="s">
        <v>305</v>
      </c>
      <c r="K890" s="14" t="s">
        <v>28</v>
      </c>
      <c r="L890" s="14" t="s">
        <v>231</v>
      </c>
      <c r="M890" s="14">
        <v>3</v>
      </c>
      <c r="N890" s="14">
        <v>5127.1499999999996</v>
      </c>
      <c r="O890" s="14">
        <v>3240</v>
      </c>
      <c r="P890" s="14">
        <v>5</v>
      </c>
      <c r="R890" s="14" t="s">
        <v>42</v>
      </c>
      <c r="S890" s="14">
        <v>45694</v>
      </c>
      <c r="T890" s="14">
        <v>2</v>
      </c>
    </row>
    <row r="891" spans="1:20" x14ac:dyDescent="0.3">
      <c r="A891" t="s">
        <v>1486</v>
      </c>
      <c r="B891">
        <v>45467</v>
      </c>
      <c r="C891" t="s">
        <v>233</v>
      </c>
      <c r="D891" t="s">
        <v>118</v>
      </c>
      <c r="E891" t="s">
        <v>23</v>
      </c>
      <c r="F891">
        <v>34</v>
      </c>
      <c r="G891" t="s">
        <v>122</v>
      </c>
      <c r="H891" s="14" t="s">
        <v>123</v>
      </c>
      <c r="I891" s="14" t="s">
        <v>47</v>
      </c>
      <c r="J891" s="14" t="s">
        <v>48</v>
      </c>
      <c r="K891" s="14" t="s">
        <v>39</v>
      </c>
      <c r="L891" s="14" t="s">
        <v>49</v>
      </c>
      <c r="M891" s="14">
        <v>2</v>
      </c>
      <c r="N891" s="14">
        <v>758.1</v>
      </c>
      <c r="O891" s="14">
        <v>420</v>
      </c>
      <c r="P891" s="14">
        <v>5</v>
      </c>
      <c r="Q891" s="14" t="s">
        <v>30</v>
      </c>
      <c r="R891" s="14" t="s">
        <v>65</v>
      </c>
    </row>
    <row r="892" spans="1:20" x14ac:dyDescent="0.3">
      <c r="A892" t="s">
        <v>1487</v>
      </c>
      <c r="B892">
        <v>45720</v>
      </c>
      <c r="C892" t="s">
        <v>646</v>
      </c>
      <c r="D892" t="s">
        <v>352</v>
      </c>
      <c r="E892" t="s">
        <v>77</v>
      </c>
      <c r="F892">
        <v>22</v>
      </c>
      <c r="G892" t="s">
        <v>46</v>
      </c>
      <c r="H892" s="14" t="s">
        <v>25</v>
      </c>
      <c r="I892" s="14" t="s">
        <v>47</v>
      </c>
      <c r="J892" s="14" t="s">
        <v>48</v>
      </c>
      <c r="K892" s="14" t="s">
        <v>39</v>
      </c>
      <c r="L892" s="14" t="s">
        <v>49</v>
      </c>
      <c r="M892" s="14">
        <v>2</v>
      </c>
      <c r="N892" s="14">
        <v>718.2</v>
      </c>
      <c r="O892" s="14">
        <v>420</v>
      </c>
      <c r="P892" s="14">
        <v>10</v>
      </c>
      <c r="Q892" s="14" t="s">
        <v>30</v>
      </c>
      <c r="R892" s="14" t="s">
        <v>42</v>
      </c>
      <c r="S892" s="14">
        <v>45728</v>
      </c>
      <c r="T892" s="14">
        <v>5</v>
      </c>
    </row>
    <row r="893" spans="1:20" x14ac:dyDescent="0.3">
      <c r="A893" t="s">
        <v>1488</v>
      </c>
      <c r="B893">
        <v>45454</v>
      </c>
      <c r="C893" t="s">
        <v>930</v>
      </c>
      <c r="D893" t="s">
        <v>556</v>
      </c>
      <c r="E893" t="s">
        <v>23</v>
      </c>
      <c r="F893">
        <v>48</v>
      </c>
      <c r="G893" t="s">
        <v>35</v>
      </c>
      <c r="H893" s="14" t="s">
        <v>36</v>
      </c>
      <c r="I893" s="14" t="s">
        <v>198</v>
      </c>
      <c r="J893" s="14" t="s">
        <v>199</v>
      </c>
      <c r="K893" s="14" t="s">
        <v>114</v>
      </c>
      <c r="L893" s="14" t="s">
        <v>200</v>
      </c>
      <c r="M893" s="14">
        <v>2</v>
      </c>
      <c r="N893" s="14">
        <v>1558.8</v>
      </c>
      <c r="O893" s="14">
        <v>1520</v>
      </c>
      <c r="P893" s="14">
        <v>40</v>
      </c>
      <c r="Q893" s="14" t="s">
        <v>41</v>
      </c>
      <c r="R893" s="14" t="s">
        <v>42</v>
      </c>
      <c r="S893" s="14">
        <v>45456</v>
      </c>
      <c r="T893" s="14">
        <v>3</v>
      </c>
    </row>
    <row r="894" spans="1:20" x14ac:dyDescent="0.3">
      <c r="A894" t="s">
        <v>1489</v>
      </c>
      <c r="B894">
        <v>45748</v>
      </c>
      <c r="C894" t="s">
        <v>671</v>
      </c>
      <c r="D894" t="s">
        <v>60</v>
      </c>
      <c r="E894" t="s">
        <v>23</v>
      </c>
      <c r="F894">
        <v>38</v>
      </c>
      <c r="G894" t="s">
        <v>165</v>
      </c>
      <c r="H894" s="14" t="s">
        <v>166</v>
      </c>
      <c r="I894" s="14" t="s">
        <v>155</v>
      </c>
      <c r="J894" s="14" t="s">
        <v>156</v>
      </c>
      <c r="K894" s="14" t="s">
        <v>114</v>
      </c>
      <c r="L894" s="14" t="s">
        <v>157</v>
      </c>
      <c r="M894" s="14">
        <v>2</v>
      </c>
      <c r="N894" s="14">
        <v>1498.5</v>
      </c>
      <c r="O894" s="14">
        <v>1220</v>
      </c>
      <c r="P894" s="14">
        <v>25</v>
      </c>
      <c r="Q894" s="14" t="s">
        <v>50</v>
      </c>
      <c r="R894" s="14" t="s">
        <v>42</v>
      </c>
      <c r="S894" s="14">
        <v>45757</v>
      </c>
      <c r="T894" s="14">
        <v>5</v>
      </c>
    </row>
    <row r="895" spans="1:20" x14ac:dyDescent="0.3">
      <c r="A895" t="s">
        <v>1490</v>
      </c>
      <c r="B895">
        <v>45881</v>
      </c>
      <c r="C895" t="s">
        <v>465</v>
      </c>
      <c r="D895" t="s">
        <v>53</v>
      </c>
      <c r="E895" t="s">
        <v>23</v>
      </c>
      <c r="F895">
        <v>22</v>
      </c>
      <c r="G895" t="s">
        <v>46</v>
      </c>
      <c r="H895" s="14" t="s">
        <v>25</v>
      </c>
      <c r="I895" s="14" t="s">
        <v>143</v>
      </c>
      <c r="J895" s="14" t="s">
        <v>144</v>
      </c>
      <c r="K895" s="14" t="s">
        <v>130</v>
      </c>
      <c r="L895" s="14" t="s">
        <v>131</v>
      </c>
      <c r="M895" s="14">
        <v>4</v>
      </c>
      <c r="N895" s="14">
        <v>16497</v>
      </c>
      <c r="O895" s="14">
        <v>17200</v>
      </c>
      <c r="P895" s="14">
        <v>25</v>
      </c>
      <c r="Q895" s="14" t="s">
        <v>41</v>
      </c>
      <c r="R895" s="14" t="s">
        <v>42</v>
      </c>
      <c r="S895" s="14">
        <v>45892</v>
      </c>
      <c r="T895" s="14">
        <v>3</v>
      </c>
    </row>
    <row r="896" spans="1:20" x14ac:dyDescent="0.3">
      <c r="A896" t="s">
        <v>1491</v>
      </c>
      <c r="B896">
        <v>45717</v>
      </c>
      <c r="C896" t="s">
        <v>1492</v>
      </c>
      <c r="D896" t="s">
        <v>1493</v>
      </c>
      <c r="E896" t="s">
        <v>77</v>
      </c>
      <c r="F896">
        <v>46</v>
      </c>
      <c r="G896" t="s">
        <v>78</v>
      </c>
      <c r="H896" s="14" t="s">
        <v>79</v>
      </c>
      <c r="I896" s="14" t="s">
        <v>155</v>
      </c>
      <c r="J896" s="14" t="s">
        <v>156</v>
      </c>
      <c r="K896" s="14" t="s">
        <v>114</v>
      </c>
      <c r="L896" s="14" t="s">
        <v>157</v>
      </c>
      <c r="M896" s="14">
        <v>4</v>
      </c>
      <c r="N896" s="14">
        <v>2397.6</v>
      </c>
      <c r="O896" s="14">
        <v>2440</v>
      </c>
      <c r="P896" s="14">
        <v>40</v>
      </c>
      <c r="Q896" s="14" t="s">
        <v>103</v>
      </c>
      <c r="R896" s="14" t="s">
        <v>31</v>
      </c>
      <c r="S896" s="14">
        <v>45721</v>
      </c>
      <c r="T896" s="14">
        <v>3</v>
      </c>
    </row>
    <row r="897" spans="1:20" x14ac:dyDescent="0.3">
      <c r="A897" t="s">
        <v>1494</v>
      </c>
      <c r="B897">
        <v>45694</v>
      </c>
      <c r="C897" t="s">
        <v>599</v>
      </c>
      <c r="D897" t="s">
        <v>600</v>
      </c>
      <c r="E897" t="s">
        <v>77</v>
      </c>
      <c r="F897">
        <v>32</v>
      </c>
      <c r="G897" t="s">
        <v>90</v>
      </c>
      <c r="H897" s="14" t="s">
        <v>91</v>
      </c>
      <c r="I897" s="14" t="s">
        <v>319</v>
      </c>
      <c r="J897" s="14" t="s">
        <v>320</v>
      </c>
      <c r="K897" s="14" t="s">
        <v>28</v>
      </c>
      <c r="L897" s="14" t="s">
        <v>29</v>
      </c>
      <c r="M897" s="14">
        <v>3</v>
      </c>
      <c r="N897" s="14">
        <v>2877.6</v>
      </c>
      <c r="O897" s="14">
        <v>2130</v>
      </c>
      <c r="P897" s="14">
        <v>20</v>
      </c>
      <c r="Q897" s="14" t="s">
        <v>73</v>
      </c>
      <c r="R897" s="14" t="s">
        <v>31</v>
      </c>
      <c r="S897" s="14">
        <v>45699</v>
      </c>
      <c r="T897" s="14">
        <v>5</v>
      </c>
    </row>
    <row r="898" spans="1:20" x14ac:dyDescent="0.3">
      <c r="A898" t="s">
        <v>1495</v>
      </c>
      <c r="B898">
        <v>45713</v>
      </c>
      <c r="C898" t="s">
        <v>429</v>
      </c>
      <c r="D898" t="s">
        <v>315</v>
      </c>
      <c r="E898" t="s">
        <v>77</v>
      </c>
      <c r="F898">
        <v>23</v>
      </c>
      <c r="G898" t="s">
        <v>69</v>
      </c>
      <c r="H898" s="14" t="s">
        <v>69</v>
      </c>
      <c r="I898" s="14" t="s">
        <v>245</v>
      </c>
      <c r="J898" s="14" t="s">
        <v>246</v>
      </c>
      <c r="K898" s="14" t="s">
        <v>130</v>
      </c>
      <c r="L898" s="14" t="s">
        <v>247</v>
      </c>
      <c r="M898" s="14">
        <v>1</v>
      </c>
      <c r="N898" s="14">
        <v>2374.0500000000002</v>
      </c>
      <c r="O898" s="14">
        <v>1870</v>
      </c>
      <c r="P898" s="14">
        <v>5</v>
      </c>
      <c r="Q898" s="14" t="s">
        <v>50</v>
      </c>
      <c r="R898" s="14" t="s">
        <v>57</v>
      </c>
      <c r="S898" s="14">
        <v>45720</v>
      </c>
      <c r="T898" s="14">
        <v>5</v>
      </c>
    </row>
    <row r="899" spans="1:20" x14ac:dyDescent="0.3">
      <c r="A899" t="s">
        <v>1496</v>
      </c>
      <c r="B899">
        <v>45753</v>
      </c>
      <c r="C899" t="s">
        <v>362</v>
      </c>
      <c r="D899" t="s">
        <v>363</v>
      </c>
      <c r="E899" t="s">
        <v>77</v>
      </c>
      <c r="F899">
        <v>30</v>
      </c>
      <c r="G899" t="s">
        <v>207</v>
      </c>
      <c r="H899" s="14" t="s">
        <v>36</v>
      </c>
      <c r="I899" s="14" t="s">
        <v>70</v>
      </c>
      <c r="J899" s="14" t="s">
        <v>71</v>
      </c>
      <c r="K899" s="14" t="s">
        <v>28</v>
      </c>
      <c r="L899" s="14" t="s">
        <v>72</v>
      </c>
      <c r="M899" s="14">
        <v>5</v>
      </c>
      <c r="N899" s="14">
        <v>7495</v>
      </c>
      <c r="O899" s="14">
        <v>4600</v>
      </c>
      <c r="P899" s="14">
        <v>0</v>
      </c>
      <c r="Q899" s="14" t="s">
        <v>103</v>
      </c>
      <c r="R899" s="14" t="s">
        <v>42</v>
      </c>
      <c r="S899" s="14">
        <v>45756</v>
      </c>
      <c r="T899" s="14">
        <v>5</v>
      </c>
    </row>
    <row r="900" spans="1:20" x14ac:dyDescent="0.3">
      <c r="A900" t="s">
        <v>1497</v>
      </c>
      <c r="B900">
        <v>45682</v>
      </c>
      <c r="C900" t="s">
        <v>605</v>
      </c>
      <c r="D900" t="s">
        <v>442</v>
      </c>
      <c r="E900" t="s">
        <v>77</v>
      </c>
      <c r="F900">
        <v>22</v>
      </c>
      <c r="G900" t="s">
        <v>165</v>
      </c>
      <c r="H900" s="14" t="s">
        <v>166</v>
      </c>
      <c r="I900" s="14" t="s">
        <v>70</v>
      </c>
      <c r="J900" s="14" t="s">
        <v>71</v>
      </c>
      <c r="K900" s="14" t="s">
        <v>28</v>
      </c>
      <c r="L900" s="14" t="s">
        <v>72</v>
      </c>
      <c r="M900" s="14">
        <v>4</v>
      </c>
      <c r="N900" s="14">
        <v>5996</v>
      </c>
      <c r="O900" s="14">
        <v>3680</v>
      </c>
      <c r="P900" s="14">
        <v>0</v>
      </c>
      <c r="Q900" s="14" t="s">
        <v>73</v>
      </c>
      <c r="R900" s="14" t="s">
        <v>42</v>
      </c>
      <c r="S900" s="14">
        <v>45685</v>
      </c>
      <c r="T900" s="14">
        <v>3</v>
      </c>
    </row>
    <row r="901" spans="1:20" x14ac:dyDescent="0.3">
      <c r="A901" t="s">
        <v>1498</v>
      </c>
      <c r="B901">
        <v>45626</v>
      </c>
      <c r="C901" t="s">
        <v>1137</v>
      </c>
      <c r="D901" t="s">
        <v>1018</v>
      </c>
      <c r="E901" t="s">
        <v>23</v>
      </c>
      <c r="F901">
        <v>29</v>
      </c>
      <c r="G901" t="s">
        <v>101</v>
      </c>
      <c r="H901" s="14" t="s">
        <v>102</v>
      </c>
      <c r="I901" s="14" t="s">
        <v>63</v>
      </c>
      <c r="J901" s="14" t="s">
        <v>64</v>
      </c>
      <c r="K901" s="14" t="s">
        <v>39</v>
      </c>
      <c r="L901" s="14" t="s">
        <v>40</v>
      </c>
      <c r="M901" s="14">
        <v>1</v>
      </c>
      <c r="N901" s="14">
        <v>569.04999999999995</v>
      </c>
      <c r="O901" s="14">
        <v>330</v>
      </c>
      <c r="P901" s="14">
        <v>5</v>
      </c>
      <c r="Q901" s="14" t="s">
        <v>50</v>
      </c>
      <c r="R901" s="14" t="s">
        <v>31</v>
      </c>
      <c r="S901" s="14">
        <v>45631</v>
      </c>
      <c r="T901" s="14">
        <v>5</v>
      </c>
    </row>
    <row r="902" spans="1:20" x14ac:dyDescent="0.3">
      <c r="A902" t="s">
        <v>1499</v>
      </c>
      <c r="B902">
        <v>45435</v>
      </c>
      <c r="C902" t="s">
        <v>677</v>
      </c>
      <c r="D902" t="s">
        <v>678</v>
      </c>
      <c r="E902" t="s">
        <v>77</v>
      </c>
      <c r="F902">
        <v>34</v>
      </c>
      <c r="G902" t="s">
        <v>207</v>
      </c>
      <c r="H902" s="14" t="s">
        <v>36</v>
      </c>
      <c r="I902" s="14" t="s">
        <v>319</v>
      </c>
      <c r="J902" s="14" t="s">
        <v>320</v>
      </c>
      <c r="K902" s="14" t="s">
        <v>28</v>
      </c>
      <c r="L902" s="14" t="s">
        <v>29</v>
      </c>
      <c r="M902" s="14">
        <v>2</v>
      </c>
      <c r="N902" s="14">
        <v>2398</v>
      </c>
      <c r="O902" s="14">
        <v>1420</v>
      </c>
      <c r="P902" s="14">
        <v>0</v>
      </c>
      <c r="Q902" s="14" t="s">
        <v>50</v>
      </c>
      <c r="R902" s="14" t="s">
        <v>42</v>
      </c>
      <c r="S902" s="14">
        <v>45439</v>
      </c>
      <c r="T902" s="14">
        <v>4</v>
      </c>
    </row>
    <row r="903" spans="1:20" x14ac:dyDescent="0.3">
      <c r="A903" t="s">
        <v>1500</v>
      </c>
      <c r="B903">
        <v>45419</v>
      </c>
      <c r="C903" t="s">
        <v>640</v>
      </c>
      <c r="D903" t="s">
        <v>349</v>
      </c>
      <c r="E903" t="s">
        <v>23</v>
      </c>
      <c r="F903">
        <v>42</v>
      </c>
      <c r="G903" t="s">
        <v>165</v>
      </c>
      <c r="H903" s="14" t="s">
        <v>166</v>
      </c>
      <c r="I903" s="14" t="s">
        <v>319</v>
      </c>
      <c r="J903" s="14" t="s">
        <v>320</v>
      </c>
      <c r="K903" s="14" t="s">
        <v>28</v>
      </c>
      <c r="L903" s="14" t="s">
        <v>29</v>
      </c>
      <c r="M903" s="14">
        <v>1</v>
      </c>
      <c r="N903" s="14">
        <v>1199</v>
      </c>
      <c r="O903" s="14">
        <v>710</v>
      </c>
      <c r="P903" s="14">
        <v>0</v>
      </c>
      <c r="Q903" s="14" t="s">
        <v>41</v>
      </c>
      <c r="R903" s="14" t="s">
        <v>42</v>
      </c>
      <c r="S903" s="14">
        <v>45428</v>
      </c>
      <c r="T903" s="14">
        <v>4</v>
      </c>
    </row>
    <row r="904" spans="1:20" x14ac:dyDescent="0.3">
      <c r="A904" t="s">
        <v>1501</v>
      </c>
      <c r="B904">
        <v>45474</v>
      </c>
      <c r="C904" t="s">
        <v>256</v>
      </c>
      <c r="D904" t="s">
        <v>257</v>
      </c>
      <c r="E904" t="s">
        <v>23</v>
      </c>
      <c r="F904">
        <v>23</v>
      </c>
      <c r="G904" t="s">
        <v>24</v>
      </c>
      <c r="H904" s="14" t="s">
        <v>25</v>
      </c>
      <c r="I904" s="14" t="s">
        <v>107</v>
      </c>
      <c r="J904" s="14" t="s">
        <v>108</v>
      </c>
      <c r="K904" s="14" t="s">
        <v>87</v>
      </c>
      <c r="L904" s="14" t="s">
        <v>88</v>
      </c>
      <c r="M904" s="14">
        <v>5</v>
      </c>
      <c r="N904" s="14">
        <v>3395.75</v>
      </c>
      <c r="O904" s="14">
        <v>2100</v>
      </c>
      <c r="P904" s="14">
        <v>15</v>
      </c>
      <c r="Q904" s="14" t="s">
        <v>103</v>
      </c>
      <c r="R904" s="14" t="s">
        <v>31</v>
      </c>
      <c r="S904" s="14">
        <v>45476</v>
      </c>
      <c r="T904" s="14">
        <v>3</v>
      </c>
    </row>
    <row r="905" spans="1:20" x14ac:dyDescent="0.3">
      <c r="A905" t="s">
        <v>1502</v>
      </c>
      <c r="B905">
        <v>45691</v>
      </c>
      <c r="C905" t="s">
        <v>302</v>
      </c>
      <c r="D905" t="s">
        <v>303</v>
      </c>
      <c r="E905" t="s">
        <v>77</v>
      </c>
      <c r="F905">
        <v>24</v>
      </c>
      <c r="G905" t="s">
        <v>61</v>
      </c>
      <c r="H905" s="14" t="s">
        <v>62</v>
      </c>
      <c r="I905" s="14" t="s">
        <v>26</v>
      </c>
      <c r="J905" s="14" t="s">
        <v>27</v>
      </c>
      <c r="K905" s="14" t="s">
        <v>28</v>
      </c>
      <c r="L905" s="14" t="s">
        <v>29</v>
      </c>
      <c r="M905" s="14">
        <v>5</v>
      </c>
      <c r="N905" s="14">
        <v>6495</v>
      </c>
      <c r="O905" s="14">
        <v>3950</v>
      </c>
      <c r="P905" s="14">
        <v>0</v>
      </c>
      <c r="Q905" s="14" t="s">
        <v>73</v>
      </c>
      <c r="R905" s="14" t="s">
        <v>57</v>
      </c>
      <c r="S905" s="14">
        <v>45699</v>
      </c>
      <c r="T905" s="14">
        <v>4</v>
      </c>
    </row>
    <row r="906" spans="1:20" x14ac:dyDescent="0.3">
      <c r="A906" t="s">
        <v>1503</v>
      </c>
      <c r="B906">
        <v>45547</v>
      </c>
      <c r="C906" t="s">
        <v>520</v>
      </c>
      <c r="D906" t="s">
        <v>506</v>
      </c>
      <c r="E906" t="s">
        <v>77</v>
      </c>
      <c r="F906">
        <v>36</v>
      </c>
      <c r="G906" t="s">
        <v>90</v>
      </c>
      <c r="H906" s="14" t="s">
        <v>91</v>
      </c>
      <c r="I906" s="14" t="s">
        <v>70</v>
      </c>
      <c r="J906" s="14" t="s">
        <v>71</v>
      </c>
      <c r="K906" s="14" t="s">
        <v>28</v>
      </c>
      <c r="L906" s="14" t="s">
        <v>72</v>
      </c>
      <c r="M906" s="14">
        <v>1</v>
      </c>
      <c r="N906" s="14">
        <v>1499</v>
      </c>
      <c r="O906" s="14">
        <v>920</v>
      </c>
      <c r="P906" s="14">
        <v>0</v>
      </c>
      <c r="Q906" s="14" t="s">
        <v>103</v>
      </c>
      <c r="R906" s="14" t="s">
        <v>42</v>
      </c>
      <c r="S906" s="14">
        <v>45549</v>
      </c>
      <c r="T906" s="14">
        <v>4</v>
      </c>
    </row>
    <row r="907" spans="1:20" x14ac:dyDescent="0.3">
      <c r="A907" t="s">
        <v>1504</v>
      </c>
      <c r="B907">
        <v>45488</v>
      </c>
      <c r="C907" t="s">
        <v>671</v>
      </c>
      <c r="D907" t="s">
        <v>60</v>
      </c>
      <c r="E907" t="s">
        <v>23</v>
      </c>
      <c r="F907">
        <v>38</v>
      </c>
      <c r="G907" t="s">
        <v>90</v>
      </c>
      <c r="H907" s="14" t="s">
        <v>91</v>
      </c>
      <c r="I907" s="14" t="s">
        <v>229</v>
      </c>
      <c r="J907" s="14" t="s">
        <v>230</v>
      </c>
      <c r="K907" s="14" t="s">
        <v>28</v>
      </c>
      <c r="L907" s="14" t="s">
        <v>231</v>
      </c>
      <c r="M907" s="14">
        <v>2</v>
      </c>
      <c r="N907" s="14">
        <v>3598.2</v>
      </c>
      <c r="O907" s="14">
        <v>2460</v>
      </c>
      <c r="P907" s="14">
        <v>10</v>
      </c>
      <c r="Q907" s="14" t="s">
        <v>73</v>
      </c>
      <c r="R907" s="14" t="s">
        <v>42</v>
      </c>
      <c r="S907" s="14">
        <v>45498</v>
      </c>
      <c r="T907" s="14">
        <v>3</v>
      </c>
    </row>
    <row r="908" spans="1:20" x14ac:dyDescent="0.3">
      <c r="A908" t="s">
        <v>1505</v>
      </c>
      <c r="B908">
        <v>45626</v>
      </c>
      <c r="C908" t="s">
        <v>852</v>
      </c>
      <c r="D908" t="s">
        <v>724</v>
      </c>
      <c r="E908" t="s">
        <v>77</v>
      </c>
      <c r="F908">
        <v>39</v>
      </c>
      <c r="G908" t="s">
        <v>154</v>
      </c>
      <c r="H908" s="14" t="s">
        <v>91</v>
      </c>
      <c r="I908" s="14" t="s">
        <v>155</v>
      </c>
      <c r="J908" s="14" t="s">
        <v>156</v>
      </c>
      <c r="K908" s="14" t="s">
        <v>114</v>
      </c>
      <c r="L908" s="14" t="s">
        <v>157</v>
      </c>
      <c r="M908" s="14">
        <v>2</v>
      </c>
      <c r="N908" s="14">
        <v>1398.6</v>
      </c>
      <c r="O908" s="14">
        <v>1220</v>
      </c>
      <c r="P908" s="14">
        <v>30</v>
      </c>
      <c r="Q908" s="14" t="s">
        <v>103</v>
      </c>
      <c r="R908" s="14" t="s">
        <v>42</v>
      </c>
      <c r="S908" s="14">
        <v>45631</v>
      </c>
      <c r="T908" s="14">
        <v>4</v>
      </c>
    </row>
    <row r="909" spans="1:20" x14ac:dyDescent="0.3">
      <c r="A909" t="s">
        <v>1506</v>
      </c>
      <c r="B909">
        <v>45400</v>
      </c>
      <c r="C909" t="s">
        <v>893</v>
      </c>
      <c r="D909" t="s">
        <v>894</v>
      </c>
      <c r="E909" t="s">
        <v>77</v>
      </c>
      <c r="F909">
        <v>42</v>
      </c>
      <c r="G909" t="s">
        <v>126</v>
      </c>
      <c r="H909" s="14" t="s">
        <v>127</v>
      </c>
      <c r="I909" s="14" t="s">
        <v>319</v>
      </c>
      <c r="J909" s="14" t="s">
        <v>320</v>
      </c>
      <c r="K909" s="14" t="s">
        <v>28</v>
      </c>
      <c r="L909" s="14" t="s">
        <v>29</v>
      </c>
      <c r="M909" s="14">
        <v>1</v>
      </c>
      <c r="N909" s="14">
        <v>839.3</v>
      </c>
      <c r="O909" s="14">
        <v>710</v>
      </c>
      <c r="P909" s="14">
        <v>30</v>
      </c>
      <c r="Q909" s="14" t="s">
        <v>41</v>
      </c>
      <c r="R909" s="14" t="s">
        <v>42</v>
      </c>
      <c r="S909" s="14">
        <v>45408</v>
      </c>
      <c r="T909" s="14">
        <v>4</v>
      </c>
    </row>
    <row r="910" spans="1:20" x14ac:dyDescent="0.3">
      <c r="A910" t="s">
        <v>1507</v>
      </c>
      <c r="B910">
        <v>45761</v>
      </c>
      <c r="C910" t="s">
        <v>215</v>
      </c>
      <c r="D910" t="s">
        <v>147</v>
      </c>
      <c r="E910" t="s">
        <v>23</v>
      </c>
      <c r="F910">
        <v>33</v>
      </c>
      <c r="G910" t="s">
        <v>46</v>
      </c>
      <c r="H910" s="14" t="s">
        <v>25</v>
      </c>
      <c r="I910" s="14" t="s">
        <v>107</v>
      </c>
      <c r="J910" s="14" t="s">
        <v>108</v>
      </c>
      <c r="K910" s="14" t="s">
        <v>87</v>
      </c>
      <c r="L910" s="14" t="s">
        <v>88</v>
      </c>
      <c r="M910" s="14">
        <v>3</v>
      </c>
      <c r="N910" s="14">
        <v>1797.75</v>
      </c>
      <c r="O910" s="14">
        <v>1260</v>
      </c>
      <c r="P910" s="14">
        <v>25</v>
      </c>
      <c r="Q910" s="14" t="s">
        <v>73</v>
      </c>
      <c r="R910" s="14" t="s">
        <v>42</v>
      </c>
      <c r="S910" s="14">
        <v>45766</v>
      </c>
      <c r="T910" s="14">
        <v>5</v>
      </c>
    </row>
    <row r="911" spans="1:20" x14ac:dyDescent="0.3">
      <c r="A911" t="s">
        <v>1508</v>
      </c>
      <c r="B911">
        <v>45600</v>
      </c>
      <c r="C911" t="s">
        <v>455</v>
      </c>
      <c r="D911" t="s">
        <v>311</v>
      </c>
      <c r="E911" t="s">
        <v>23</v>
      </c>
      <c r="F911">
        <v>42</v>
      </c>
      <c r="G911" t="s">
        <v>69</v>
      </c>
      <c r="H911" s="14" t="s">
        <v>69</v>
      </c>
      <c r="I911" s="14" t="s">
        <v>85</v>
      </c>
      <c r="J911" s="14" t="s">
        <v>86</v>
      </c>
      <c r="K911" s="14" t="s">
        <v>87</v>
      </c>
      <c r="L911" s="14" t="s">
        <v>88</v>
      </c>
      <c r="M911" s="14">
        <v>5</v>
      </c>
      <c r="N911" s="14">
        <v>6295.5</v>
      </c>
      <c r="O911" s="14">
        <v>3950</v>
      </c>
      <c r="P911" s="14">
        <v>10</v>
      </c>
      <c r="Q911" s="14" t="s">
        <v>41</v>
      </c>
      <c r="R911" s="14" t="s">
        <v>42</v>
      </c>
      <c r="S911" s="14">
        <v>45611</v>
      </c>
      <c r="T911" s="14">
        <v>4</v>
      </c>
    </row>
    <row r="912" spans="1:20" x14ac:dyDescent="0.3">
      <c r="A912" t="s">
        <v>1509</v>
      </c>
      <c r="B912">
        <v>45938</v>
      </c>
      <c r="C912" t="s">
        <v>711</v>
      </c>
      <c r="D912" t="s">
        <v>712</v>
      </c>
      <c r="E912" t="s">
        <v>77</v>
      </c>
      <c r="F912">
        <v>58</v>
      </c>
      <c r="G912" t="s">
        <v>173</v>
      </c>
      <c r="H912" s="14" t="s">
        <v>79</v>
      </c>
      <c r="I912" s="14" t="s">
        <v>183</v>
      </c>
      <c r="J912" s="14" t="s">
        <v>184</v>
      </c>
      <c r="K912" s="14" t="s">
        <v>130</v>
      </c>
      <c r="L912" s="14" t="s">
        <v>185</v>
      </c>
      <c r="M912" s="14">
        <v>2</v>
      </c>
      <c r="N912" s="14">
        <v>5998.5</v>
      </c>
      <c r="O912" s="14">
        <v>6100</v>
      </c>
      <c r="P912" s="14">
        <v>25</v>
      </c>
      <c r="Q912" s="14" t="s">
        <v>103</v>
      </c>
      <c r="R912" s="14" t="s">
        <v>42</v>
      </c>
      <c r="S912" s="14">
        <v>45945</v>
      </c>
      <c r="T912" s="14">
        <v>2</v>
      </c>
    </row>
    <row r="913" spans="1:20" x14ac:dyDescent="0.3">
      <c r="A913" t="s">
        <v>1510</v>
      </c>
      <c r="B913">
        <v>45915</v>
      </c>
      <c r="C913" t="s">
        <v>788</v>
      </c>
      <c r="D913" t="s">
        <v>789</v>
      </c>
      <c r="E913" t="s">
        <v>77</v>
      </c>
      <c r="F913">
        <v>52</v>
      </c>
      <c r="G913" t="s">
        <v>61</v>
      </c>
      <c r="H913" s="14" t="s">
        <v>62</v>
      </c>
      <c r="I913" s="14" t="s">
        <v>47</v>
      </c>
      <c r="J913" s="14" t="s">
        <v>48</v>
      </c>
      <c r="K913" s="14" t="s">
        <v>39</v>
      </c>
      <c r="L913" s="14" t="s">
        <v>49</v>
      </c>
      <c r="M913" s="14">
        <v>5</v>
      </c>
      <c r="N913" s="14">
        <v>1695.75</v>
      </c>
      <c r="O913" s="14">
        <v>1050</v>
      </c>
      <c r="P913" s="14">
        <v>15</v>
      </c>
      <c r="Q913" s="14" t="s">
        <v>50</v>
      </c>
      <c r="R913" s="14" t="s">
        <v>65</v>
      </c>
    </row>
    <row r="914" spans="1:20" x14ac:dyDescent="0.3">
      <c r="A914" t="s">
        <v>1511</v>
      </c>
      <c r="B914">
        <v>46013</v>
      </c>
      <c r="C914" t="s">
        <v>1512</v>
      </c>
      <c r="D914" t="s">
        <v>1513</v>
      </c>
      <c r="E914" t="s">
        <v>23</v>
      </c>
      <c r="F914">
        <v>50</v>
      </c>
      <c r="G914" t="s">
        <v>90</v>
      </c>
      <c r="H914" s="14" t="s">
        <v>91</v>
      </c>
      <c r="I914" s="14" t="s">
        <v>80</v>
      </c>
      <c r="J914" s="14" t="s">
        <v>81</v>
      </c>
      <c r="K914" s="14" t="s">
        <v>28</v>
      </c>
      <c r="L914" s="14" t="s">
        <v>29</v>
      </c>
      <c r="M914" s="14">
        <v>5</v>
      </c>
      <c r="N914" s="14">
        <v>3795.25</v>
      </c>
      <c r="O914" s="14">
        <v>2350</v>
      </c>
      <c r="P914" s="14">
        <v>5</v>
      </c>
      <c r="Q914" s="14" t="s">
        <v>41</v>
      </c>
      <c r="R914" s="14" t="s">
        <v>42</v>
      </c>
      <c r="S914" s="14">
        <v>46021</v>
      </c>
      <c r="T914" s="14">
        <v>4</v>
      </c>
    </row>
    <row r="915" spans="1:20" x14ac:dyDescent="0.3">
      <c r="A915" t="s">
        <v>1514</v>
      </c>
      <c r="B915">
        <v>45926</v>
      </c>
      <c r="C915" t="s">
        <v>978</v>
      </c>
      <c r="D915" t="s">
        <v>341</v>
      </c>
      <c r="E915" t="s">
        <v>23</v>
      </c>
      <c r="F915">
        <v>52</v>
      </c>
      <c r="G915" t="s">
        <v>24</v>
      </c>
      <c r="H915" s="14" t="s">
        <v>25</v>
      </c>
      <c r="I915" s="14" t="s">
        <v>252</v>
      </c>
      <c r="J915" s="14" t="s">
        <v>253</v>
      </c>
      <c r="K915" s="14" t="s">
        <v>28</v>
      </c>
      <c r="L915" s="14" t="s">
        <v>254</v>
      </c>
      <c r="M915" s="14">
        <v>3</v>
      </c>
      <c r="N915" s="14">
        <v>5398.2</v>
      </c>
      <c r="O915" s="14">
        <v>5700</v>
      </c>
      <c r="P915" s="14">
        <v>40</v>
      </c>
      <c r="Q915" s="14" t="s">
        <v>41</v>
      </c>
      <c r="R915" s="14" t="s">
        <v>42</v>
      </c>
      <c r="S915" s="14">
        <v>45930</v>
      </c>
      <c r="T915" s="14">
        <v>5</v>
      </c>
    </row>
    <row r="916" spans="1:20" x14ac:dyDescent="0.3">
      <c r="A916" t="s">
        <v>1515</v>
      </c>
      <c r="B916">
        <v>45501</v>
      </c>
      <c r="C916" t="s">
        <v>334</v>
      </c>
      <c r="D916" t="s">
        <v>335</v>
      </c>
      <c r="E916" t="s">
        <v>77</v>
      </c>
      <c r="F916">
        <v>41</v>
      </c>
      <c r="G916" t="s">
        <v>90</v>
      </c>
      <c r="H916" s="14" t="s">
        <v>91</v>
      </c>
      <c r="I916" s="14" t="s">
        <v>177</v>
      </c>
      <c r="J916" s="14" t="s">
        <v>178</v>
      </c>
      <c r="K916" s="14" t="s">
        <v>87</v>
      </c>
      <c r="L916" s="14" t="s">
        <v>179</v>
      </c>
      <c r="M916" s="14">
        <v>5</v>
      </c>
      <c r="N916" s="14">
        <v>7497</v>
      </c>
      <c r="O916" s="14">
        <v>8100</v>
      </c>
      <c r="P916" s="14">
        <v>40</v>
      </c>
      <c r="Q916" s="14" t="s">
        <v>41</v>
      </c>
      <c r="R916" s="14" t="s">
        <v>42</v>
      </c>
      <c r="S916" s="14">
        <v>45507</v>
      </c>
      <c r="T916" s="14">
        <v>4</v>
      </c>
    </row>
    <row r="917" spans="1:20" x14ac:dyDescent="0.3">
      <c r="A917" t="s">
        <v>1516</v>
      </c>
      <c r="B917">
        <v>45951</v>
      </c>
      <c r="C917" t="s">
        <v>465</v>
      </c>
      <c r="D917" t="s">
        <v>53</v>
      </c>
      <c r="E917" t="s">
        <v>23</v>
      </c>
      <c r="F917">
        <v>22</v>
      </c>
      <c r="G917" t="s">
        <v>122</v>
      </c>
      <c r="H917" s="14" t="s">
        <v>123</v>
      </c>
      <c r="I917" s="14" t="s">
        <v>92</v>
      </c>
      <c r="J917" s="14" t="s">
        <v>93</v>
      </c>
      <c r="K917" s="14" t="s">
        <v>87</v>
      </c>
      <c r="L917" s="14" t="s">
        <v>94</v>
      </c>
      <c r="M917" s="14">
        <v>3</v>
      </c>
      <c r="N917" s="14">
        <v>4797</v>
      </c>
      <c r="O917" s="14">
        <v>2790</v>
      </c>
      <c r="P917" s="14">
        <v>0</v>
      </c>
      <c r="Q917" s="14" t="s">
        <v>30</v>
      </c>
      <c r="R917" s="14" t="s">
        <v>57</v>
      </c>
      <c r="S917" s="14">
        <v>45958</v>
      </c>
      <c r="T917" s="14">
        <v>4</v>
      </c>
    </row>
    <row r="918" spans="1:20" x14ac:dyDescent="0.3">
      <c r="A918" t="s">
        <v>1517</v>
      </c>
      <c r="B918">
        <v>45540</v>
      </c>
      <c r="C918" t="s">
        <v>873</v>
      </c>
      <c r="D918" t="s">
        <v>874</v>
      </c>
      <c r="E918" t="s">
        <v>23</v>
      </c>
      <c r="F918">
        <v>55</v>
      </c>
      <c r="G918" t="s">
        <v>24</v>
      </c>
      <c r="H918" s="14" t="s">
        <v>25</v>
      </c>
      <c r="I918" s="14" t="s">
        <v>107</v>
      </c>
      <c r="J918" s="14" t="s">
        <v>108</v>
      </c>
      <c r="K918" s="14" t="s">
        <v>87</v>
      </c>
      <c r="L918" s="14" t="s">
        <v>88</v>
      </c>
      <c r="M918" s="14">
        <v>2</v>
      </c>
      <c r="N918" s="14">
        <v>1358.3</v>
      </c>
      <c r="O918" s="14">
        <v>840</v>
      </c>
      <c r="P918" s="14">
        <v>15</v>
      </c>
      <c r="Q918" s="14" t="s">
        <v>50</v>
      </c>
      <c r="R918" s="14" t="s">
        <v>57</v>
      </c>
      <c r="S918" s="14">
        <v>45548</v>
      </c>
      <c r="T918" s="14">
        <v>4</v>
      </c>
    </row>
    <row r="919" spans="1:20" x14ac:dyDescent="0.3">
      <c r="A919" t="s">
        <v>1518</v>
      </c>
      <c r="B919">
        <v>45479</v>
      </c>
      <c r="C919" t="s">
        <v>138</v>
      </c>
      <c r="D919" t="s">
        <v>139</v>
      </c>
      <c r="E919" t="s">
        <v>77</v>
      </c>
      <c r="F919">
        <v>42</v>
      </c>
      <c r="G919" t="s">
        <v>161</v>
      </c>
      <c r="H919" s="14" t="s">
        <v>25</v>
      </c>
      <c r="I919" s="14" t="s">
        <v>54</v>
      </c>
      <c r="J919" s="14" t="s">
        <v>55</v>
      </c>
      <c r="K919" s="14" t="s">
        <v>28</v>
      </c>
      <c r="L919" s="14" t="s">
        <v>56</v>
      </c>
      <c r="M919" s="14">
        <v>4</v>
      </c>
      <c r="N919" s="14">
        <v>2656.2</v>
      </c>
      <c r="O919" s="14">
        <v>1640</v>
      </c>
      <c r="P919" s="14">
        <v>5</v>
      </c>
      <c r="Q919" s="14" t="s">
        <v>30</v>
      </c>
      <c r="R919" s="14" t="s">
        <v>42</v>
      </c>
      <c r="S919" s="14">
        <v>45491</v>
      </c>
      <c r="T919" s="14">
        <v>3</v>
      </c>
    </row>
    <row r="920" spans="1:20" x14ac:dyDescent="0.3">
      <c r="A920" t="s">
        <v>1519</v>
      </c>
      <c r="B920">
        <v>45501</v>
      </c>
      <c r="C920" t="s">
        <v>415</v>
      </c>
      <c r="D920" t="s">
        <v>416</v>
      </c>
      <c r="E920" t="s">
        <v>23</v>
      </c>
      <c r="F920">
        <v>49</v>
      </c>
      <c r="G920" t="s">
        <v>46</v>
      </c>
      <c r="H920" s="14" t="s">
        <v>25</v>
      </c>
      <c r="I920" s="14" t="s">
        <v>319</v>
      </c>
      <c r="J920" s="14" t="s">
        <v>320</v>
      </c>
      <c r="K920" s="14" t="s">
        <v>28</v>
      </c>
      <c r="L920" s="14" t="s">
        <v>29</v>
      </c>
      <c r="M920" s="14">
        <v>5</v>
      </c>
      <c r="N920" s="14">
        <v>5095.75</v>
      </c>
      <c r="O920" s="14">
        <v>3550</v>
      </c>
      <c r="P920" s="14">
        <v>15</v>
      </c>
      <c r="Q920" s="14" t="s">
        <v>30</v>
      </c>
      <c r="R920" s="14" t="s">
        <v>65</v>
      </c>
    </row>
    <row r="921" spans="1:20" x14ac:dyDescent="0.3">
      <c r="A921" t="s">
        <v>1520</v>
      </c>
      <c r="B921">
        <v>45372</v>
      </c>
      <c r="C921" t="s">
        <v>704</v>
      </c>
      <c r="D921" t="s">
        <v>479</v>
      </c>
      <c r="E921" t="s">
        <v>23</v>
      </c>
      <c r="F921">
        <v>42</v>
      </c>
      <c r="G921" t="s">
        <v>61</v>
      </c>
      <c r="H921" s="14" t="s">
        <v>62</v>
      </c>
      <c r="I921" s="14" t="s">
        <v>143</v>
      </c>
      <c r="J921" s="14" t="s">
        <v>144</v>
      </c>
      <c r="K921" s="14" t="s">
        <v>130</v>
      </c>
      <c r="L921" s="14" t="s">
        <v>131</v>
      </c>
      <c r="M921" s="14">
        <v>2</v>
      </c>
      <c r="N921" s="14">
        <v>9348.2999999999993</v>
      </c>
      <c r="O921" s="14">
        <v>8600</v>
      </c>
      <c r="P921" s="14">
        <v>15</v>
      </c>
      <c r="Q921" s="14" t="s">
        <v>30</v>
      </c>
      <c r="R921" s="14" t="s">
        <v>42</v>
      </c>
      <c r="S921" s="14">
        <v>45376</v>
      </c>
      <c r="T921" s="14">
        <v>4</v>
      </c>
    </row>
    <row r="922" spans="1:20" x14ac:dyDescent="0.3">
      <c r="A922" t="s">
        <v>1521</v>
      </c>
      <c r="B922">
        <v>45602</v>
      </c>
      <c r="C922" t="s">
        <v>422</v>
      </c>
      <c r="D922" t="s">
        <v>367</v>
      </c>
      <c r="E922" t="s">
        <v>77</v>
      </c>
      <c r="F922">
        <v>41</v>
      </c>
      <c r="G922" t="s">
        <v>61</v>
      </c>
      <c r="H922" s="14" t="s">
        <v>62</v>
      </c>
      <c r="I922" s="14" t="s">
        <v>92</v>
      </c>
      <c r="J922" s="14" t="s">
        <v>93</v>
      </c>
      <c r="K922" s="14" t="s">
        <v>87</v>
      </c>
      <c r="L922" s="14" t="s">
        <v>94</v>
      </c>
      <c r="M922" s="14">
        <v>2</v>
      </c>
      <c r="N922" s="14">
        <v>2558.4</v>
      </c>
      <c r="O922" s="14">
        <v>1860</v>
      </c>
      <c r="P922" s="14">
        <v>20</v>
      </c>
      <c r="Q922" s="14" t="s">
        <v>103</v>
      </c>
      <c r="R922" s="14" t="s">
        <v>42</v>
      </c>
      <c r="S922" s="14">
        <v>45609</v>
      </c>
      <c r="T922" s="14">
        <v>5</v>
      </c>
    </row>
    <row r="923" spans="1:20" x14ac:dyDescent="0.3">
      <c r="A923" t="s">
        <v>1522</v>
      </c>
      <c r="B923">
        <v>45678</v>
      </c>
      <c r="C923" t="s">
        <v>190</v>
      </c>
      <c r="D923" t="s">
        <v>191</v>
      </c>
      <c r="E923" t="s">
        <v>23</v>
      </c>
      <c r="F923">
        <v>45</v>
      </c>
      <c r="G923" t="s">
        <v>101</v>
      </c>
      <c r="H923" s="14" t="s">
        <v>102</v>
      </c>
      <c r="I923" s="14" t="s">
        <v>63</v>
      </c>
      <c r="J923" s="14" t="s">
        <v>64</v>
      </c>
      <c r="K923" s="14" t="s">
        <v>39</v>
      </c>
      <c r="L923" s="14" t="s">
        <v>40</v>
      </c>
      <c r="M923" s="14">
        <v>4</v>
      </c>
      <c r="N923" s="14">
        <v>1677.2</v>
      </c>
      <c r="O923" s="14">
        <v>1320</v>
      </c>
      <c r="P923" s="14">
        <v>30</v>
      </c>
      <c r="Q923" s="14" t="s">
        <v>30</v>
      </c>
      <c r="R923" s="14" t="s">
        <v>57</v>
      </c>
      <c r="S923" s="14">
        <v>45687</v>
      </c>
      <c r="T923" s="14">
        <v>2</v>
      </c>
    </row>
    <row r="924" spans="1:20" x14ac:dyDescent="0.3">
      <c r="A924" t="s">
        <v>1523</v>
      </c>
      <c r="B924">
        <v>45682</v>
      </c>
      <c r="C924" t="s">
        <v>704</v>
      </c>
      <c r="D924" t="s">
        <v>479</v>
      </c>
      <c r="E924" t="s">
        <v>23</v>
      </c>
      <c r="F924">
        <v>42</v>
      </c>
      <c r="G924" t="s">
        <v>46</v>
      </c>
      <c r="H924" s="14" t="s">
        <v>25</v>
      </c>
      <c r="I924" s="14" t="s">
        <v>143</v>
      </c>
      <c r="J924" s="14" t="s">
        <v>144</v>
      </c>
      <c r="K924" s="14" t="s">
        <v>130</v>
      </c>
      <c r="L924" s="14" t="s">
        <v>131</v>
      </c>
      <c r="M924" s="14">
        <v>5</v>
      </c>
      <c r="N924" s="14">
        <v>24745.5</v>
      </c>
      <c r="O924" s="14">
        <v>21500</v>
      </c>
      <c r="P924" s="14">
        <v>10</v>
      </c>
      <c r="Q924" s="14" t="s">
        <v>50</v>
      </c>
      <c r="R924" s="14" t="s">
        <v>31</v>
      </c>
      <c r="S924" s="14">
        <v>45686</v>
      </c>
      <c r="T924" s="14">
        <v>4</v>
      </c>
    </row>
    <row r="925" spans="1:20" x14ac:dyDescent="0.3">
      <c r="A925" t="s">
        <v>1524</v>
      </c>
      <c r="B925">
        <v>45681</v>
      </c>
      <c r="C925" t="s">
        <v>1137</v>
      </c>
      <c r="D925" t="s">
        <v>1018</v>
      </c>
      <c r="E925" t="s">
        <v>23</v>
      </c>
      <c r="F925">
        <v>29</v>
      </c>
      <c r="G925" t="s">
        <v>35</v>
      </c>
      <c r="H925" s="14" t="s">
        <v>36</v>
      </c>
      <c r="I925" s="14" t="s">
        <v>63</v>
      </c>
      <c r="J925" s="14" t="s">
        <v>64</v>
      </c>
      <c r="K925" s="14" t="s">
        <v>39</v>
      </c>
      <c r="L925" s="14" t="s">
        <v>40</v>
      </c>
      <c r="M925" s="14">
        <v>3</v>
      </c>
      <c r="N925" s="14">
        <v>1257.9000000000001</v>
      </c>
      <c r="O925" s="14">
        <v>990</v>
      </c>
      <c r="P925" s="14">
        <v>30</v>
      </c>
      <c r="Q925" s="14" t="s">
        <v>50</v>
      </c>
      <c r="R925" s="14" t="s">
        <v>65</v>
      </c>
    </row>
    <row r="926" spans="1:20" x14ac:dyDescent="0.3">
      <c r="A926" t="s">
        <v>1525</v>
      </c>
      <c r="B926">
        <v>45784</v>
      </c>
      <c r="C926" t="s">
        <v>657</v>
      </c>
      <c r="D926" t="s">
        <v>658</v>
      </c>
      <c r="E926" t="s">
        <v>23</v>
      </c>
      <c r="F926">
        <v>31</v>
      </c>
      <c r="G926" t="s">
        <v>126</v>
      </c>
      <c r="H926" s="14" t="s">
        <v>127</v>
      </c>
      <c r="I926" s="14" t="s">
        <v>252</v>
      </c>
      <c r="J926" s="14" t="s">
        <v>253</v>
      </c>
      <c r="K926" s="14" t="s">
        <v>28</v>
      </c>
      <c r="L926" s="14" t="s">
        <v>254</v>
      </c>
      <c r="M926" s="14">
        <v>4</v>
      </c>
      <c r="N926" s="14">
        <v>10196.6</v>
      </c>
      <c r="O926" s="14">
        <v>7600</v>
      </c>
      <c r="P926" s="14">
        <v>15</v>
      </c>
      <c r="Q926" s="14" t="s">
        <v>30</v>
      </c>
      <c r="R926" s="14" t="s">
        <v>42</v>
      </c>
      <c r="S926" s="14">
        <v>45786</v>
      </c>
      <c r="T926" s="14">
        <v>2</v>
      </c>
    </row>
    <row r="927" spans="1:20" x14ac:dyDescent="0.3">
      <c r="A927" t="s">
        <v>1526</v>
      </c>
      <c r="B927">
        <v>45804</v>
      </c>
      <c r="C927" t="s">
        <v>520</v>
      </c>
      <c r="D927" t="s">
        <v>506</v>
      </c>
      <c r="E927" t="s">
        <v>77</v>
      </c>
      <c r="F927">
        <v>36</v>
      </c>
      <c r="G927" t="s">
        <v>101</v>
      </c>
      <c r="H927" s="14" t="s">
        <v>102</v>
      </c>
      <c r="I927" s="14" t="s">
        <v>47</v>
      </c>
      <c r="J927" s="14" t="s">
        <v>48</v>
      </c>
      <c r="K927" s="14" t="s">
        <v>39</v>
      </c>
      <c r="L927" s="14" t="s">
        <v>49</v>
      </c>
      <c r="M927" s="14">
        <v>4</v>
      </c>
      <c r="N927" s="14">
        <v>1117.2</v>
      </c>
      <c r="O927" s="14">
        <v>840</v>
      </c>
      <c r="P927" s="14">
        <v>30</v>
      </c>
      <c r="Q927" s="14" t="s">
        <v>41</v>
      </c>
      <c r="R927" s="14" t="s">
        <v>42</v>
      </c>
      <c r="S927" s="14">
        <v>45813</v>
      </c>
      <c r="T927" s="14">
        <v>4</v>
      </c>
    </row>
    <row r="928" spans="1:20" x14ac:dyDescent="0.3">
      <c r="A928" t="s">
        <v>1527</v>
      </c>
      <c r="B928">
        <v>45948</v>
      </c>
      <c r="C928" t="s">
        <v>657</v>
      </c>
      <c r="D928" t="s">
        <v>658</v>
      </c>
      <c r="E928" t="s">
        <v>23</v>
      </c>
      <c r="F928">
        <v>31</v>
      </c>
      <c r="G928" t="s">
        <v>122</v>
      </c>
      <c r="H928" s="14" t="s">
        <v>123</v>
      </c>
      <c r="I928" s="14" t="s">
        <v>26</v>
      </c>
      <c r="J928" s="14" t="s">
        <v>27</v>
      </c>
      <c r="K928" s="14" t="s">
        <v>28</v>
      </c>
      <c r="L928" s="14" t="s">
        <v>29</v>
      </c>
      <c r="M928" s="14">
        <v>1</v>
      </c>
      <c r="N928" s="14">
        <v>909.3</v>
      </c>
      <c r="O928" s="14">
        <v>790</v>
      </c>
      <c r="P928" s="14">
        <v>30</v>
      </c>
      <c r="Q928" s="14" t="s">
        <v>50</v>
      </c>
      <c r="R928" s="14" t="s">
        <v>42</v>
      </c>
      <c r="S928" s="14">
        <v>45953</v>
      </c>
      <c r="T928" s="14">
        <v>5</v>
      </c>
    </row>
    <row r="929" spans="1:20" x14ac:dyDescent="0.3">
      <c r="A929" t="s">
        <v>1528</v>
      </c>
      <c r="B929">
        <v>45553</v>
      </c>
      <c r="C929" t="s">
        <v>322</v>
      </c>
      <c r="D929" t="s">
        <v>323</v>
      </c>
      <c r="E929" t="s">
        <v>23</v>
      </c>
      <c r="F929">
        <v>50</v>
      </c>
      <c r="G929" t="s">
        <v>101</v>
      </c>
      <c r="H929" s="14" t="s">
        <v>102</v>
      </c>
      <c r="I929" s="14" t="s">
        <v>92</v>
      </c>
      <c r="J929" s="14" t="s">
        <v>93</v>
      </c>
      <c r="K929" s="14" t="s">
        <v>87</v>
      </c>
      <c r="L929" s="14" t="s">
        <v>94</v>
      </c>
      <c r="M929" s="14">
        <v>3</v>
      </c>
      <c r="N929" s="14">
        <v>4797</v>
      </c>
      <c r="O929" s="14">
        <v>2790</v>
      </c>
      <c r="P929" s="14">
        <v>0</v>
      </c>
      <c r="Q929" s="14" t="s">
        <v>103</v>
      </c>
      <c r="R929" s="14" t="s">
        <v>42</v>
      </c>
      <c r="S929" s="14">
        <v>45558</v>
      </c>
      <c r="T929" s="14">
        <v>4</v>
      </c>
    </row>
    <row r="930" spans="1:20" x14ac:dyDescent="0.3">
      <c r="A930" t="s">
        <v>1529</v>
      </c>
      <c r="B930">
        <v>45781</v>
      </c>
      <c r="C930" t="s">
        <v>943</v>
      </c>
      <c r="D930" t="s">
        <v>206</v>
      </c>
      <c r="E930" t="s">
        <v>77</v>
      </c>
      <c r="F930">
        <v>42</v>
      </c>
      <c r="G930" t="s">
        <v>211</v>
      </c>
      <c r="H930" s="14" t="s">
        <v>127</v>
      </c>
      <c r="I930" s="14" t="s">
        <v>92</v>
      </c>
      <c r="J930" s="14" t="s">
        <v>93</v>
      </c>
      <c r="K930" s="14" t="s">
        <v>87</v>
      </c>
      <c r="L930" s="14" t="s">
        <v>94</v>
      </c>
      <c r="M930" s="14">
        <v>1</v>
      </c>
      <c r="N930" s="14">
        <v>1439.1</v>
      </c>
      <c r="O930" s="14">
        <v>930</v>
      </c>
      <c r="P930" s="14">
        <v>10</v>
      </c>
      <c r="Q930" s="14" t="s">
        <v>41</v>
      </c>
      <c r="R930" s="14" t="s">
        <v>65</v>
      </c>
    </row>
    <row r="931" spans="1:20" x14ac:dyDescent="0.3">
      <c r="A931" t="s">
        <v>1530</v>
      </c>
      <c r="B931">
        <v>45758</v>
      </c>
      <c r="C931" t="s">
        <v>1531</v>
      </c>
      <c r="D931" t="s">
        <v>84</v>
      </c>
      <c r="E931" t="s">
        <v>23</v>
      </c>
      <c r="F931">
        <v>32</v>
      </c>
      <c r="G931" t="s">
        <v>207</v>
      </c>
      <c r="H931" s="14" t="s">
        <v>36</v>
      </c>
      <c r="I931" s="14" t="s">
        <v>304</v>
      </c>
      <c r="J931" s="14" t="s">
        <v>305</v>
      </c>
      <c r="K931" s="14" t="s">
        <v>28</v>
      </c>
      <c r="L931" s="14" t="s">
        <v>231</v>
      </c>
      <c r="M931" s="14">
        <v>5</v>
      </c>
      <c r="N931" s="14">
        <v>8095.5</v>
      </c>
      <c r="O931" s="14">
        <v>5400</v>
      </c>
      <c r="P931" s="14">
        <v>10</v>
      </c>
      <c r="Q931" s="14" t="s">
        <v>73</v>
      </c>
      <c r="R931" s="14" t="s">
        <v>42</v>
      </c>
      <c r="S931" s="14">
        <v>45761</v>
      </c>
      <c r="T931" s="14">
        <v>5</v>
      </c>
    </row>
    <row r="932" spans="1:20" x14ac:dyDescent="0.3">
      <c r="A932" t="s">
        <v>1532</v>
      </c>
      <c r="B932">
        <v>45699</v>
      </c>
      <c r="C932" t="s">
        <v>297</v>
      </c>
      <c r="D932" t="s">
        <v>298</v>
      </c>
      <c r="E932" t="s">
        <v>77</v>
      </c>
      <c r="F932">
        <v>55</v>
      </c>
      <c r="G932" t="s">
        <v>154</v>
      </c>
      <c r="H932" s="14" t="s">
        <v>91</v>
      </c>
      <c r="I932" s="14" t="s">
        <v>134</v>
      </c>
      <c r="J932" s="14" t="s">
        <v>135</v>
      </c>
      <c r="K932" s="14" t="s">
        <v>39</v>
      </c>
      <c r="L932" s="14" t="s">
        <v>136</v>
      </c>
      <c r="M932" s="14">
        <v>2</v>
      </c>
      <c r="N932" s="14">
        <v>278.60000000000002</v>
      </c>
      <c r="O932" s="14">
        <v>180</v>
      </c>
      <c r="P932" s="14">
        <v>30</v>
      </c>
      <c r="Q932" s="14" t="s">
        <v>41</v>
      </c>
      <c r="R932" s="14" t="s">
        <v>31</v>
      </c>
      <c r="S932" s="14">
        <v>45705</v>
      </c>
      <c r="T932" s="14">
        <v>5</v>
      </c>
    </row>
    <row r="933" spans="1:20" x14ac:dyDescent="0.3">
      <c r="A933" t="s">
        <v>1533</v>
      </c>
      <c r="B933">
        <v>45892</v>
      </c>
      <c r="C933" t="s">
        <v>302</v>
      </c>
      <c r="D933" t="s">
        <v>303</v>
      </c>
      <c r="E933" t="s">
        <v>77</v>
      </c>
      <c r="F933">
        <v>24</v>
      </c>
      <c r="G933" t="s">
        <v>122</v>
      </c>
      <c r="H933" s="14" t="s">
        <v>123</v>
      </c>
      <c r="I933" s="14" t="s">
        <v>177</v>
      </c>
      <c r="J933" s="14" t="s">
        <v>178</v>
      </c>
      <c r="K933" s="14" t="s">
        <v>87</v>
      </c>
      <c r="L933" s="14" t="s">
        <v>179</v>
      </c>
      <c r="M933" s="14">
        <v>1</v>
      </c>
      <c r="N933" s="14">
        <v>2374.0500000000002</v>
      </c>
      <c r="O933" s="14">
        <v>1620</v>
      </c>
      <c r="P933" s="14">
        <v>5</v>
      </c>
      <c r="Q933" s="14" t="s">
        <v>50</v>
      </c>
      <c r="R933" s="14" t="s">
        <v>57</v>
      </c>
      <c r="S933" s="14">
        <v>45899</v>
      </c>
      <c r="T933" s="14">
        <v>3</v>
      </c>
    </row>
    <row r="934" spans="1:20" x14ac:dyDescent="0.3">
      <c r="A934" t="s">
        <v>1534</v>
      </c>
      <c r="B934">
        <v>45567</v>
      </c>
      <c r="C934" t="s">
        <v>849</v>
      </c>
      <c r="D934" t="s">
        <v>850</v>
      </c>
      <c r="E934" t="s">
        <v>23</v>
      </c>
      <c r="F934">
        <v>21</v>
      </c>
      <c r="G934" t="s">
        <v>165</v>
      </c>
      <c r="H934" s="14" t="s">
        <v>166</v>
      </c>
      <c r="I934" s="14" t="s">
        <v>85</v>
      </c>
      <c r="J934" s="14" t="s">
        <v>86</v>
      </c>
      <c r="K934" s="14" t="s">
        <v>87</v>
      </c>
      <c r="L934" s="14" t="s">
        <v>88</v>
      </c>
      <c r="M934" s="14">
        <v>3</v>
      </c>
      <c r="N934" s="14">
        <v>4197</v>
      </c>
      <c r="O934" s="14">
        <v>2370</v>
      </c>
      <c r="P934" s="14">
        <v>0</v>
      </c>
      <c r="Q934" s="14" t="s">
        <v>30</v>
      </c>
      <c r="R934" s="14" t="s">
        <v>57</v>
      </c>
      <c r="S934" s="14">
        <v>45576</v>
      </c>
      <c r="T934" s="14">
        <v>2</v>
      </c>
    </row>
    <row r="935" spans="1:20" x14ac:dyDescent="0.3">
      <c r="A935" t="s">
        <v>1535</v>
      </c>
      <c r="B935">
        <v>45391</v>
      </c>
      <c r="C935" t="s">
        <v>187</v>
      </c>
      <c r="D935" t="s">
        <v>188</v>
      </c>
      <c r="E935" t="s">
        <v>23</v>
      </c>
      <c r="F935">
        <v>54</v>
      </c>
      <c r="G935" t="s">
        <v>122</v>
      </c>
      <c r="H935" s="14" t="s">
        <v>123</v>
      </c>
      <c r="I935" s="14" t="s">
        <v>112</v>
      </c>
      <c r="J935" s="14" t="s">
        <v>113</v>
      </c>
      <c r="K935" s="14" t="s">
        <v>114</v>
      </c>
      <c r="L935" s="14" t="s">
        <v>115</v>
      </c>
      <c r="M935" s="14">
        <v>4</v>
      </c>
      <c r="N935" s="14">
        <v>2236.8000000000002</v>
      </c>
      <c r="O935" s="14">
        <v>1480</v>
      </c>
      <c r="P935" s="14">
        <v>20</v>
      </c>
      <c r="Q935" s="14" t="s">
        <v>103</v>
      </c>
      <c r="R935" s="14" t="s">
        <v>42</v>
      </c>
      <c r="S935" s="14">
        <v>45395</v>
      </c>
      <c r="T935" s="14">
        <v>4</v>
      </c>
    </row>
    <row r="936" spans="1:20" x14ac:dyDescent="0.3">
      <c r="A936" t="s">
        <v>1536</v>
      </c>
      <c r="B936">
        <v>45482</v>
      </c>
      <c r="C936" t="s">
        <v>689</v>
      </c>
      <c r="D936" t="s">
        <v>690</v>
      </c>
      <c r="E936" t="s">
        <v>77</v>
      </c>
      <c r="F936">
        <v>45</v>
      </c>
      <c r="G936" t="s">
        <v>154</v>
      </c>
      <c r="H936" s="14" t="s">
        <v>91</v>
      </c>
      <c r="I936" s="14" t="s">
        <v>37</v>
      </c>
      <c r="J936" s="14" t="s">
        <v>38</v>
      </c>
      <c r="K936" s="14" t="s">
        <v>39</v>
      </c>
      <c r="L936" s="14" t="s">
        <v>40</v>
      </c>
      <c r="M936" s="14">
        <v>2</v>
      </c>
      <c r="N936" s="14">
        <v>1708.1</v>
      </c>
      <c r="O936" s="14">
        <v>1040</v>
      </c>
      <c r="P936" s="14">
        <v>5</v>
      </c>
      <c r="Q936" s="14" t="s">
        <v>103</v>
      </c>
      <c r="R936" s="14" t="s">
        <v>65</v>
      </c>
    </row>
    <row r="937" spans="1:20" x14ac:dyDescent="0.3">
      <c r="A937" t="s">
        <v>1537</v>
      </c>
      <c r="B937">
        <v>45509</v>
      </c>
      <c r="C937" t="s">
        <v>390</v>
      </c>
      <c r="D937" t="s">
        <v>391</v>
      </c>
      <c r="E937" t="s">
        <v>23</v>
      </c>
      <c r="F937">
        <v>52</v>
      </c>
      <c r="G937" t="s">
        <v>154</v>
      </c>
      <c r="H937" s="14" t="s">
        <v>91</v>
      </c>
      <c r="I937" s="14" t="s">
        <v>26</v>
      </c>
      <c r="J937" s="14" t="s">
        <v>27</v>
      </c>
      <c r="K937" s="14" t="s">
        <v>28</v>
      </c>
      <c r="L937" s="14" t="s">
        <v>29</v>
      </c>
      <c r="M937" s="14">
        <v>2</v>
      </c>
      <c r="N937" s="14">
        <v>2208.3000000000002</v>
      </c>
      <c r="O937" s="14">
        <v>1580</v>
      </c>
      <c r="P937" s="14">
        <v>15</v>
      </c>
      <c r="Q937" s="14" t="s">
        <v>41</v>
      </c>
      <c r="R937" s="14" t="s">
        <v>57</v>
      </c>
      <c r="S937" s="14">
        <v>45517</v>
      </c>
      <c r="T937" s="14">
        <v>5</v>
      </c>
    </row>
    <row r="938" spans="1:20" x14ac:dyDescent="0.3">
      <c r="A938" t="s">
        <v>1538</v>
      </c>
      <c r="B938">
        <v>45933</v>
      </c>
      <c r="C938" t="s">
        <v>1103</v>
      </c>
      <c r="D938" t="s">
        <v>1104</v>
      </c>
      <c r="E938" t="s">
        <v>77</v>
      </c>
      <c r="F938">
        <v>50</v>
      </c>
      <c r="G938" t="s">
        <v>78</v>
      </c>
      <c r="H938" s="14" t="s">
        <v>79</v>
      </c>
      <c r="I938" s="14" t="s">
        <v>54</v>
      </c>
      <c r="J938" s="14" t="s">
        <v>55</v>
      </c>
      <c r="K938" s="14" t="s">
        <v>28</v>
      </c>
      <c r="L938" s="14" t="s">
        <v>56</v>
      </c>
      <c r="M938" s="14">
        <v>3</v>
      </c>
      <c r="N938" s="14">
        <v>1992.15</v>
      </c>
      <c r="O938" s="14">
        <v>1230</v>
      </c>
      <c r="P938" s="14">
        <v>5</v>
      </c>
      <c r="Q938" s="14" t="s">
        <v>103</v>
      </c>
      <c r="R938" s="14" t="s">
        <v>42</v>
      </c>
      <c r="S938" s="14">
        <v>45939</v>
      </c>
      <c r="T938" s="14">
        <v>3</v>
      </c>
    </row>
    <row r="939" spans="1:20" x14ac:dyDescent="0.3">
      <c r="A939" t="s">
        <v>1539</v>
      </c>
      <c r="B939">
        <v>45642</v>
      </c>
      <c r="C939" t="s">
        <v>266</v>
      </c>
      <c r="D939" t="s">
        <v>267</v>
      </c>
      <c r="E939" t="s">
        <v>77</v>
      </c>
      <c r="F939">
        <v>56</v>
      </c>
      <c r="G939" t="s">
        <v>90</v>
      </c>
      <c r="H939" s="14" t="s">
        <v>91</v>
      </c>
      <c r="I939" s="14" t="s">
        <v>37</v>
      </c>
      <c r="J939" s="14" t="s">
        <v>38</v>
      </c>
      <c r="K939" s="14" t="s">
        <v>39</v>
      </c>
      <c r="L939" s="14" t="s">
        <v>40</v>
      </c>
      <c r="M939" s="14">
        <v>4</v>
      </c>
      <c r="N939" s="14">
        <v>3416.2</v>
      </c>
      <c r="O939" s="14">
        <v>2080</v>
      </c>
      <c r="P939" s="14">
        <v>5</v>
      </c>
      <c r="Q939" s="14" t="s">
        <v>73</v>
      </c>
      <c r="R939" s="14" t="s">
        <v>42</v>
      </c>
      <c r="S939" s="14">
        <v>45648</v>
      </c>
      <c r="T939" s="14">
        <v>2</v>
      </c>
    </row>
    <row r="940" spans="1:20" x14ac:dyDescent="0.3">
      <c r="A940" t="s">
        <v>1540</v>
      </c>
      <c r="B940">
        <v>45973</v>
      </c>
      <c r="C940" t="s">
        <v>474</v>
      </c>
      <c r="D940" t="s">
        <v>475</v>
      </c>
      <c r="E940" t="s">
        <v>23</v>
      </c>
      <c r="F940">
        <v>29</v>
      </c>
      <c r="G940" t="s">
        <v>24</v>
      </c>
      <c r="H940" s="14" t="s">
        <v>25</v>
      </c>
      <c r="I940" s="14" t="s">
        <v>229</v>
      </c>
      <c r="J940" s="14" t="s">
        <v>230</v>
      </c>
      <c r="K940" s="14" t="s">
        <v>28</v>
      </c>
      <c r="L940" s="14" t="s">
        <v>231</v>
      </c>
      <c r="M940" s="14">
        <v>2</v>
      </c>
      <c r="N940" s="14">
        <v>3998</v>
      </c>
      <c r="O940" s="14">
        <v>2460</v>
      </c>
      <c r="P940" s="14">
        <v>0</v>
      </c>
      <c r="Q940" s="14" t="s">
        <v>103</v>
      </c>
      <c r="R940" s="14" t="s">
        <v>65</v>
      </c>
    </row>
    <row r="941" spans="1:20" x14ac:dyDescent="0.3">
      <c r="A941" t="s">
        <v>1541</v>
      </c>
      <c r="B941">
        <v>45824</v>
      </c>
      <c r="C941" t="s">
        <v>159</v>
      </c>
      <c r="D941" t="s">
        <v>160</v>
      </c>
      <c r="E941" t="s">
        <v>23</v>
      </c>
      <c r="F941">
        <v>58</v>
      </c>
      <c r="G941" t="s">
        <v>101</v>
      </c>
      <c r="H941" s="14" t="s">
        <v>102</v>
      </c>
      <c r="I941" s="14" t="s">
        <v>37</v>
      </c>
      <c r="J941" s="14" t="s">
        <v>38</v>
      </c>
      <c r="K941" s="14" t="s">
        <v>39</v>
      </c>
      <c r="L941" s="14" t="s">
        <v>40</v>
      </c>
      <c r="M941" s="14">
        <v>3</v>
      </c>
      <c r="N941" s="14">
        <v>1887.9</v>
      </c>
      <c r="O941" s="14">
        <v>1560</v>
      </c>
      <c r="P941" s="14">
        <v>30</v>
      </c>
      <c r="Q941" s="14" t="s">
        <v>41</v>
      </c>
      <c r="R941" s="14" t="s">
        <v>42</v>
      </c>
      <c r="S941" s="14">
        <v>45836</v>
      </c>
      <c r="T941" s="14">
        <v>4</v>
      </c>
    </row>
    <row r="942" spans="1:20" x14ac:dyDescent="0.3">
      <c r="A942" t="s">
        <v>1542</v>
      </c>
      <c r="B942">
        <v>45614</v>
      </c>
      <c r="C942" t="s">
        <v>141</v>
      </c>
      <c r="D942" t="s">
        <v>142</v>
      </c>
      <c r="E942" t="s">
        <v>23</v>
      </c>
      <c r="F942">
        <v>57</v>
      </c>
      <c r="G942" t="s">
        <v>211</v>
      </c>
      <c r="H942" s="14" t="s">
        <v>127</v>
      </c>
      <c r="I942" s="14" t="s">
        <v>107</v>
      </c>
      <c r="J942" s="14" t="s">
        <v>108</v>
      </c>
      <c r="K942" s="14" t="s">
        <v>87</v>
      </c>
      <c r="L942" s="14" t="s">
        <v>88</v>
      </c>
      <c r="M942" s="14">
        <v>4</v>
      </c>
      <c r="N942" s="14">
        <v>2237.1999999999998</v>
      </c>
      <c r="O942" s="14">
        <v>1680</v>
      </c>
      <c r="P942" s="14">
        <v>30</v>
      </c>
      <c r="Q942" s="14" t="s">
        <v>50</v>
      </c>
      <c r="R942" s="14" t="s">
        <v>42</v>
      </c>
      <c r="S942" s="14">
        <v>45621</v>
      </c>
      <c r="T942" s="14">
        <v>4</v>
      </c>
    </row>
    <row r="943" spans="1:20" x14ac:dyDescent="0.3">
      <c r="A943" t="s">
        <v>1543</v>
      </c>
      <c r="B943">
        <v>45394</v>
      </c>
      <c r="C943" t="s">
        <v>1247</v>
      </c>
      <c r="D943" t="s">
        <v>323</v>
      </c>
      <c r="E943" t="s">
        <v>23</v>
      </c>
      <c r="F943">
        <v>33</v>
      </c>
      <c r="G943" t="s">
        <v>61</v>
      </c>
      <c r="H943" s="14" t="s">
        <v>62</v>
      </c>
      <c r="I943" s="14" t="s">
        <v>85</v>
      </c>
      <c r="J943" s="14" t="s">
        <v>86</v>
      </c>
      <c r="K943" s="14" t="s">
        <v>87</v>
      </c>
      <c r="L943" s="14" t="s">
        <v>88</v>
      </c>
      <c r="M943" s="14">
        <v>4</v>
      </c>
      <c r="N943" s="14">
        <v>5036.3999999999996</v>
      </c>
      <c r="O943" s="14">
        <v>3160</v>
      </c>
      <c r="P943" s="14">
        <v>10</v>
      </c>
      <c r="Q943" s="14" t="s">
        <v>73</v>
      </c>
      <c r="R943" s="14" t="s">
        <v>65</v>
      </c>
    </row>
    <row r="944" spans="1:20" x14ac:dyDescent="0.3">
      <c r="A944" t="s">
        <v>1544</v>
      </c>
      <c r="B944">
        <v>45417</v>
      </c>
      <c r="C944" t="s">
        <v>272</v>
      </c>
      <c r="D944" t="s">
        <v>273</v>
      </c>
      <c r="E944" t="s">
        <v>23</v>
      </c>
      <c r="F944">
        <v>46</v>
      </c>
      <c r="G944" t="s">
        <v>207</v>
      </c>
      <c r="H944" s="14" t="s">
        <v>36</v>
      </c>
      <c r="I944" s="14" t="s">
        <v>85</v>
      </c>
      <c r="J944" s="14" t="s">
        <v>86</v>
      </c>
      <c r="K944" s="14" t="s">
        <v>87</v>
      </c>
      <c r="L944" s="14" t="s">
        <v>88</v>
      </c>
      <c r="M944" s="14">
        <v>2</v>
      </c>
      <c r="N944" s="14">
        <v>2098.5</v>
      </c>
      <c r="O944" s="14">
        <v>1580</v>
      </c>
      <c r="P944" s="14">
        <v>25</v>
      </c>
      <c r="Q944" s="14" t="s">
        <v>103</v>
      </c>
      <c r="R944" s="14" t="s">
        <v>65</v>
      </c>
    </row>
    <row r="945" spans="1:20" x14ac:dyDescent="0.3">
      <c r="A945" t="s">
        <v>1545</v>
      </c>
      <c r="B945">
        <v>45994</v>
      </c>
      <c r="C945" t="s">
        <v>340</v>
      </c>
      <c r="D945" t="s">
        <v>341</v>
      </c>
      <c r="E945" t="s">
        <v>23</v>
      </c>
      <c r="F945">
        <v>21</v>
      </c>
      <c r="G945" t="s">
        <v>122</v>
      </c>
      <c r="H945" s="14" t="s">
        <v>123</v>
      </c>
      <c r="I945" s="14" t="s">
        <v>107</v>
      </c>
      <c r="J945" s="14" t="s">
        <v>108</v>
      </c>
      <c r="K945" s="14" t="s">
        <v>87</v>
      </c>
      <c r="L945" s="14" t="s">
        <v>88</v>
      </c>
      <c r="M945" s="14">
        <v>2</v>
      </c>
      <c r="N945" s="14">
        <v>1598</v>
      </c>
      <c r="O945" s="14">
        <v>840</v>
      </c>
      <c r="P945" s="14">
        <v>0</v>
      </c>
      <c r="Q945" s="14" t="s">
        <v>41</v>
      </c>
      <c r="R945" s="14" t="s">
        <v>42</v>
      </c>
      <c r="S945" s="14">
        <v>46006</v>
      </c>
      <c r="T945" s="14">
        <v>4</v>
      </c>
    </row>
    <row r="946" spans="1:20" x14ac:dyDescent="0.3">
      <c r="A946" t="s">
        <v>1546</v>
      </c>
      <c r="B946">
        <v>45338</v>
      </c>
      <c r="C946" t="s">
        <v>481</v>
      </c>
      <c r="D946" t="s">
        <v>482</v>
      </c>
      <c r="E946" t="s">
        <v>23</v>
      </c>
      <c r="F946">
        <v>34</v>
      </c>
      <c r="G946" t="s">
        <v>61</v>
      </c>
      <c r="H946" s="14" t="s">
        <v>62</v>
      </c>
      <c r="I946" s="14" t="s">
        <v>304</v>
      </c>
      <c r="J946" s="14" t="s">
        <v>305</v>
      </c>
      <c r="K946" s="14" t="s">
        <v>28</v>
      </c>
      <c r="L946" s="14" t="s">
        <v>231</v>
      </c>
      <c r="M946" s="14">
        <v>5</v>
      </c>
      <c r="N946" s="14">
        <v>5397</v>
      </c>
      <c r="O946" s="14">
        <v>5400</v>
      </c>
      <c r="P946" s="14">
        <v>40</v>
      </c>
      <c r="Q946" s="14" t="s">
        <v>103</v>
      </c>
      <c r="R946" s="14" t="s">
        <v>31</v>
      </c>
      <c r="S946" s="14">
        <v>45349</v>
      </c>
      <c r="T946" s="14">
        <v>3</v>
      </c>
    </row>
    <row r="947" spans="1:20" x14ac:dyDescent="0.3">
      <c r="A947" t="s">
        <v>1547</v>
      </c>
      <c r="B947">
        <v>45648</v>
      </c>
      <c r="C947" t="s">
        <v>610</v>
      </c>
      <c r="D947" t="s">
        <v>34</v>
      </c>
      <c r="E947" t="s">
        <v>23</v>
      </c>
      <c r="F947">
        <v>31</v>
      </c>
      <c r="G947" t="s">
        <v>101</v>
      </c>
      <c r="H947" s="14" t="s">
        <v>102</v>
      </c>
      <c r="I947" s="14" t="s">
        <v>107</v>
      </c>
      <c r="J947" s="14" t="s">
        <v>108</v>
      </c>
      <c r="K947" s="14" t="s">
        <v>87</v>
      </c>
      <c r="L947" s="14" t="s">
        <v>88</v>
      </c>
      <c r="M947" s="14">
        <v>1</v>
      </c>
      <c r="N947" s="14">
        <v>559.29999999999995</v>
      </c>
      <c r="O947" s="14">
        <v>420</v>
      </c>
      <c r="P947" s="14">
        <v>30</v>
      </c>
      <c r="Q947" s="14" t="s">
        <v>41</v>
      </c>
      <c r="R947" s="14" t="s">
        <v>65</v>
      </c>
    </row>
    <row r="948" spans="1:20" x14ac:dyDescent="0.3">
      <c r="A948" t="s">
        <v>1548</v>
      </c>
      <c r="B948">
        <v>45491</v>
      </c>
      <c r="C948" t="s">
        <v>387</v>
      </c>
      <c r="D948" t="s">
        <v>388</v>
      </c>
      <c r="E948" t="s">
        <v>23</v>
      </c>
      <c r="F948">
        <v>32</v>
      </c>
      <c r="G948" t="s">
        <v>24</v>
      </c>
      <c r="H948" s="14" t="s">
        <v>25</v>
      </c>
      <c r="I948" s="14" t="s">
        <v>252</v>
      </c>
      <c r="J948" s="14" t="s">
        <v>253</v>
      </c>
      <c r="K948" s="14" t="s">
        <v>28</v>
      </c>
      <c r="L948" s="14" t="s">
        <v>254</v>
      </c>
      <c r="M948" s="14">
        <v>4</v>
      </c>
      <c r="N948" s="14">
        <v>11396.2</v>
      </c>
      <c r="O948" s="14">
        <v>7600</v>
      </c>
      <c r="P948" s="14">
        <v>5</v>
      </c>
      <c r="Q948" s="14" t="s">
        <v>41</v>
      </c>
      <c r="R948" s="14" t="s">
        <v>57</v>
      </c>
      <c r="S948" s="14">
        <v>45503</v>
      </c>
      <c r="T948" s="14">
        <v>5</v>
      </c>
    </row>
    <row r="949" spans="1:20" x14ac:dyDescent="0.3">
      <c r="A949" t="s">
        <v>1549</v>
      </c>
      <c r="B949">
        <v>45464</v>
      </c>
      <c r="C949" t="s">
        <v>538</v>
      </c>
      <c r="D949" t="s">
        <v>539</v>
      </c>
      <c r="E949" t="s">
        <v>23</v>
      </c>
      <c r="F949">
        <v>49</v>
      </c>
      <c r="G949" t="s">
        <v>69</v>
      </c>
      <c r="H949" s="14" t="s">
        <v>69</v>
      </c>
      <c r="I949" s="14" t="s">
        <v>37</v>
      </c>
      <c r="J949" s="14" t="s">
        <v>38</v>
      </c>
      <c r="K949" s="14" t="s">
        <v>39</v>
      </c>
      <c r="L949" s="14" t="s">
        <v>40</v>
      </c>
      <c r="M949" s="14">
        <v>5</v>
      </c>
      <c r="N949" s="14">
        <v>3820.75</v>
      </c>
      <c r="O949" s="14">
        <v>2600</v>
      </c>
      <c r="P949" s="14">
        <v>15</v>
      </c>
      <c r="Q949" s="14" t="s">
        <v>30</v>
      </c>
      <c r="R949" s="14" t="s">
        <v>42</v>
      </c>
      <c r="S949" s="14">
        <v>45468</v>
      </c>
      <c r="T949" s="14">
        <v>3</v>
      </c>
    </row>
    <row r="950" spans="1:20" x14ac:dyDescent="0.3">
      <c r="A950" t="s">
        <v>1550</v>
      </c>
      <c r="B950">
        <v>45400</v>
      </c>
      <c r="C950" t="s">
        <v>1044</v>
      </c>
      <c r="D950" t="s">
        <v>1045</v>
      </c>
      <c r="E950" t="s">
        <v>77</v>
      </c>
      <c r="F950">
        <v>31</v>
      </c>
      <c r="G950" t="s">
        <v>161</v>
      </c>
      <c r="H950" s="14" t="s">
        <v>25</v>
      </c>
      <c r="I950" s="14" t="s">
        <v>319</v>
      </c>
      <c r="J950" s="14" t="s">
        <v>320</v>
      </c>
      <c r="K950" s="14" t="s">
        <v>28</v>
      </c>
      <c r="L950" s="14" t="s">
        <v>29</v>
      </c>
      <c r="M950" s="14">
        <v>3</v>
      </c>
      <c r="N950" s="14">
        <v>2517.9</v>
      </c>
      <c r="O950" s="14">
        <v>2130</v>
      </c>
      <c r="P950" s="14">
        <v>30</v>
      </c>
      <c r="Q950" s="14" t="s">
        <v>41</v>
      </c>
      <c r="R950" s="14" t="s">
        <v>42</v>
      </c>
      <c r="S950" s="14">
        <v>45406</v>
      </c>
      <c r="T950" s="14">
        <v>5</v>
      </c>
    </row>
    <row r="951" spans="1:20" x14ac:dyDescent="0.3">
      <c r="A951" t="s">
        <v>910</v>
      </c>
      <c r="B951">
        <v>45397</v>
      </c>
      <c r="C951" t="s">
        <v>585</v>
      </c>
      <c r="D951" t="s">
        <v>586</v>
      </c>
      <c r="E951" t="s">
        <v>77</v>
      </c>
      <c r="F951">
        <v>51</v>
      </c>
      <c r="G951" t="s">
        <v>207</v>
      </c>
      <c r="H951" s="14" t="s">
        <v>36</v>
      </c>
      <c r="I951" s="14" t="s">
        <v>177</v>
      </c>
      <c r="J951" s="14" t="s">
        <v>178</v>
      </c>
      <c r="K951" s="14" t="s">
        <v>87</v>
      </c>
      <c r="L951" s="14" t="s">
        <v>179</v>
      </c>
      <c r="M951" s="14">
        <v>3</v>
      </c>
      <c r="N951" s="14">
        <v>6747.3</v>
      </c>
      <c r="O951" s="14">
        <v>4860</v>
      </c>
      <c r="P951" s="14">
        <v>10</v>
      </c>
      <c r="Q951" s="14" t="s">
        <v>103</v>
      </c>
      <c r="R951" s="14" t="s">
        <v>31</v>
      </c>
      <c r="S951" s="14">
        <v>45405</v>
      </c>
      <c r="T951" s="14">
        <v>4</v>
      </c>
    </row>
    <row r="952" spans="1:20" x14ac:dyDescent="0.3">
      <c r="A952" t="s">
        <v>1551</v>
      </c>
      <c r="B952">
        <v>45951</v>
      </c>
      <c r="C952" t="s">
        <v>605</v>
      </c>
      <c r="D952" t="s">
        <v>442</v>
      </c>
      <c r="E952" t="s">
        <v>77</v>
      </c>
      <c r="F952">
        <v>22</v>
      </c>
      <c r="G952" t="s">
        <v>165</v>
      </c>
      <c r="H952" s="14" t="s">
        <v>166</v>
      </c>
      <c r="I952" s="14" t="s">
        <v>85</v>
      </c>
      <c r="J952" s="14" t="s">
        <v>86</v>
      </c>
      <c r="K952" s="14" t="s">
        <v>87</v>
      </c>
      <c r="L952" s="14" t="s">
        <v>88</v>
      </c>
      <c r="M952" s="14">
        <v>4</v>
      </c>
      <c r="N952" s="14">
        <v>3917.2</v>
      </c>
      <c r="O952" s="14">
        <v>3160</v>
      </c>
      <c r="P952" s="14">
        <v>30</v>
      </c>
      <c r="Q952" s="14" t="s">
        <v>30</v>
      </c>
      <c r="R952" s="14" t="s">
        <v>42</v>
      </c>
      <c r="S952" s="14">
        <v>45957</v>
      </c>
      <c r="T952" s="14">
        <v>3</v>
      </c>
    </row>
    <row r="953" spans="1:20" x14ac:dyDescent="0.3">
      <c r="A953" t="s">
        <v>1552</v>
      </c>
      <c r="B953">
        <v>45589</v>
      </c>
      <c r="C953" t="s">
        <v>508</v>
      </c>
      <c r="D953" t="s">
        <v>509</v>
      </c>
      <c r="E953" t="s">
        <v>77</v>
      </c>
      <c r="F953">
        <v>23</v>
      </c>
      <c r="G953" t="s">
        <v>69</v>
      </c>
      <c r="H953" s="14" t="s">
        <v>69</v>
      </c>
      <c r="I953" s="14" t="s">
        <v>54</v>
      </c>
      <c r="J953" s="14" t="s">
        <v>55</v>
      </c>
      <c r="K953" s="14" t="s">
        <v>28</v>
      </c>
      <c r="L953" s="14" t="s">
        <v>56</v>
      </c>
      <c r="M953" s="14">
        <v>3</v>
      </c>
      <c r="N953" s="14">
        <v>1782.45</v>
      </c>
      <c r="O953" s="14">
        <v>1230</v>
      </c>
      <c r="P953" s="14">
        <v>15</v>
      </c>
      <c r="Q953" s="14" t="s">
        <v>73</v>
      </c>
      <c r="R953" s="14" t="s">
        <v>65</v>
      </c>
    </row>
    <row r="954" spans="1:20" x14ac:dyDescent="0.3">
      <c r="A954" t="s">
        <v>1553</v>
      </c>
      <c r="B954">
        <v>45668</v>
      </c>
      <c r="C954" t="s">
        <v>1445</v>
      </c>
      <c r="D954" t="s">
        <v>172</v>
      </c>
      <c r="E954" t="s">
        <v>23</v>
      </c>
      <c r="F954">
        <v>26</v>
      </c>
      <c r="G954" t="s">
        <v>126</v>
      </c>
      <c r="H954" s="14" t="s">
        <v>127</v>
      </c>
      <c r="I954" s="14" t="s">
        <v>47</v>
      </c>
      <c r="J954" s="14" t="s">
        <v>48</v>
      </c>
      <c r="K954" s="14" t="s">
        <v>39</v>
      </c>
      <c r="L954" s="14" t="s">
        <v>49</v>
      </c>
      <c r="M954" s="14">
        <v>5</v>
      </c>
      <c r="N954" s="14">
        <v>1995</v>
      </c>
      <c r="O954" s="14">
        <v>1050</v>
      </c>
      <c r="P954" s="14">
        <v>0</v>
      </c>
      <c r="Q954" s="14" t="s">
        <v>41</v>
      </c>
      <c r="R954" s="14" t="s">
        <v>42</v>
      </c>
      <c r="S954" s="14">
        <v>45679</v>
      </c>
      <c r="T954" s="14">
        <v>4</v>
      </c>
    </row>
    <row r="955" spans="1:20" x14ac:dyDescent="0.3">
      <c r="A955" t="s">
        <v>1554</v>
      </c>
      <c r="B955">
        <v>45689</v>
      </c>
      <c r="C955" t="s">
        <v>354</v>
      </c>
      <c r="D955" t="s">
        <v>355</v>
      </c>
      <c r="E955" t="s">
        <v>77</v>
      </c>
      <c r="F955">
        <v>38</v>
      </c>
      <c r="G955" t="s">
        <v>126</v>
      </c>
      <c r="H955" s="14" t="s">
        <v>127</v>
      </c>
      <c r="I955" s="14" t="s">
        <v>245</v>
      </c>
      <c r="J955" s="14" t="s">
        <v>246</v>
      </c>
      <c r="K955" s="14" t="s">
        <v>130</v>
      </c>
      <c r="L955" s="14" t="s">
        <v>247</v>
      </c>
      <c r="M955" s="14">
        <v>2</v>
      </c>
      <c r="N955" s="14">
        <v>4248.3</v>
      </c>
      <c r="O955" s="14">
        <v>3740</v>
      </c>
      <c r="P955" s="14">
        <v>15</v>
      </c>
      <c r="Q955" s="14" t="s">
        <v>73</v>
      </c>
      <c r="R955" s="14" t="s">
        <v>42</v>
      </c>
      <c r="S955" s="14">
        <v>45691</v>
      </c>
      <c r="T955" s="14">
        <v>5</v>
      </c>
    </row>
    <row r="956" spans="1:20" x14ac:dyDescent="0.3">
      <c r="A956" t="s">
        <v>1555</v>
      </c>
      <c r="B956">
        <v>45615</v>
      </c>
      <c r="C956" t="s">
        <v>193</v>
      </c>
      <c r="D956" t="s">
        <v>194</v>
      </c>
      <c r="E956" t="s">
        <v>23</v>
      </c>
      <c r="F956">
        <v>19</v>
      </c>
      <c r="G956" t="s">
        <v>35</v>
      </c>
      <c r="H956" s="14" t="s">
        <v>36</v>
      </c>
      <c r="I956" s="14" t="s">
        <v>304</v>
      </c>
      <c r="J956" s="14" t="s">
        <v>305</v>
      </c>
      <c r="K956" s="14" t="s">
        <v>28</v>
      </c>
      <c r="L956" s="14" t="s">
        <v>231</v>
      </c>
      <c r="M956" s="14">
        <v>4</v>
      </c>
      <c r="N956" s="14">
        <v>4317.6000000000004</v>
      </c>
      <c r="O956" s="14">
        <v>4320</v>
      </c>
      <c r="P956" s="14">
        <v>40</v>
      </c>
      <c r="Q956" s="14" t="s">
        <v>30</v>
      </c>
      <c r="R956" s="14" t="s">
        <v>65</v>
      </c>
    </row>
    <row r="957" spans="1:20" x14ac:dyDescent="0.3">
      <c r="A957" t="s">
        <v>1556</v>
      </c>
      <c r="B957">
        <v>45582</v>
      </c>
      <c r="C957" t="s">
        <v>193</v>
      </c>
      <c r="D957" t="s">
        <v>194</v>
      </c>
      <c r="E957" t="s">
        <v>23</v>
      </c>
      <c r="F957">
        <v>19</v>
      </c>
      <c r="G957" t="s">
        <v>24</v>
      </c>
      <c r="H957" s="14" t="s">
        <v>25</v>
      </c>
      <c r="I957" s="14" t="s">
        <v>155</v>
      </c>
      <c r="J957" s="14" t="s">
        <v>156</v>
      </c>
      <c r="K957" s="14" t="s">
        <v>114</v>
      </c>
      <c r="L957" s="14" t="s">
        <v>157</v>
      </c>
      <c r="M957" s="14">
        <v>3</v>
      </c>
      <c r="N957" s="14">
        <v>2397.6</v>
      </c>
      <c r="O957" s="14">
        <v>1830</v>
      </c>
      <c r="P957" s="14">
        <v>20</v>
      </c>
      <c r="Q957" s="14" t="s">
        <v>50</v>
      </c>
      <c r="R957" s="14" t="s">
        <v>31</v>
      </c>
      <c r="S957" s="14">
        <v>45585</v>
      </c>
      <c r="T957" s="14">
        <v>4</v>
      </c>
    </row>
    <row r="958" spans="1:20" x14ac:dyDescent="0.3">
      <c r="A958" t="s">
        <v>1557</v>
      </c>
      <c r="B958">
        <v>46015</v>
      </c>
      <c r="C958" t="s">
        <v>33</v>
      </c>
      <c r="D958" t="s">
        <v>34</v>
      </c>
      <c r="E958" t="s">
        <v>23</v>
      </c>
      <c r="F958">
        <v>30</v>
      </c>
      <c r="G958" t="s">
        <v>101</v>
      </c>
      <c r="H958" s="14" t="s">
        <v>102</v>
      </c>
      <c r="I958" s="14" t="s">
        <v>92</v>
      </c>
      <c r="J958" s="14" t="s">
        <v>93</v>
      </c>
      <c r="K958" s="14" t="s">
        <v>87</v>
      </c>
      <c r="L958" s="14" t="s">
        <v>94</v>
      </c>
      <c r="M958" s="14">
        <v>2</v>
      </c>
      <c r="N958" s="14">
        <v>1918.8</v>
      </c>
      <c r="O958" s="14">
        <v>1860</v>
      </c>
      <c r="P958" s="14">
        <v>40</v>
      </c>
      <c r="Q958" s="14" t="s">
        <v>41</v>
      </c>
      <c r="R958" s="14" t="s">
        <v>31</v>
      </c>
      <c r="S958" s="14">
        <v>46023</v>
      </c>
      <c r="T958" s="14">
        <v>2</v>
      </c>
    </row>
    <row r="959" spans="1:20" x14ac:dyDescent="0.3">
      <c r="A959" t="s">
        <v>1558</v>
      </c>
      <c r="B959">
        <v>45633</v>
      </c>
      <c r="C959" t="s">
        <v>325</v>
      </c>
      <c r="D959" t="s">
        <v>326</v>
      </c>
      <c r="E959" t="s">
        <v>23</v>
      </c>
      <c r="F959">
        <v>22</v>
      </c>
      <c r="G959" t="s">
        <v>154</v>
      </c>
      <c r="H959" s="14" t="s">
        <v>91</v>
      </c>
      <c r="I959" s="14" t="s">
        <v>177</v>
      </c>
      <c r="J959" s="14" t="s">
        <v>178</v>
      </c>
      <c r="K959" s="14" t="s">
        <v>87</v>
      </c>
      <c r="L959" s="14" t="s">
        <v>179</v>
      </c>
      <c r="M959" s="14">
        <v>2</v>
      </c>
      <c r="N959" s="14">
        <v>4998</v>
      </c>
      <c r="O959" s="14">
        <v>3240</v>
      </c>
      <c r="P959" s="14">
        <v>0</v>
      </c>
      <c r="Q959" s="14" t="s">
        <v>30</v>
      </c>
      <c r="R959" s="14" t="s">
        <v>57</v>
      </c>
      <c r="S959" s="14">
        <v>45642</v>
      </c>
      <c r="T959" s="14">
        <v>5</v>
      </c>
    </row>
    <row r="960" spans="1:20" x14ac:dyDescent="0.3">
      <c r="A960" t="s">
        <v>1559</v>
      </c>
      <c r="B960">
        <v>45598</v>
      </c>
      <c r="C960" t="s">
        <v>796</v>
      </c>
      <c r="D960" t="s">
        <v>797</v>
      </c>
      <c r="E960" t="s">
        <v>77</v>
      </c>
      <c r="F960">
        <v>31</v>
      </c>
      <c r="G960" t="s">
        <v>161</v>
      </c>
      <c r="H960" s="14" t="s">
        <v>25</v>
      </c>
      <c r="I960" s="14" t="s">
        <v>222</v>
      </c>
      <c r="J960" s="14" t="s">
        <v>223</v>
      </c>
      <c r="K960" s="14" t="s">
        <v>114</v>
      </c>
      <c r="L960" s="14" t="s">
        <v>115</v>
      </c>
      <c r="M960" s="14">
        <v>4</v>
      </c>
      <c r="N960" s="14">
        <v>2697</v>
      </c>
      <c r="O960" s="14">
        <v>2040</v>
      </c>
      <c r="P960" s="14">
        <v>25</v>
      </c>
      <c r="Q960" s="14" t="s">
        <v>103</v>
      </c>
      <c r="R960" s="14" t="s">
        <v>31</v>
      </c>
      <c r="S960" s="14">
        <v>45607</v>
      </c>
      <c r="T960" s="14">
        <v>4</v>
      </c>
    </row>
    <row r="961" spans="1:20" x14ac:dyDescent="0.3">
      <c r="A961" t="s">
        <v>1560</v>
      </c>
      <c r="B961">
        <v>45692</v>
      </c>
      <c r="C961" t="s">
        <v>1001</v>
      </c>
      <c r="D961" t="s">
        <v>363</v>
      </c>
      <c r="E961" t="s">
        <v>77</v>
      </c>
      <c r="F961">
        <v>33</v>
      </c>
      <c r="G961" t="s">
        <v>46</v>
      </c>
      <c r="H961" s="14" t="s">
        <v>25</v>
      </c>
      <c r="I961" s="14" t="s">
        <v>112</v>
      </c>
      <c r="J961" s="14" t="s">
        <v>113</v>
      </c>
      <c r="K961" s="14" t="s">
        <v>114</v>
      </c>
      <c r="L961" s="14" t="s">
        <v>115</v>
      </c>
      <c r="M961" s="14">
        <v>3</v>
      </c>
      <c r="N961" s="14">
        <v>1677.6</v>
      </c>
      <c r="O961" s="14">
        <v>1110</v>
      </c>
      <c r="P961" s="14">
        <v>20</v>
      </c>
      <c r="Q961" s="14" t="s">
        <v>30</v>
      </c>
      <c r="R961" s="14" t="s">
        <v>31</v>
      </c>
      <c r="S961" s="14">
        <v>45702</v>
      </c>
      <c r="T961" s="14">
        <v>5</v>
      </c>
    </row>
    <row r="962" spans="1:20" x14ac:dyDescent="0.3">
      <c r="A962" t="s">
        <v>1561</v>
      </c>
      <c r="B962">
        <v>45391</v>
      </c>
      <c r="C962" t="s">
        <v>632</v>
      </c>
      <c r="D962" t="s">
        <v>372</v>
      </c>
      <c r="E962" t="s">
        <v>77</v>
      </c>
      <c r="F962">
        <v>34</v>
      </c>
      <c r="G962" t="s">
        <v>126</v>
      </c>
      <c r="H962" s="14" t="s">
        <v>127</v>
      </c>
      <c r="I962" s="14" t="s">
        <v>198</v>
      </c>
      <c r="J962" s="14" t="s">
        <v>199</v>
      </c>
      <c r="K962" s="14" t="s">
        <v>114</v>
      </c>
      <c r="L962" s="14" t="s">
        <v>200</v>
      </c>
      <c r="M962" s="14">
        <v>1</v>
      </c>
      <c r="N962" s="14">
        <v>1039.2</v>
      </c>
      <c r="O962" s="14">
        <v>760</v>
      </c>
      <c r="P962" s="14">
        <v>20</v>
      </c>
      <c r="Q962" s="14" t="s">
        <v>103</v>
      </c>
      <c r="R962" s="14" t="s">
        <v>31</v>
      </c>
      <c r="S962" s="14">
        <v>45395</v>
      </c>
      <c r="T962" s="14">
        <v>3</v>
      </c>
    </row>
    <row r="963" spans="1:20" x14ac:dyDescent="0.3">
      <c r="A963" t="s">
        <v>1562</v>
      </c>
      <c r="B963">
        <v>45744</v>
      </c>
      <c r="C963" t="s">
        <v>739</v>
      </c>
      <c r="D963" t="s">
        <v>740</v>
      </c>
      <c r="E963" t="s">
        <v>23</v>
      </c>
      <c r="F963">
        <v>33</v>
      </c>
      <c r="G963" t="s">
        <v>35</v>
      </c>
      <c r="H963" s="14" t="s">
        <v>36</v>
      </c>
      <c r="I963" s="14" t="s">
        <v>252</v>
      </c>
      <c r="J963" s="14" t="s">
        <v>253</v>
      </c>
      <c r="K963" s="14" t="s">
        <v>28</v>
      </c>
      <c r="L963" s="14" t="s">
        <v>254</v>
      </c>
      <c r="M963" s="14">
        <v>2</v>
      </c>
      <c r="N963" s="14">
        <v>5098.3</v>
      </c>
      <c r="O963" s="14">
        <v>3800</v>
      </c>
      <c r="P963" s="14">
        <v>15</v>
      </c>
      <c r="Q963" s="14" t="s">
        <v>30</v>
      </c>
      <c r="R963" s="14" t="s">
        <v>31</v>
      </c>
      <c r="S963" s="14">
        <v>45756</v>
      </c>
      <c r="T963" s="14">
        <v>2</v>
      </c>
    </row>
    <row r="964" spans="1:20" x14ac:dyDescent="0.3">
      <c r="A964" t="s">
        <v>1563</v>
      </c>
      <c r="B964">
        <v>45662</v>
      </c>
      <c r="C964" t="s">
        <v>930</v>
      </c>
      <c r="D964" t="s">
        <v>556</v>
      </c>
      <c r="E964" t="s">
        <v>23</v>
      </c>
      <c r="F964">
        <v>48</v>
      </c>
      <c r="G964" t="s">
        <v>69</v>
      </c>
      <c r="H964" s="14" t="s">
        <v>69</v>
      </c>
      <c r="I964" s="14" t="s">
        <v>107</v>
      </c>
      <c r="J964" s="14" t="s">
        <v>108</v>
      </c>
      <c r="K964" s="14" t="s">
        <v>87</v>
      </c>
      <c r="L964" s="14" t="s">
        <v>88</v>
      </c>
      <c r="M964" s="14">
        <v>2</v>
      </c>
      <c r="N964" s="14">
        <v>1118.5999999999999</v>
      </c>
      <c r="O964" s="14">
        <v>840</v>
      </c>
      <c r="P964" s="14">
        <v>30</v>
      </c>
      <c r="Q964" s="14" t="s">
        <v>103</v>
      </c>
      <c r="R964" s="14" t="s">
        <v>31</v>
      </c>
      <c r="S964" s="14">
        <v>45666</v>
      </c>
      <c r="T964" s="14">
        <v>2</v>
      </c>
    </row>
    <row r="965" spans="1:20" x14ac:dyDescent="0.3">
      <c r="A965" t="s">
        <v>1564</v>
      </c>
      <c r="B965">
        <v>45390</v>
      </c>
      <c r="C965" t="s">
        <v>893</v>
      </c>
      <c r="D965" t="s">
        <v>894</v>
      </c>
      <c r="E965" t="s">
        <v>77</v>
      </c>
      <c r="F965">
        <v>42</v>
      </c>
      <c r="G965" t="s">
        <v>101</v>
      </c>
      <c r="H965" s="14" t="s">
        <v>102</v>
      </c>
      <c r="I965" s="14" t="s">
        <v>319</v>
      </c>
      <c r="J965" s="14" t="s">
        <v>320</v>
      </c>
      <c r="K965" s="14" t="s">
        <v>28</v>
      </c>
      <c r="L965" s="14" t="s">
        <v>29</v>
      </c>
      <c r="M965" s="14">
        <v>1</v>
      </c>
      <c r="N965" s="14">
        <v>1139.05</v>
      </c>
      <c r="O965" s="14">
        <v>710</v>
      </c>
      <c r="P965" s="14">
        <v>5</v>
      </c>
      <c r="Q965" s="14" t="s">
        <v>50</v>
      </c>
      <c r="R965" s="14" t="s">
        <v>31</v>
      </c>
      <c r="S965" s="14">
        <v>45397</v>
      </c>
      <c r="T965" s="14">
        <v>5</v>
      </c>
    </row>
    <row r="966" spans="1:20" x14ac:dyDescent="0.3">
      <c r="A966" t="s">
        <v>1565</v>
      </c>
      <c r="B966">
        <v>45444</v>
      </c>
      <c r="C966" t="s">
        <v>1566</v>
      </c>
      <c r="D966" t="s">
        <v>1018</v>
      </c>
      <c r="E966" t="s">
        <v>23</v>
      </c>
      <c r="F966">
        <v>51</v>
      </c>
      <c r="G966" t="s">
        <v>90</v>
      </c>
      <c r="H966" s="14" t="s">
        <v>91</v>
      </c>
      <c r="I966" s="14" t="s">
        <v>26</v>
      </c>
      <c r="J966" s="14" t="s">
        <v>27</v>
      </c>
      <c r="K966" s="14" t="s">
        <v>28</v>
      </c>
      <c r="L966" s="14" t="s">
        <v>29</v>
      </c>
      <c r="M966" s="14">
        <v>1</v>
      </c>
      <c r="N966" s="14">
        <v>1104.1500000000001</v>
      </c>
      <c r="O966" s="14">
        <v>790</v>
      </c>
      <c r="P966" s="14">
        <v>15</v>
      </c>
      <c r="Q966" s="14" t="s">
        <v>103</v>
      </c>
      <c r="R966" s="14" t="s">
        <v>42</v>
      </c>
      <c r="S966" s="14">
        <v>45450</v>
      </c>
      <c r="T966" s="14">
        <v>3</v>
      </c>
    </row>
    <row r="967" spans="1:20" x14ac:dyDescent="0.3">
      <c r="A967" t="s">
        <v>1567</v>
      </c>
      <c r="B967">
        <v>45960</v>
      </c>
      <c r="C967" t="s">
        <v>1454</v>
      </c>
      <c r="D967" t="s">
        <v>1455</v>
      </c>
      <c r="E967" t="s">
        <v>77</v>
      </c>
      <c r="F967">
        <v>58</v>
      </c>
      <c r="G967" t="s">
        <v>46</v>
      </c>
      <c r="H967" s="14" t="s">
        <v>25</v>
      </c>
      <c r="I967" s="14" t="s">
        <v>63</v>
      </c>
      <c r="J967" s="14" t="s">
        <v>64</v>
      </c>
      <c r="K967" s="14" t="s">
        <v>39</v>
      </c>
      <c r="L967" s="14" t="s">
        <v>40</v>
      </c>
      <c r="M967" s="14">
        <v>4</v>
      </c>
      <c r="N967" s="14">
        <v>1916.8</v>
      </c>
      <c r="O967" s="14">
        <v>1320</v>
      </c>
      <c r="P967" s="14">
        <v>20</v>
      </c>
      <c r="Q967" s="14" t="s">
        <v>103</v>
      </c>
      <c r="R967" s="14" t="s">
        <v>42</v>
      </c>
      <c r="S967" s="14">
        <v>45962</v>
      </c>
      <c r="T967" s="14">
        <v>3</v>
      </c>
    </row>
    <row r="968" spans="1:20" x14ac:dyDescent="0.3">
      <c r="A968" t="s">
        <v>1568</v>
      </c>
      <c r="B968">
        <v>45411</v>
      </c>
      <c r="C968" t="s">
        <v>1471</v>
      </c>
      <c r="D968" t="s">
        <v>164</v>
      </c>
      <c r="E968" t="s">
        <v>77</v>
      </c>
      <c r="F968">
        <v>43</v>
      </c>
      <c r="G968" t="s">
        <v>69</v>
      </c>
      <c r="H968" s="14" t="s">
        <v>69</v>
      </c>
      <c r="I968" s="14" t="s">
        <v>37</v>
      </c>
      <c r="J968" s="14" t="s">
        <v>38</v>
      </c>
      <c r="K968" s="14" t="s">
        <v>39</v>
      </c>
      <c r="L968" s="14" t="s">
        <v>40</v>
      </c>
      <c r="M968" s="14">
        <v>5</v>
      </c>
      <c r="N968" s="14">
        <v>3820.75</v>
      </c>
      <c r="O968" s="14">
        <v>2600</v>
      </c>
      <c r="P968" s="14">
        <v>15</v>
      </c>
      <c r="Q968" s="14" t="s">
        <v>73</v>
      </c>
      <c r="R968" s="14" t="s">
        <v>65</v>
      </c>
    </row>
    <row r="969" spans="1:20" x14ac:dyDescent="0.3">
      <c r="A969" t="s">
        <v>1569</v>
      </c>
      <c r="B969">
        <v>45878</v>
      </c>
      <c r="C969" t="s">
        <v>33</v>
      </c>
      <c r="D969" t="s">
        <v>34</v>
      </c>
      <c r="E969" t="s">
        <v>23</v>
      </c>
      <c r="F969">
        <v>30</v>
      </c>
      <c r="G969" t="s">
        <v>101</v>
      </c>
      <c r="H969" s="14" t="s">
        <v>102</v>
      </c>
      <c r="I969" s="14" t="s">
        <v>128</v>
      </c>
      <c r="J969" s="14" t="s">
        <v>129</v>
      </c>
      <c r="K969" s="14" t="s">
        <v>130</v>
      </c>
      <c r="L969" s="14" t="s">
        <v>131</v>
      </c>
      <c r="M969" s="14">
        <v>1</v>
      </c>
      <c r="N969" s="14">
        <v>5849.1</v>
      </c>
      <c r="O969" s="14">
        <v>5100</v>
      </c>
      <c r="P969" s="14">
        <v>10</v>
      </c>
      <c r="Q969" s="14" t="s">
        <v>103</v>
      </c>
      <c r="R969" s="14" t="s">
        <v>42</v>
      </c>
      <c r="S969" s="14">
        <v>45890</v>
      </c>
      <c r="T969" s="14">
        <v>5</v>
      </c>
    </row>
    <row r="970" spans="1:20" x14ac:dyDescent="0.3">
      <c r="A970" t="s">
        <v>1570</v>
      </c>
      <c r="B970">
        <v>45597</v>
      </c>
      <c r="C970" t="s">
        <v>1571</v>
      </c>
      <c r="D970" t="s">
        <v>1572</v>
      </c>
      <c r="E970" t="s">
        <v>77</v>
      </c>
      <c r="F970">
        <v>52</v>
      </c>
      <c r="G970" t="s">
        <v>173</v>
      </c>
      <c r="H970" s="14" t="s">
        <v>79</v>
      </c>
      <c r="I970" s="14" t="s">
        <v>229</v>
      </c>
      <c r="J970" s="14" t="s">
        <v>230</v>
      </c>
      <c r="K970" s="14" t="s">
        <v>28</v>
      </c>
      <c r="L970" s="14" t="s">
        <v>231</v>
      </c>
      <c r="M970" s="14">
        <v>3</v>
      </c>
      <c r="N970" s="14">
        <v>5697.15</v>
      </c>
      <c r="O970" s="14">
        <v>3690</v>
      </c>
      <c r="P970" s="14">
        <v>5</v>
      </c>
      <c r="Q970" s="14" t="s">
        <v>50</v>
      </c>
      <c r="R970" s="14" t="s">
        <v>42</v>
      </c>
      <c r="S970" s="14">
        <v>45605</v>
      </c>
      <c r="T970" s="14">
        <v>2</v>
      </c>
    </row>
    <row r="971" spans="1:20" x14ac:dyDescent="0.3">
      <c r="A971" t="s">
        <v>1573</v>
      </c>
      <c r="B971">
        <v>45695</v>
      </c>
      <c r="C971" t="s">
        <v>1417</v>
      </c>
      <c r="D971" t="s">
        <v>1418</v>
      </c>
      <c r="E971" t="s">
        <v>77</v>
      </c>
      <c r="F971">
        <v>43</v>
      </c>
      <c r="G971" t="s">
        <v>101</v>
      </c>
      <c r="H971" s="14" t="s">
        <v>102</v>
      </c>
      <c r="I971" s="14" t="s">
        <v>54</v>
      </c>
      <c r="J971" s="14" t="s">
        <v>55</v>
      </c>
      <c r="K971" s="14" t="s">
        <v>28</v>
      </c>
      <c r="L971" s="14" t="s">
        <v>56</v>
      </c>
      <c r="M971" s="14">
        <v>5</v>
      </c>
      <c r="N971" s="14">
        <v>3320.25</v>
      </c>
      <c r="O971" s="14">
        <v>2050</v>
      </c>
      <c r="P971" s="14">
        <v>5</v>
      </c>
      <c r="Q971" s="14" t="s">
        <v>30</v>
      </c>
      <c r="R971" s="14" t="s">
        <v>31</v>
      </c>
      <c r="S971" s="14">
        <v>45698</v>
      </c>
      <c r="T971" s="14">
        <v>3</v>
      </c>
    </row>
    <row r="972" spans="1:20" x14ac:dyDescent="0.3">
      <c r="A972" t="s">
        <v>1574</v>
      </c>
      <c r="B972">
        <v>45905</v>
      </c>
      <c r="C972" t="s">
        <v>967</v>
      </c>
      <c r="D972" t="s">
        <v>968</v>
      </c>
      <c r="E972" t="s">
        <v>23</v>
      </c>
      <c r="F972">
        <v>29</v>
      </c>
      <c r="G972" t="s">
        <v>161</v>
      </c>
      <c r="H972" s="14" t="s">
        <v>25</v>
      </c>
      <c r="I972" s="14" t="s">
        <v>222</v>
      </c>
      <c r="J972" s="14" t="s">
        <v>223</v>
      </c>
      <c r="K972" s="14" t="s">
        <v>114</v>
      </c>
      <c r="L972" s="14" t="s">
        <v>115</v>
      </c>
      <c r="M972" s="14">
        <v>4</v>
      </c>
      <c r="N972" s="14">
        <v>2697</v>
      </c>
      <c r="O972" s="14">
        <v>2040</v>
      </c>
      <c r="P972" s="14">
        <v>25</v>
      </c>
      <c r="Q972" s="14" t="s">
        <v>73</v>
      </c>
      <c r="R972" s="14" t="s">
        <v>42</v>
      </c>
      <c r="S972" s="14">
        <v>45909</v>
      </c>
      <c r="T972" s="14">
        <v>4</v>
      </c>
    </row>
    <row r="973" spans="1:20" x14ac:dyDescent="0.3">
      <c r="A973" t="s">
        <v>1575</v>
      </c>
      <c r="B973">
        <v>45960</v>
      </c>
      <c r="C973" t="s">
        <v>371</v>
      </c>
      <c r="D973" t="s">
        <v>372</v>
      </c>
      <c r="E973" t="s">
        <v>77</v>
      </c>
      <c r="F973">
        <v>54</v>
      </c>
      <c r="G973" t="s">
        <v>46</v>
      </c>
      <c r="H973" s="14" t="s">
        <v>25</v>
      </c>
      <c r="I973" s="14" t="s">
        <v>222</v>
      </c>
      <c r="J973" s="14" t="s">
        <v>223</v>
      </c>
      <c r="K973" s="14" t="s">
        <v>114</v>
      </c>
      <c r="L973" s="14" t="s">
        <v>115</v>
      </c>
      <c r="M973" s="14">
        <v>3</v>
      </c>
      <c r="N973" s="14">
        <v>2697</v>
      </c>
      <c r="O973" s="14">
        <v>1530</v>
      </c>
      <c r="P973" s="14">
        <v>0</v>
      </c>
      <c r="Q973" s="14" t="s">
        <v>73</v>
      </c>
      <c r="R973" s="14" t="s">
        <v>42</v>
      </c>
      <c r="S973" s="14">
        <v>45970</v>
      </c>
      <c r="T973" s="14">
        <v>4</v>
      </c>
    </row>
    <row r="974" spans="1:20" x14ac:dyDescent="0.3">
      <c r="A974" t="s">
        <v>1576</v>
      </c>
      <c r="B974">
        <v>45664</v>
      </c>
      <c r="C974" t="s">
        <v>401</v>
      </c>
      <c r="D974" t="s">
        <v>402</v>
      </c>
      <c r="E974" t="s">
        <v>23</v>
      </c>
      <c r="F974">
        <v>53</v>
      </c>
      <c r="G974" t="s">
        <v>78</v>
      </c>
      <c r="H974" s="14" t="s">
        <v>79</v>
      </c>
      <c r="I974" s="14" t="s">
        <v>134</v>
      </c>
      <c r="J974" s="14" t="s">
        <v>135</v>
      </c>
      <c r="K974" s="14" t="s">
        <v>39</v>
      </c>
      <c r="L974" s="14" t="s">
        <v>136</v>
      </c>
      <c r="M974" s="14">
        <v>1</v>
      </c>
      <c r="N974" s="14">
        <v>169.15</v>
      </c>
      <c r="O974" s="14">
        <v>90</v>
      </c>
      <c r="P974" s="14">
        <v>15</v>
      </c>
      <c r="Q974" s="14" t="s">
        <v>41</v>
      </c>
      <c r="R974" s="14" t="s">
        <v>42</v>
      </c>
      <c r="S974" s="14">
        <v>45674</v>
      </c>
      <c r="T974" s="14">
        <v>4</v>
      </c>
    </row>
    <row r="975" spans="1:20" x14ac:dyDescent="0.3">
      <c r="A975" t="s">
        <v>1577</v>
      </c>
      <c r="B975">
        <v>45966</v>
      </c>
      <c r="C975" t="s">
        <v>640</v>
      </c>
      <c r="D975" t="s">
        <v>349</v>
      </c>
      <c r="E975" t="s">
        <v>23</v>
      </c>
      <c r="F975">
        <v>42</v>
      </c>
      <c r="G975" t="s">
        <v>61</v>
      </c>
      <c r="H975" s="14" t="s">
        <v>62</v>
      </c>
      <c r="I975" s="14" t="s">
        <v>252</v>
      </c>
      <c r="J975" s="14" t="s">
        <v>253</v>
      </c>
      <c r="K975" s="14" t="s">
        <v>28</v>
      </c>
      <c r="L975" s="14" t="s">
        <v>254</v>
      </c>
      <c r="M975" s="14">
        <v>5</v>
      </c>
      <c r="N975" s="14">
        <v>8997</v>
      </c>
      <c r="O975" s="14">
        <v>9500</v>
      </c>
      <c r="P975" s="14">
        <v>40</v>
      </c>
      <c r="Q975" s="14" t="s">
        <v>41</v>
      </c>
      <c r="R975" s="14" t="s">
        <v>65</v>
      </c>
    </row>
    <row r="976" spans="1:20" x14ac:dyDescent="0.3">
      <c r="A976" t="s">
        <v>1578</v>
      </c>
      <c r="B976">
        <v>45652</v>
      </c>
      <c r="C976" t="s">
        <v>886</v>
      </c>
      <c r="D976" t="s">
        <v>887</v>
      </c>
      <c r="E976" t="s">
        <v>77</v>
      </c>
      <c r="F976">
        <v>49</v>
      </c>
      <c r="G976" t="s">
        <v>154</v>
      </c>
      <c r="H976" s="14" t="s">
        <v>91</v>
      </c>
      <c r="I976" s="14" t="s">
        <v>85</v>
      </c>
      <c r="J976" s="14" t="s">
        <v>86</v>
      </c>
      <c r="K976" s="14" t="s">
        <v>87</v>
      </c>
      <c r="L976" s="14" t="s">
        <v>88</v>
      </c>
      <c r="M976" s="14">
        <v>1</v>
      </c>
      <c r="N976" s="14">
        <v>1399</v>
      </c>
      <c r="O976" s="14">
        <v>790</v>
      </c>
      <c r="P976" s="14">
        <v>0</v>
      </c>
      <c r="Q976" s="14" t="s">
        <v>30</v>
      </c>
      <c r="R976" s="14" t="s">
        <v>42</v>
      </c>
      <c r="S976" s="14">
        <v>45657</v>
      </c>
      <c r="T976" s="14">
        <v>3</v>
      </c>
    </row>
    <row r="977" spans="1:20" x14ac:dyDescent="0.3">
      <c r="A977" t="s">
        <v>1579</v>
      </c>
      <c r="B977">
        <v>45598</v>
      </c>
      <c r="C977" t="s">
        <v>256</v>
      </c>
      <c r="D977" t="s">
        <v>257</v>
      </c>
      <c r="E977" t="s">
        <v>23</v>
      </c>
      <c r="F977">
        <v>23</v>
      </c>
      <c r="G977" t="s">
        <v>173</v>
      </c>
      <c r="H977" s="14" t="s">
        <v>79</v>
      </c>
      <c r="I977" s="14" t="s">
        <v>155</v>
      </c>
      <c r="J977" s="14" t="s">
        <v>156</v>
      </c>
      <c r="K977" s="14" t="s">
        <v>114</v>
      </c>
      <c r="L977" s="14" t="s">
        <v>157</v>
      </c>
      <c r="M977" s="14">
        <v>5</v>
      </c>
      <c r="N977" s="14">
        <v>4245.75</v>
      </c>
      <c r="O977" s="14">
        <v>3050</v>
      </c>
      <c r="P977" s="14">
        <v>15</v>
      </c>
      <c r="Q977" s="14" t="s">
        <v>50</v>
      </c>
      <c r="R977" s="14" t="s">
        <v>42</v>
      </c>
      <c r="S977" s="14">
        <v>45604</v>
      </c>
      <c r="T977" s="14">
        <v>3</v>
      </c>
    </row>
    <row r="978" spans="1:20" x14ac:dyDescent="0.3">
      <c r="A978" t="s">
        <v>1580</v>
      </c>
      <c r="B978">
        <v>45929</v>
      </c>
      <c r="C978" t="s">
        <v>354</v>
      </c>
      <c r="D978" t="s">
        <v>355</v>
      </c>
      <c r="E978" t="s">
        <v>77</v>
      </c>
      <c r="F978">
        <v>38</v>
      </c>
      <c r="G978" t="s">
        <v>46</v>
      </c>
      <c r="H978" s="14" t="s">
        <v>25</v>
      </c>
      <c r="I978" s="14" t="s">
        <v>222</v>
      </c>
      <c r="J978" s="14" t="s">
        <v>223</v>
      </c>
      <c r="K978" s="14" t="s">
        <v>114</v>
      </c>
      <c r="L978" s="14" t="s">
        <v>115</v>
      </c>
      <c r="M978" s="14">
        <v>3</v>
      </c>
      <c r="N978" s="14">
        <v>2157.6</v>
      </c>
      <c r="O978" s="14">
        <v>1530</v>
      </c>
      <c r="P978" s="14">
        <v>20</v>
      </c>
      <c r="Q978" s="14" t="s">
        <v>103</v>
      </c>
      <c r="R978" s="14" t="s">
        <v>31</v>
      </c>
      <c r="S978" s="14">
        <v>45933</v>
      </c>
      <c r="T978" s="14">
        <v>5</v>
      </c>
    </row>
    <row r="979" spans="1:20" x14ac:dyDescent="0.3">
      <c r="A979" t="s">
        <v>1581</v>
      </c>
      <c r="B979">
        <v>45759</v>
      </c>
      <c r="C979" t="s">
        <v>1471</v>
      </c>
      <c r="D979" t="s">
        <v>164</v>
      </c>
      <c r="E979" t="s">
        <v>77</v>
      </c>
      <c r="F979">
        <v>43</v>
      </c>
      <c r="G979" t="s">
        <v>207</v>
      </c>
      <c r="H979" s="14" t="s">
        <v>36</v>
      </c>
      <c r="I979" s="14" t="s">
        <v>107</v>
      </c>
      <c r="J979" s="14" t="s">
        <v>108</v>
      </c>
      <c r="K979" s="14" t="s">
        <v>87</v>
      </c>
      <c r="L979" s="14" t="s">
        <v>88</v>
      </c>
      <c r="M979" s="14">
        <v>4</v>
      </c>
      <c r="N979" s="14">
        <v>2876.4</v>
      </c>
      <c r="O979" s="14">
        <v>1680</v>
      </c>
      <c r="P979" s="14">
        <v>10</v>
      </c>
      <c r="Q979" s="14" t="s">
        <v>50</v>
      </c>
      <c r="R979" s="14" t="s">
        <v>42</v>
      </c>
      <c r="S979" s="14">
        <v>45762</v>
      </c>
      <c r="T979" s="14">
        <v>4</v>
      </c>
    </row>
    <row r="980" spans="1:20" x14ac:dyDescent="0.3">
      <c r="A980" t="s">
        <v>1582</v>
      </c>
      <c r="B980">
        <v>45940</v>
      </c>
      <c r="C980" t="s">
        <v>502</v>
      </c>
      <c r="D980" t="s">
        <v>503</v>
      </c>
      <c r="E980" t="s">
        <v>77</v>
      </c>
      <c r="F980">
        <v>43</v>
      </c>
      <c r="G980" t="s">
        <v>211</v>
      </c>
      <c r="H980" s="14" t="s">
        <v>127</v>
      </c>
      <c r="I980" s="14" t="s">
        <v>198</v>
      </c>
      <c r="J980" s="14" t="s">
        <v>199</v>
      </c>
      <c r="K980" s="14" t="s">
        <v>114</v>
      </c>
      <c r="L980" s="14" t="s">
        <v>200</v>
      </c>
      <c r="M980" s="14">
        <v>5</v>
      </c>
      <c r="N980" s="14">
        <v>5845.5</v>
      </c>
      <c r="O980" s="14">
        <v>3800</v>
      </c>
      <c r="P980" s="14">
        <v>10</v>
      </c>
      <c r="Q980" s="14" t="s">
        <v>103</v>
      </c>
      <c r="R980" s="14" t="s">
        <v>57</v>
      </c>
      <c r="S980" s="14">
        <v>45944</v>
      </c>
      <c r="T980" s="14">
        <v>4</v>
      </c>
    </row>
    <row r="981" spans="1:20" x14ac:dyDescent="0.3">
      <c r="A981" t="s">
        <v>1583</v>
      </c>
      <c r="B981">
        <v>45736</v>
      </c>
      <c r="C981" t="s">
        <v>59</v>
      </c>
      <c r="D981" t="s">
        <v>60</v>
      </c>
      <c r="E981" t="s">
        <v>23</v>
      </c>
      <c r="F981">
        <v>37</v>
      </c>
      <c r="G981" t="s">
        <v>161</v>
      </c>
      <c r="H981" s="14" t="s">
        <v>25</v>
      </c>
      <c r="I981" s="14" t="s">
        <v>155</v>
      </c>
      <c r="J981" s="14" t="s">
        <v>156</v>
      </c>
      <c r="K981" s="14" t="s">
        <v>114</v>
      </c>
      <c r="L981" s="14" t="s">
        <v>157</v>
      </c>
      <c r="M981" s="14">
        <v>2</v>
      </c>
      <c r="N981" s="14">
        <v>1898.1</v>
      </c>
      <c r="O981" s="14">
        <v>1220</v>
      </c>
      <c r="P981" s="14">
        <v>5</v>
      </c>
      <c r="Q981" s="14" t="s">
        <v>41</v>
      </c>
      <c r="R981" s="14" t="s">
        <v>42</v>
      </c>
      <c r="S981" s="14">
        <v>45746</v>
      </c>
      <c r="T981" s="14">
        <v>3</v>
      </c>
    </row>
    <row r="982" spans="1:20" x14ac:dyDescent="0.3">
      <c r="A982" t="s">
        <v>1584</v>
      </c>
      <c r="B982">
        <v>45992</v>
      </c>
      <c r="C982" t="s">
        <v>382</v>
      </c>
      <c r="D982" t="s">
        <v>188</v>
      </c>
      <c r="E982" t="s">
        <v>23</v>
      </c>
      <c r="F982">
        <v>44</v>
      </c>
      <c r="G982" t="s">
        <v>122</v>
      </c>
      <c r="H982" s="14" t="s">
        <v>123</v>
      </c>
      <c r="I982" s="14" t="s">
        <v>54</v>
      </c>
      <c r="J982" s="14" t="s">
        <v>55</v>
      </c>
      <c r="K982" s="14" t="s">
        <v>28</v>
      </c>
      <c r="L982" s="14" t="s">
        <v>56</v>
      </c>
      <c r="M982" s="14">
        <v>3</v>
      </c>
      <c r="N982" s="14">
        <v>1992.15</v>
      </c>
      <c r="O982" s="14">
        <v>1230</v>
      </c>
      <c r="P982" s="14">
        <v>5</v>
      </c>
      <c r="Q982" s="14" t="s">
        <v>41</v>
      </c>
      <c r="R982" s="14" t="s">
        <v>42</v>
      </c>
      <c r="S982" s="14">
        <v>45998</v>
      </c>
      <c r="T982" s="14">
        <v>3</v>
      </c>
    </row>
    <row r="983" spans="1:20" x14ac:dyDescent="0.3">
      <c r="A983" t="s">
        <v>1585</v>
      </c>
      <c r="B983">
        <v>45523</v>
      </c>
      <c r="C983" t="s">
        <v>21</v>
      </c>
      <c r="D983" t="s">
        <v>22</v>
      </c>
      <c r="E983" t="s">
        <v>23</v>
      </c>
      <c r="F983">
        <v>39</v>
      </c>
      <c r="G983" t="s">
        <v>161</v>
      </c>
      <c r="H983" s="14" t="s">
        <v>25</v>
      </c>
      <c r="I983" s="14" t="s">
        <v>229</v>
      </c>
      <c r="J983" s="14" t="s">
        <v>230</v>
      </c>
      <c r="K983" s="14" t="s">
        <v>28</v>
      </c>
      <c r="L983" s="14" t="s">
        <v>231</v>
      </c>
      <c r="M983" s="14">
        <v>4</v>
      </c>
      <c r="N983" s="14">
        <v>6796.6</v>
      </c>
      <c r="O983" s="14">
        <v>4920</v>
      </c>
      <c r="P983" s="14">
        <v>15</v>
      </c>
      <c r="Q983" s="14" t="s">
        <v>103</v>
      </c>
      <c r="R983" s="14" t="s">
        <v>42</v>
      </c>
      <c r="S983" s="14">
        <v>45526</v>
      </c>
      <c r="T983" s="14">
        <v>3</v>
      </c>
    </row>
    <row r="984" spans="1:20" x14ac:dyDescent="0.3">
      <c r="A984" t="s">
        <v>1586</v>
      </c>
      <c r="B984">
        <v>45831</v>
      </c>
      <c r="C984" t="s">
        <v>1319</v>
      </c>
      <c r="D984" t="s">
        <v>894</v>
      </c>
      <c r="E984" t="s">
        <v>77</v>
      </c>
      <c r="F984">
        <v>33</v>
      </c>
      <c r="G984" t="s">
        <v>101</v>
      </c>
      <c r="H984" s="14" t="s">
        <v>102</v>
      </c>
      <c r="I984" s="14" t="s">
        <v>229</v>
      </c>
      <c r="J984" s="14" t="s">
        <v>230</v>
      </c>
      <c r="K984" s="14" t="s">
        <v>28</v>
      </c>
      <c r="L984" s="14" t="s">
        <v>231</v>
      </c>
      <c r="M984" s="14">
        <v>5</v>
      </c>
      <c r="N984" s="14">
        <v>7496.25</v>
      </c>
      <c r="O984" s="14">
        <v>6150</v>
      </c>
      <c r="P984" s="14">
        <v>25</v>
      </c>
      <c r="Q984" s="14" t="s">
        <v>50</v>
      </c>
      <c r="R984" s="14" t="s">
        <v>57</v>
      </c>
      <c r="S984" s="14">
        <v>45837</v>
      </c>
      <c r="T984" s="14">
        <v>4</v>
      </c>
    </row>
    <row r="985" spans="1:20" x14ac:dyDescent="0.3">
      <c r="A985" t="s">
        <v>1587</v>
      </c>
      <c r="B985">
        <v>45914</v>
      </c>
      <c r="C985" t="s">
        <v>240</v>
      </c>
      <c r="D985" t="s">
        <v>241</v>
      </c>
      <c r="E985" t="s">
        <v>23</v>
      </c>
      <c r="F985">
        <v>25</v>
      </c>
      <c r="G985" t="s">
        <v>24</v>
      </c>
      <c r="H985" s="14" t="s">
        <v>25</v>
      </c>
      <c r="I985" s="14" t="s">
        <v>319</v>
      </c>
      <c r="J985" s="14" t="s">
        <v>320</v>
      </c>
      <c r="K985" s="14" t="s">
        <v>28</v>
      </c>
      <c r="L985" s="14" t="s">
        <v>29</v>
      </c>
      <c r="M985" s="14">
        <v>3</v>
      </c>
      <c r="N985" s="14">
        <v>2517.9</v>
      </c>
      <c r="O985" s="14">
        <v>2130</v>
      </c>
      <c r="P985" s="14">
        <v>30</v>
      </c>
      <c r="Q985" s="14" t="s">
        <v>30</v>
      </c>
      <c r="R985" s="14" t="s">
        <v>42</v>
      </c>
      <c r="S985" s="14">
        <v>45926</v>
      </c>
      <c r="T985" s="14">
        <v>5</v>
      </c>
    </row>
    <row r="986" spans="1:20" x14ac:dyDescent="0.3">
      <c r="A986" t="s">
        <v>1588</v>
      </c>
      <c r="B986">
        <v>45780</v>
      </c>
      <c r="C986" t="s">
        <v>1445</v>
      </c>
      <c r="D986" t="s">
        <v>172</v>
      </c>
      <c r="E986" t="s">
        <v>23</v>
      </c>
      <c r="F986">
        <v>26</v>
      </c>
      <c r="G986" t="s">
        <v>207</v>
      </c>
      <c r="H986" s="14" t="s">
        <v>36</v>
      </c>
      <c r="I986" s="14" t="s">
        <v>80</v>
      </c>
      <c r="J986" s="14" t="s">
        <v>81</v>
      </c>
      <c r="K986" s="14" t="s">
        <v>28</v>
      </c>
      <c r="L986" s="14" t="s">
        <v>29</v>
      </c>
      <c r="M986" s="14">
        <v>5</v>
      </c>
      <c r="N986" s="14">
        <v>3595.5</v>
      </c>
      <c r="O986" s="14">
        <v>2350</v>
      </c>
      <c r="P986" s="14">
        <v>10</v>
      </c>
      <c r="Q986" s="14" t="s">
        <v>30</v>
      </c>
      <c r="R986" s="14" t="s">
        <v>42</v>
      </c>
      <c r="S986" s="14">
        <v>45788</v>
      </c>
      <c r="T986" s="14">
        <v>4</v>
      </c>
    </row>
    <row r="987" spans="1:20" x14ac:dyDescent="0.3">
      <c r="A987" t="s">
        <v>1589</v>
      </c>
      <c r="B987">
        <v>45346</v>
      </c>
      <c r="C987" t="s">
        <v>294</v>
      </c>
      <c r="D987" t="s">
        <v>295</v>
      </c>
      <c r="E987" t="s">
        <v>77</v>
      </c>
      <c r="F987">
        <v>31</v>
      </c>
      <c r="G987" t="s">
        <v>90</v>
      </c>
      <c r="H987" s="14" t="s">
        <v>91</v>
      </c>
      <c r="I987" s="14" t="s">
        <v>107</v>
      </c>
      <c r="J987" s="14" t="s">
        <v>108</v>
      </c>
      <c r="K987" s="14" t="s">
        <v>87</v>
      </c>
      <c r="L987" s="14" t="s">
        <v>88</v>
      </c>
      <c r="M987" s="14">
        <v>5</v>
      </c>
      <c r="N987" s="14">
        <v>2796.5</v>
      </c>
      <c r="O987" s="14">
        <v>2100</v>
      </c>
      <c r="P987" s="14">
        <v>30</v>
      </c>
      <c r="Q987" s="14" t="s">
        <v>103</v>
      </c>
      <c r="R987" s="14" t="s">
        <v>42</v>
      </c>
      <c r="S987" s="14">
        <v>45355</v>
      </c>
      <c r="T987" s="14">
        <v>4</v>
      </c>
    </row>
    <row r="988" spans="1:20" x14ac:dyDescent="0.3">
      <c r="A988" t="s">
        <v>1590</v>
      </c>
      <c r="B988">
        <v>45771</v>
      </c>
      <c r="C988" t="s">
        <v>681</v>
      </c>
      <c r="D988" t="s">
        <v>203</v>
      </c>
      <c r="E988" t="s">
        <v>23</v>
      </c>
      <c r="F988">
        <v>58</v>
      </c>
      <c r="G988" t="s">
        <v>35</v>
      </c>
      <c r="H988" s="14" t="s">
        <v>36</v>
      </c>
      <c r="I988" s="14" t="s">
        <v>128</v>
      </c>
      <c r="J988" s="14" t="s">
        <v>129</v>
      </c>
      <c r="K988" s="14" t="s">
        <v>130</v>
      </c>
      <c r="L988" s="14" t="s">
        <v>131</v>
      </c>
      <c r="M988" s="14">
        <v>4</v>
      </c>
      <c r="N988" s="14">
        <v>22096.6</v>
      </c>
      <c r="O988" s="14">
        <v>20400</v>
      </c>
      <c r="P988" s="14">
        <v>15</v>
      </c>
      <c r="Q988" s="14" t="s">
        <v>41</v>
      </c>
      <c r="R988" s="14" t="s">
        <v>31</v>
      </c>
      <c r="S988" s="14">
        <v>45774</v>
      </c>
      <c r="T988" s="14">
        <v>4</v>
      </c>
    </row>
    <row r="989" spans="1:20" x14ac:dyDescent="0.3">
      <c r="A989" t="s">
        <v>1591</v>
      </c>
      <c r="B989">
        <v>45708</v>
      </c>
      <c r="C989" t="s">
        <v>278</v>
      </c>
      <c r="D989" t="s">
        <v>139</v>
      </c>
      <c r="E989" t="s">
        <v>77</v>
      </c>
      <c r="F989">
        <v>32</v>
      </c>
      <c r="G989" t="s">
        <v>46</v>
      </c>
      <c r="H989" s="14" t="s">
        <v>25</v>
      </c>
      <c r="I989" s="14" t="s">
        <v>92</v>
      </c>
      <c r="J989" s="14" t="s">
        <v>93</v>
      </c>
      <c r="K989" s="14" t="s">
        <v>87</v>
      </c>
      <c r="L989" s="14" t="s">
        <v>94</v>
      </c>
      <c r="M989" s="14">
        <v>1</v>
      </c>
      <c r="N989" s="14">
        <v>1519.05</v>
      </c>
      <c r="O989" s="14">
        <v>930</v>
      </c>
      <c r="P989" s="14">
        <v>5</v>
      </c>
      <c r="Q989" s="14" t="s">
        <v>30</v>
      </c>
      <c r="R989" s="14" t="s">
        <v>42</v>
      </c>
      <c r="S989" s="14">
        <v>45712</v>
      </c>
      <c r="T989" s="14">
        <v>2</v>
      </c>
    </row>
    <row r="990" spans="1:20" x14ac:dyDescent="0.3">
      <c r="A990" t="s">
        <v>1592</v>
      </c>
      <c r="B990">
        <v>45378</v>
      </c>
      <c r="C990" t="s">
        <v>422</v>
      </c>
      <c r="D990" t="s">
        <v>367</v>
      </c>
      <c r="E990" t="s">
        <v>77</v>
      </c>
      <c r="F990">
        <v>41</v>
      </c>
      <c r="G990" t="s">
        <v>101</v>
      </c>
      <c r="H990" s="14" t="s">
        <v>102</v>
      </c>
      <c r="I990" s="14" t="s">
        <v>80</v>
      </c>
      <c r="J990" s="14" t="s">
        <v>81</v>
      </c>
      <c r="K990" s="14" t="s">
        <v>28</v>
      </c>
      <c r="L990" s="14" t="s">
        <v>29</v>
      </c>
      <c r="M990" s="14">
        <v>4</v>
      </c>
      <c r="N990" s="14">
        <v>2876.4</v>
      </c>
      <c r="O990" s="14">
        <v>1880</v>
      </c>
      <c r="P990" s="14">
        <v>10</v>
      </c>
      <c r="Q990" s="14" t="s">
        <v>103</v>
      </c>
      <c r="R990" s="14" t="s">
        <v>42</v>
      </c>
      <c r="S990" s="14">
        <v>45388</v>
      </c>
      <c r="T990" s="14">
        <v>3</v>
      </c>
    </row>
    <row r="991" spans="1:20" x14ac:dyDescent="0.3">
      <c r="A991" t="s">
        <v>1593</v>
      </c>
      <c r="B991">
        <v>45707</v>
      </c>
      <c r="C991" t="s">
        <v>1009</v>
      </c>
      <c r="D991" t="s">
        <v>1010</v>
      </c>
      <c r="E991" t="s">
        <v>23</v>
      </c>
      <c r="F991">
        <v>53</v>
      </c>
      <c r="G991" t="s">
        <v>154</v>
      </c>
      <c r="H991" s="14" t="s">
        <v>91</v>
      </c>
      <c r="I991" s="14" t="s">
        <v>177</v>
      </c>
      <c r="J991" s="14" t="s">
        <v>178</v>
      </c>
      <c r="K991" s="14" t="s">
        <v>87</v>
      </c>
      <c r="L991" s="14" t="s">
        <v>179</v>
      </c>
      <c r="M991" s="14">
        <v>1</v>
      </c>
      <c r="N991" s="14">
        <v>1749.3</v>
      </c>
      <c r="O991" s="14">
        <v>1620</v>
      </c>
      <c r="P991" s="14">
        <v>30</v>
      </c>
      <c r="Q991" s="14" t="s">
        <v>50</v>
      </c>
      <c r="R991" s="14" t="s">
        <v>31</v>
      </c>
      <c r="S991" s="14">
        <v>45714</v>
      </c>
      <c r="T991" s="14">
        <v>4</v>
      </c>
    </row>
    <row r="992" spans="1:20" x14ac:dyDescent="0.3">
      <c r="A992" t="s">
        <v>1594</v>
      </c>
      <c r="B992">
        <v>45969</v>
      </c>
      <c r="C992" t="s">
        <v>532</v>
      </c>
      <c r="D992" t="s">
        <v>355</v>
      </c>
      <c r="E992" t="s">
        <v>77</v>
      </c>
      <c r="F992">
        <v>33</v>
      </c>
      <c r="G992" t="s">
        <v>24</v>
      </c>
      <c r="H992" s="14" t="s">
        <v>25</v>
      </c>
      <c r="I992" s="14" t="s">
        <v>155</v>
      </c>
      <c r="J992" s="14" t="s">
        <v>156</v>
      </c>
      <c r="K992" s="14" t="s">
        <v>114</v>
      </c>
      <c r="L992" s="14" t="s">
        <v>157</v>
      </c>
      <c r="M992" s="14">
        <v>4</v>
      </c>
      <c r="N992" s="14">
        <v>3596.4</v>
      </c>
      <c r="O992" s="14">
        <v>2440</v>
      </c>
      <c r="P992" s="14">
        <v>10</v>
      </c>
      <c r="Q992" s="14" t="s">
        <v>50</v>
      </c>
      <c r="R992" s="14" t="s">
        <v>42</v>
      </c>
      <c r="S992" s="14">
        <v>45973</v>
      </c>
      <c r="T992" s="14">
        <v>3</v>
      </c>
    </row>
    <row r="993" spans="1:20" x14ac:dyDescent="0.3">
      <c r="A993" t="s">
        <v>1595</v>
      </c>
      <c r="B993">
        <v>45667</v>
      </c>
      <c r="C993" t="s">
        <v>689</v>
      </c>
      <c r="D993" t="s">
        <v>690</v>
      </c>
      <c r="E993" t="s">
        <v>77</v>
      </c>
      <c r="F993">
        <v>45</v>
      </c>
      <c r="G993" t="s">
        <v>211</v>
      </c>
      <c r="H993" s="14" t="s">
        <v>127</v>
      </c>
      <c r="I993" s="14" t="s">
        <v>26</v>
      </c>
      <c r="J993" s="14" t="s">
        <v>27</v>
      </c>
      <c r="K993" s="14" t="s">
        <v>28</v>
      </c>
      <c r="L993" s="14" t="s">
        <v>29</v>
      </c>
      <c r="M993" s="14">
        <v>4</v>
      </c>
      <c r="N993" s="14">
        <v>3117.6</v>
      </c>
      <c r="O993" s="14">
        <v>3160</v>
      </c>
      <c r="P993" s="14">
        <v>40</v>
      </c>
      <c r="Q993" s="14" t="s">
        <v>103</v>
      </c>
      <c r="R993" s="14" t="s">
        <v>42</v>
      </c>
      <c r="S993" s="14">
        <v>45674</v>
      </c>
      <c r="T993" s="14">
        <v>3</v>
      </c>
    </row>
    <row r="994" spans="1:20" x14ac:dyDescent="0.3">
      <c r="A994" t="s">
        <v>1596</v>
      </c>
      <c r="B994">
        <v>45638</v>
      </c>
      <c r="C994" t="s">
        <v>1492</v>
      </c>
      <c r="D994" t="s">
        <v>1493</v>
      </c>
      <c r="E994" t="s">
        <v>77</v>
      </c>
      <c r="F994">
        <v>46</v>
      </c>
      <c r="G994" t="s">
        <v>69</v>
      </c>
      <c r="H994" s="14" t="s">
        <v>69</v>
      </c>
      <c r="I994" s="14" t="s">
        <v>143</v>
      </c>
      <c r="J994" s="14" t="s">
        <v>144</v>
      </c>
      <c r="K994" s="14" t="s">
        <v>130</v>
      </c>
      <c r="L994" s="14" t="s">
        <v>131</v>
      </c>
      <c r="M994" s="14">
        <v>3</v>
      </c>
      <c r="N994" s="14">
        <v>9898.2000000000007</v>
      </c>
      <c r="O994" s="14">
        <v>12900</v>
      </c>
      <c r="P994" s="14">
        <v>40</v>
      </c>
      <c r="Q994" s="14" t="s">
        <v>41</v>
      </c>
      <c r="R994" s="14" t="s">
        <v>42</v>
      </c>
      <c r="S994" s="14">
        <v>45643</v>
      </c>
      <c r="T994" s="14">
        <v>2</v>
      </c>
    </row>
    <row r="995" spans="1:20" x14ac:dyDescent="0.3">
      <c r="A995" t="s">
        <v>1597</v>
      </c>
      <c r="B995">
        <v>45938</v>
      </c>
      <c r="C995" t="s">
        <v>96</v>
      </c>
      <c r="D995" t="s">
        <v>97</v>
      </c>
      <c r="E995" t="s">
        <v>23</v>
      </c>
      <c r="F995">
        <v>30</v>
      </c>
      <c r="G995" t="s">
        <v>165</v>
      </c>
      <c r="H995" s="14" t="s">
        <v>166</v>
      </c>
      <c r="I995" s="14" t="s">
        <v>70</v>
      </c>
      <c r="J995" s="14" t="s">
        <v>71</v>
      </c>
      <c r="K995" s="14" t="s">
        <v>28</v>
      </c>
      <c r="L995" s="14" t="s">
        <v>72</v>
      </c>
      <c r="M995" s="14">
        <v>3</v>
      </c>
      <c r="N995" s="14">
        <v>4497</v>
      </c>
      <c r="O995" s="14">
        <v>2760</v>
      </c>
      <c r="P995" s="14">
        <v>0</v>
      </c>
      <c r="Q995" s="14" t="s">
        <v>103</v>
      </c>
      <c r="R995" s="14" t="s">
        <v>65</v>
      </c>
    </row>
    <row r="996" spans="1:20" x14ac:dyDescent="0.3">
      <c r="A996" t="s">
        <v>1598</v>
      </c>
      <c r="B996">
        <v>45791</v>
      </c>
      <c r="C996" t="s">
        <v>941</v>
      </c>
      <c r="D996" t="s">
        <v>260</v>
      </c>
      <c r="E996" t="s">
        <v>77</v>
      </c>
      <c r="F996">
        <v>33</v>
      </c>
      <c r="G996" t="s">
        <v>211</v>
      </c>
      <c r="H996" s="14" t="s">
        <v>127</v>
      </c>
      <c r="I996" s="14" t="s">
        <v>80</v>
      </c>
      <c r="J996" s="14" t="s">
        <v>81</v>
      </c>
      <c r="K996" s="14" t="s">
        <v>28</v>
      </c>
      <c r="L996" s="14" t="s">
        <v>29</v>
      </c>
      <c r="M996" s="14">
        <v>5</v>
      </c>
      <c r="N996" s="14">
        <v>2397</v>
      </c>
      <c r="O996" s="14">
        <v>2350</v>
      </c>
      <c r="P996" s="14">
        <v>40</v>
      </c>
      <c r="Q996" s="14" t="s">
        <v>41</v>
      </c>
      <c r="R996" s="14" t="s">
        <v>42</v>
      </c>
      <c r="S996" s="14">
        <v>45798</v>
      </c>
      <c r="T996" s="14">
        <v>3</v>
      </c>
    </row>
    <row r="997" spans="1:20" x14ac:dyDescent="0.3">
      <c r="A997" t="s">
        <v>1599</v>
      </c>
      <c r="B997">
        <v>45297</v>
      </c>
      <c r="C997" t="s">
        <v>627</v>
      </c>
      <c r="D997" t="s">
        <v>628</v>
      </c>
      <c r="E997" t="s">
        <v>77</v>
      </c>
      <c r="F997">
        <v>44</v>
      </c>
      <c r="G997" t="s">
        <v>78</v>
      </c>
      <c r="H997" s="14" t="s">
        <v>79</v>
      </c>
      <c r="I997" s="14" t="s">
        <v>47</v>
      </c>
      <c r="J997" s="14" t="s">
        <v>48</v>
      </c>
      <c r="K997" s="14" t="s">
        <v>39</v>
      </c>
      <c r="L997" s="14" t="s">
        <v>49</v>
      </c>
      <c r="M997" s="14">
        <v>3</v>
      </c>
      <c r="N997" s="14">
        <v>1197</v>
      </c>
      <c r="O997" s="14">
        <v>630</v>
      </c>
      <c r="P997" s="14">
        <v>0</v>
      </c>
      <c r="Q997" s="14" t="s">
        <v>73</v>
      </c>
      <c r="R997" s="14" t="s">
        <v>42</v>
      </c>
      <c r="S997" s="14">
        <v>45306</v>
      </c>
      <c r="T997" s="14">
        <v>4</v>
      </c>
    </row>
    <row r="998" spans="1:20" x14ac:dyDescent="0.3">
      <c r="A998" t="s">
        <v>1600</v>
      </c>
      <c r="B998">
        <v>45378</v>
      </c>
      <c r="C998" t="s">
        <v>532</v>
      </c>
      <c r="D998" t="s">
        <v>355</v>
      </c>
      <c r="E998" t="s">
        <v>77</v>
      </c>
      <c r="F998">
        <v>33</v>
      </c>
      <c r="G998" t="s">
        <v>173</v>
      </c>
      <c r="H998" s="14" t="s">
        <v>79</v>
      </c>
      <c r="I998" s="14" t="s">
        <v>134</v>
      </c>
      <c r="J998" s="14" t="s">
        <v>135</v>
      </c>
      <c r="K998" s="14" t="s">
        <v>39</v>
      </c>
      <c r="L998" s="14" t="s">
        <v>136</v>
      </c>
      <c r="M998" s="14">
        <v>1</v>
      </c>
      <c r="N998" s="14">
        <v>119.4</v>
      </c>
      <c r="O998" s="14">
        <v>90</v>
      </c>
      <c r="P998" s="14">
        <v>40</v>
      </c>
      <c r="Q998" s="14" t="s">
        <v>73</v>
      </c>
      <c r="R998" s="14" t="s">
        <v>42</v>
      </c>
      <c r="S998" s="14">
        <v>45390</v>
      </c>
      <c r="T998" s="14">
        <v>4</v>
      </c>
    </row>
    <row r="999" spans="1:20" x14ac:dyDescent="0.3">
      <c r="A999" t="s">
        <v>1601</v>
      </c>
      <c r="B999">
        <v>45523</v>
      </c>
      <c r="C999" t="s">
        <v>458</v>
      </c>
      <c r="D999" t="s">
        <v>329</v>
      </c>
      <c r="E999" t="s">
        <v>77</v>
      </c>
      <c r="F999">
        <v>42</v>
      </c>
      <c r="G999" t="s">
        <v>165</v>
      </c>
      <c r="H999" s="14" t="s">
        <v>166</v>
      </c>
      <c r="I999" s="14" t="s">
        <v>245</v>
      </c>
      <c r="J999" s="14" t="s">
        <v>246</v>
      </c>
      <c r="K999" s="14" t="s">
        <v>130</v>
      </c>
      <c r="L999" s="14" t="s">
        <v>247</v>
      </c>
      <c r="M999" s="14">
        <v>3</v>
      </c>
      <c r="N999" s="14">
        <v>5622.75</v>
      </c>
      <c r="O999" s="14">
        <v>5610</v>
      </c>
      <c r="P999" s="14">
        <v>25</v>
      </c>
      <c r="Q999" s="14" t="s">
        <v>103</v>
      </c>
      <c r="R999" s="14" t="s">
        <v>42</v>
      </c>
      <c r="S999" s="14">
        <v>45533</v>
      </c>
      <c r="T999" s="14">
        <v>4</v>
      </c>
    </row>
    <row r="1000" spans="1:20" x14ac:dyDescent="0.3">
      <c r="A1000" t="s">
        <v>1602</v>
      </c>
      <c r="B1000">
        <v>45403</v>
      </c>
      <c r="C1000" t="s">
        <v>996</v>
      </c>
      <c r="D1000" t="s">
        <v>997</v>
      </c>
      <c r="E1000" t="s">
        <v>23</v>
      </c>
      <c r="F1000">
        <v>54</v>
      </c>
      <c r="G1000" t="s">
        <v>61</v>
      </c>
      <c r="H1000" s="14" t="s">
        <v>62</v>
      </c>
      <c r="I1000" s="14" t="s">
        <v>319</v>
      </c>
      <c r="J1000" s="14" t="s">
        <v>320</v>
      </c>
      <c r="K1000" s="14" t="s">
        <v>28</v>
      </c>
      <c r="L1000" s="14" t="s">
        <v>29</v>
      </c>
      <c r="M1000" s="14">
        <v>2</v>
      </c>
      <c r="N1000" s="14">
        <v>1798.5</v>
      </c>
      <c r="O1000" s="14">
        <v>1420</v>
      </c>
      <c r="P1000" s="14">
        <v>25</v>
      </c>
      <c r="Q1000" s="14" t="s">
        <v>103</v>
      </c>
      <c r="R1000" s="14" t="s">
        <v>42</v>
      </c>
      <c r="S1000" s="14">
        <v>45410</v>
      </c>
      <c r="T1000" s="14">
        <v>4</v>
      </c>
    </row>
    <row r="1001" spans="1:20" x14ac:dyDescent="0.3">
      <c r="A1001" t="s">
        <v>1603</v>
      </c>
      <c r="B1001">
        <v>45405</v>
      </c>
      <c r="C1001" t="s">
        <v>742</v>
      </c>
      <c r="D1001" t="s">
        <v>743</v>
      </c>
      <c r="E1001" t="s">
        <v>23</v>
      </c>
      <c r="F1001">
        <v>49</v>
      </c>
      <c r="G1001" t="s">
        <v>35</v>
      </c>
      <c r="H1001" s="14" t="s">
        <v>36</v>
      </c>
      <c r="I1001" s="14" t="s">
        <v>26</v>
      </c>
      <c r="J1001" s="14" t="s">
        <v>27</v>
      </c>
      <c r="K1001" s="14" t="s">
        <v>28</v>
      </c>
      <c r="L1001" s="14" t="s">
        <v>29</v>
      </c>
      <c r="M1001" s="14">
        <v>2</v>
      </c>
      <c r="N1001" s="14">
        <v>1818.6</v>
      </c>
      <c r="O1001" s="14">
        <v>1580</v>
      </c>
      <c r="P1001" s="14">
        <v>30</v>
      </c>
      <c r="Q1001" s="14" t="s">
        <v>103</v>
      </c>
      <c r="R1001" s="14" t="s">
        <v>31</v>
      </c>
      <c r="S1001" s="14">
        <v>45412</v>
      </c>
      <c r="T1001" s="14">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0E319-69DF-4598-84B7-E9CF142B436A}">
  <sheetPr codeName="Sheet3"/>
  <dimension ref="A1:T1001"/>
  <sheetViews>
    <sheetView showGridLines="0" topLeftCell="B1" zoomScale="73" workbookViewId="0">
      <pane ySplit="1" topLeftCell="A2" activePane="bottomLeft" state="frozen"/>
      <selection pane="bottomLeft" activeCell="P767" sqref="P767"/>
    </sheetView>
  </sheetViews>
  <sheetFormatPr defaultRowHeight="14.4" x14ac:dyDescent="0.3"/>
  <cols>
    <col min="1" max="1" width="12.33203125" customWidth="1"/>
    <col min="2" max="2" width="15" style="1" customWidth="1"/>
    <col min="3" max="3" width="16.88671875" customWidth="1"/>
    <col min="4" max="4" width="20.88671875" customWidth="1"/>
    <col min="5" max="5" width="10.77734375" customWidth="1"/>
    <col min="6" max="6" width="6.88671875" customWidth="1"/>
    <col min="7" max="7" width="10.6640625" bestFit="1" customWidth="1"/>
    <col min="8" max="8" width="14.33203125" bestFit="1" customWidth="1"/>
    <col min="9" max="9" width="14.5546875" customWidth="1"/>
    <col min="10" max="10" width="18.5546875" customWidth="1"/>
    <col min="11" max="11" width="14.5546875" bestFit="1" customWidth="1"/>
    <col min="12" max="12" width="19.44140625" bestFit="1" customWidth="1"/>
    <col min="13" max="13" width="11.77734375" customWidth="1"/>
    <col min="14" max="14" width="18" customWidth="1"/>
    <col min="15" max="15" width="14.44140625" customWidth="1"/>
    <col min="16" max="16" width="21.77734375" customWidth="1"/>
    <col min="17" max="17" width="19.109375" customWidth="1"/>
    <col min="18" max="18" width="16.6640625" customWidth="1"/>
    <col min="19" max="19" width="17.6640625" style="1" customWidth="1"/>
    <col min="20" max="20" width="9.5546875" customWidth="1"/>
  </cols>
  <sheetData>
    <row r="1" spans="1:20" s="9" customFormat="1" ht="18" x14ac:dyDescent="0.35">
      <c r="A1" s="16" t="s">
        <v>0</v>
      </c>
      <c r="B1" s="17"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7" t="s">
        <v>18</v>
      </c>
      <c r="T1" s="18" t="s">
        <v>19</v>
      </c>
    </row>
    <row r="2" spans="1:20" x14ac:dyDescent="0.3">
      <c r="A2" s="4" t="s">
        <v>20</v>
      </c>
      <c r="B2" s="5">
        <v>45421</v>
      </c>
      <c r="C2" s="4" t="s">
        <v>21</v>
      </c>
      <c r="D2" s="4" t="s">
        <v>22</v>
      </c>
      <c r="E2" s="4" t="s">
        <v>23</v>
      </c>
      <c r="F2" s="4">
        <v>39</v>
      </c>
      <c r="G2" s="4" t="s">
        <v>24</v>
      </c>
      <c r="H2" s="4" t="s">
        <v>25</v>
      </c>
      <c r="I2" s="4" t="s">
        <v>26</v>
      </c>
      <c r="J2" s="4" t="s">
        <v>27</v>
      </c>
      <c r="K2" s="4" t="s">
        <v>28</v>
      </c>
      <c r="L2" s="4" t="s">
        <v>29</v>
      </c>
      <c r="M2" s="4">
        <v>5</v>
      </c>
      <c r="N2" s="4">
        <v>5196</v>
      </c>
      <c r="O2" s="4">
        <v>3950</v>
      </c>
      <c r="P2" s="4">
        <v>20</v>
      </c>
      <c r="Q2" s="4" t="s">
        <v>30</v>
      </c>
      <c r="R2" s="4" t="s">
        <v>31</v>
      </c>
      <c r="S2" s="5">
        <v>45430</v>
      </c>
      <c r="T2" s="15">
        <v>3</v>
      </c>
    </row>
    <row r="3" spans="1:20" x14ac:dyDescent="0.3">
      <c r="A3" s="2" t="s">
        <v>32</v>
      </c>
      <c r="B3" s="3">
        <v>45304</v>
      </c>
      <c r="C3" s="2" t="s">
        <v>33</v>
      </c>
      <c r="D3" s="2" t="s">
        <v>34</v>
      </c>
      <c r="E3" s="2" t="s">
        <v>23</v>
      </c>
      <c r="F3" s="2">
        <v>30</v>
      </c>
      <c r="G3" s="2" t="s">
        <v>35</v>
      </c>
      <c r="H3" s="2" t="s">
        <v>36</v>
      </c>
      <c r="I3" s="2" t="s">
        <v>37</v>
      </c>
      <c r="J3" s="2" t="s">
        <v>38</v>
      </c>
      <c r="K3" s="2" t="s">
        <v>39</v>
      </c>
      <c r="L3" s="2" t="s">
        <v>40</v>
      </c>
      <c r="M3" s="2">
        <v>4</v>
      </c>
      <c r="N3" s="2">
        <v>2157.6</v>
      </c>
      <c r="O3" s="2">
        <v>2080</v>
      </c>
      <c r="P3" s="2">
        <v>40</v>
      </c>
      <c r="Q3" s="2" t="s">
        <v>41</v>
      </c>
      <c r="R3" s="2" t="s">
        <v>42</v>
      </c>
      <c r="S3" s="3">
        <v>45306</v>
      </c>
      <c r="T3" s="6">
        <v>4</v>
      </c>
    </row>
    <row r="4" spans="1:20" x14ac:dyDescent="0.3">
      <c r="A4" s="2" t="s">
        <v>43</v>
      </c>
      <c r="B4" s="3">
        <v>45781</v>
      </c>
      <c r="C4" s="2" t="s">
        <v>44</v>
      </c>
      <c r="D4" s="2" t="s">
        <v>45</v>
      </c>
      <c r="E4" s="2" t="s">
        <v>23</v>
      </c>
      <c r="F4" s="2">
        <v>41</v>
      </c>
      <c r="G4" s="2" t="s">
        <v>46</v>
      </c>
      <c r="H4" s="2" t="s">
        <v>25</v>
      </c>
      <c r="I4" s="2" t="s">
        <v>47</v>
      </c>
      <c r="J4" s="2" t="s">
        <v>48</v>
      </c>
      <c r="K4" s="2" t="s">
        <v>39</v>
      </c>
      <c r="L4" s="2" t="s">
        <v>49</v>
      </c>
      <c r="M4" s="2">
        <v>4</v>
      </c>
      <c r="N4" s="2">
        <v>1516.2</v>
      </c>
      <c r="O4" s="2">
        <v>840</v>
      </c>
      <c r="P4" s="2">
        <v>5</v>
      </c>
      <c r="Q4" s="2" t="s">
        <v>50</v>
      </c>
      <c r="R4" s="2" t="s">
        <v>31</v>
      </c>
      <c r="S4" s="3">
        <v>45793</v>
      </c>
      <c r="T4" s="6">
        <v>2</v>
      </c>
    </row>
    <row r="5" spans="1:20" x14ac:dyDescent="0.3">
      <c r="A5" s="2" t="s">
        <v>51</v>
      </c>
      <c r="B5" s="3">
        <v>45447</v>
      </c>
      <c r="C5" s="2" t="s">
        <v>52</v>
      </c>
      <c r="D5" s="8" t="s">
        <v>53</v>
      </c>
      <c r="E5" s="2" t="s">
        <v>23</v>
      </c>
      <c r="F5" s="2">
        <v>18</v>
      </c>
      <c r="G5" s="2" t="s">
        <v>35</v>
      </c>
      <c r="H5" s="2" t="s">
        <v>36</v>
      </c>
      <c r="I5" s="2" t="s">
        <v>54</v>
      </c>
      <c r="J5" s="2" t="s">
        <v>55</v>
      </c>
      <c r="K5" s="2" t="s">
        <v>28</v>
      </c>
      <c r="L5" s="2" t="s">
        <v>56</v>
      </c>
      <c r="M5" s="2">
        <v>2</v>
      </c>
      <c r="N5" s="2">
        <v>1328.1</v>
      </c>
      <c r="O5" s="2">
        <v>820</v>
      </c>
      <c r="P5" s="2">
        <v>5</v>
      </c>
      <c r="Q5" s="2" t="s">
        <v>50</v>
      </c>
      <c r="R5" s="2" t="s">
        <v>57</v>
      </c>
      <c r="S5" s="3">
        <v>45455</v>
      </c>
      <c r="T5" s="6">
        <v>4</v>
      </c>
    </row>
    <row r="6" spans="1:20" x14ac:dyDescent="0.3">
      <c r="A6" s="2" t="s">
        <v>58</v>
      </c>
      <c r="B6" s="3">
        <v>45827</v>
      </c>
      <c r="C6" s="6" t="s">
        <v>59</v>
      </c>
      <c r="D6" s="2" t="s">
        <v>60</v>
      </c>
      <c r="E6" s="7" t="s">
        <v>23</v>
      </c>
      <c r="F6" s="2">
        <v>37</v>
      </c>
      <c r="G6" s="2" t="s">
        <v>61</v>
      </c>
      <c r="H6" s="2" t="s">
        <v>62</v>
      </c>
      <c r="I6" s="2" t="s">
        <v>63</v>
      </c>
      <c r="J6" s="2" t="s">
        <v>64</v>
      </c>
      <c r="K6" s="2" t="s">
        <v>39</v>
      </c>
      <c r="L6" s="2" t="s">
        <v>40</v>
      </c>
      <c r="M6" s="2">
        <v>3</v>
      </c>
      <c r="N6" s="2">
        <v>1257.9000000000001</v>
      </c>
      <c r="O6" s="2">
        <v>990</v>
      </c>
      <c r="P6" s="2">
        <v>30</v>
      </c>
      <c r="Q6" s="2" t="s">
        <v>41</v>
      </c>
      <c r="R6" s="2" t="s">
        <v>65</v>
      </c>
      <c r="S6" s="3" t="s">
        <v>1604</v>
      </c>
      <c r="T6" s="6" t="s">
        <v>1604</v>
      </c>
    </row>
    <row r="7" spans="1:20" x14ac:dyDescent="0.3">
      <c r="A7" s="2" t="s">
        <v>66</v>
      </c>
      <c r="B7" s="3">
        <v>45927</v>
      </c>
      <c r="C7" s="2" t="s">
        <v>67</v>
      </c>
      <c r="D7" s="4" t="s">
        <v>68</v>
      </c>
      <c r="E7" s="2" t="s">
        <v>23</v>
      </c>
      <c r="F7" s="2">
        <v>42</v>
      </c>
      <c r="G7" s="2" t="s">
        <v>69</v>
      </c>
      <c r="H7" s="2" t="s">
        <v>69</v>
      </c>
      <c r="I7" s="2" t="s">
        <v>70</v>
      </c>
      <c r="J7" s="2" t="s">
        <v>71</v>
      </c>
      <c r="K7" s="2" t="s">
        <v>28</v>
      </c>
      <c r="L7" s="2" t="s">
        <v>72</v>
      </c>
      <c r="M7" s="2">
        <v>2</v>
      </c>
      <c r="N7" s="2">
        <v>2398.4</v>
      </c>
      <c r="O7" s="2">
        <v>1840</v>
      </c>
      <c r="P7" s="2">
        <v>20</v>
      </c>
      <c r="Q7" s="2" t="s">
        <v>73</v>
      </c>
      <c r="R7" s="2" t="s">
        <v>42</v>
      </c>
      <c r="S7" s="3">
        <v>45932</v>
      </c>
      <c r="T7" s="6">
        <v>3</v>
      </c>
    </row>
    <row r="8" spans="1:20" x14ac:dyDescent="0.3">
      <c r="A8" s="2" t="s">
        <v>74</v>
      </c>
      <c r="B8" s="3">
        <v>45857</v>
      </c>
      <c r="C8" s="2" t="s">
        <v>75</v>
      </c>
      <c r="D8" s="2" t="s">
        <v>76</v>
      </c>
      <c r="E8" s="2" t="s">
        <v>77</v>
      </c>
      <c r="F8" s="2">
        <v>27</v>
      </c>
      <c r="G8" s="2" t="s">
        <v>78</v>
      </c>
      <c r="H8" s="2" t="s">
        <v>79</v>
      </c>
      <c r="I8" s="2" t="s">
        <v>80</v>
      </c>
      <c r="J8" s="2" t="s">
        <v>81</v>
      </c>
      <c r="K8" s="2" t="s">
        <v>28</v>
      </c>
      <c r="L8" s="2" t="s">
        <v>29</v>
      </c>
      <c r="M8" s="2">
        <v>4</v>
      </c>
      <c r="N8" s="2">
        <v>1917.6</v>
      </c>
      <c r="O8" s="2">
        <v>1880</v>
      </c>
      <c r="P8" s="2">
        <v>40</v>
      </c>
      <c r="Q8" s="2" t="s">
        <v>50</v>
      </c>
      <c r="R8" s="2" t="s">
        <v>42</v>
      </c>
      <c r="S8" s="3">
        <v>45863</v>
      </c>
      <c r="T8" s="6">
        <v>2</v>
      </c>
    </row>
    <row r="9" spans="1:20" x14ac:dyDescent="0.3">
      <c r="A9" s="2" t="s">
        <v>82</v>
      </c>
      <c r="B9" s="3">
        <v>45529</v>
      </c>
      <c r="C9" s="2" t="s">
        <v>83</v>
      </c>
      <c r="D9" s="2" t="s">
        <v>84</v>
      </c>
      <c r="E9" s="2" t="s">
        <v>23</v>
      </c>
      <c r="F9" s="2">
        <v>27</v>
      </c>
      <c r="G9" s="2" t="s">
        <v>35</v>
      </c>
      <c r="H9" s="2" t="s">
        <v>36</v>
      </c>
      <c r="I9" s="2" t="s">
        <v>85</v>
      </c>
      <c r="J9" s="2" t="s">
        <v>86</v>
      </c>
      <c r="K9" s="2" t="s">
        <v>87</v>
      </c>
      <c r="L9" s="2" t="s">
        <v>88</v>
      </c>
      <c r="M9" s="2">
        <v>4</v>
      </c>
      <c r="N9" s="2">
        <v>5316.2</v>
      </c>
      <c r="O9" s="2">
        <v>3160</v>
      </c>
      <c r="P9" s="2">
        <v>5</v>
      </c>
      <c r="Q9" s="2" t="s">
        <v>30</v>
      </c>
      <c r="R9" s="2" t="s">
        <v>42</v>
      </c>
      <c r="S9" s="3">
        <v>45541</v>
      </c>
      <c r="T9" s="6">
        <v>4</v>
      </c>
    </row>
    <row r="10" spans="1:20" x14ac:dyDescent="0.3">
      <c r="A10" s="2" t="s">
        <v>89</v>
      </c>
      <c r="B10" s="3">
        <v>45727</v>
      </c>
      <c r="C10" s="2" t="s">
        <v>44</v>
      </c>
      <c r="D10" s="2" t="s">
        <v>45</v>
      </c>
      <c r="E10" s="2" t="s">
        <v>23</v>
      </c>
      <c r="F10" s="2">
        <v>41</v>
      </c>
      <c r="G10" s="2" t="s">
        <v>90</v>
      </c>
      <c r="H10" s="2" t="s">
        <v>91</v>
      </c>
      <c r="I10" s="2" t="s">
        <v>92</v>
      </c>
      <c r="J10" s="2" t="s">
        <v>93</v>
      </c>
      <c r="K10" s="2" t="s">
        <v>87</v>
      </c>
      <c r="L10" s="2" t="s">
        <v>94</v>
      </c>
      <c r="M10" s="2">
        <v>2</v>
      </c>
      <c r="N10" s="2">
        <v>2558.4</v>
      </c>
      <c r="O10" s="2">
        <v>1860</v>
      </c>
      <c r="P10" s="2">
        <v>20</v>
      </c>
      <c r="Q10" s="2" t="s">
        <v>30</v>
      </c>
      <c r="R10" s="2" t="s">
        <v>42</v>
      </c>
      <c r="S10" s="3">
        <v>45729</v>
      </c>
      <c r="T10" s="6">
        <v>3</v>
      </c>
    </row>
    <row r="11" spans="1:20" x14ac:dyDescent="0.3">
      <c r="A11" s="2" t="s">
        <v>95</v>
      </c>
      <c r="B11" s="3">
        <v>45606</v>
      </c>
      <c r="C11" s="2" t="s">
        <v>96</v>
      </c>
      <c r="D11" s="2" t="s">
        <v>97</v>
      </c>
      <c r="E11" s="2" t="s">
        <v>23</v>
      </c>
      <c r="F11" s="2">
        <v>30</v>
      </c>
      <c r="G11" s="2" t="s">
        <v>35</v>
      </c>
      <c r="H11" s="2" t="s">
        <v>36</v>
      </c>
      <c r="I11" s="2" t="s">
        <v>63</v>
      </c>
      <c r="J11" s="2" t="s">
        <v>64</v>
      </c>
      <c r="K11" s="2" t="s">
        <v>39</v>
      </c>
      <c r="L11" s="2" t="s">
        <v>40</v>
      </c>
      <c r="M11" s="2">
        <v>1</v>
      </c>
      <c r="N11" s="2">
        <v>359.4</v>
      </c>
      <c r="O11" s="2">
        <v>330</v>
      </c>
      <c r="P11" s="2">
        <v>40</v>
      </c>
      <c r="Q11" s="2" t="s">
        <v>41</v>
      </c>
      <c r="R11" s="2" t="s">
        <v>31</v>
      </c>
      <c r="S11" s="3">
        <v>45614</v>
      </c>
      <c r="T11" s="6">
        <v>4</v>
      </c>
    </row>
    <row r="12" spans="1:20" x14ac:dyDescent="0.3">
      <c r="A12" s="2" t="s">
        <v>98</v>
      </c>
      <c r="B12" s="3">
        <v>45804</v>
      </c>
      <c r="C12" s="2" t="s">
        <v>99</v>
      </c>
      <c r="D12" s="2" t="s">
        <v>100</v>
      </c>
      <c r="E12" s="2" t="s">
        <v>23</v>
      </c>
      <c r="F12" s="2">
        <v>34</v>
      </c>
      <c r="G12" s="2" t="s">
        <v>101</v>
      </c>
      <c r="H12" s="2" t="s">
        <v>102</v>
      </c>
      <c r="I12" s="2" t="s">
        <v>63</v>
      </c>
      <c r="J12" s="2" t="s">
        <v>64</v>
      </c>
      <c r="K12" s="2" t="s">
        <v>39</v>
      </c>
      <c r="L12" s="2" t="s">
        <v>40</v>
      </c>
      <c r="M12" s="2">
        <v>1</v>
      </c>
      <c r="N12" s="2">
        <v>599</v>
      </c>
      <c r="O12" s="2">
        <v>330</v>
      </c>
      <c r="P12" s="2">
        <v>0</v>
      </c>
      <c r="Q12" s="2" t="s">
        <v>103</v>
      </c>
      <c r="R12" s="2" t="s">
        <v>31</v>
      </c>
      <c r="S12" s="3">
        <v>45811</v>
      </c>
      <c r="T12" s="6">
        <v>4</v>
      </c>
    </row>
    <row r="13" spans="1:20" x14ac:dyDescent="0.3">
      <c r="A13" s="2" t="s">
        <v>104</v>
      </c>
      <c r="B13" s="3">
        <v>45318</v>
      </c>
      <c r="C13" s="2" t="s">
        <v>105</v>
      </c>
      <c r="D13" s="2" t="s">
        <v>106</v>
      </c>
      <c r="E13" s="2" t="s">
        <v>77</v>
      </c>
      <c r="F13" s="2">
        <v>45</v>
      </c>
      <c r="G13" s="2" t="s">
        <v>90</v>
      </c>
      <c r="H13" s="2" t="s">
        <v>91</v>
      </c>
      <c r="I13" s="2" t="s">
        <v>107</v>
      </c>
      <c r="J13" s="2" t="s">
        <v>108</v>
      </c>
      <c r="K13" s="2" t="s">
        <v>87</v>
      </c>
      <c r="L13" s="2" t="s">
        <v>88</v>
      </c>
      <c r="M13" s="2">
        <v>5</v>
      </c>
      <c r="N13" s="2">
        <v>3995</v>
      </c>
      <c r="O13" s="2">
        <v>2100</v>
      </c>
      <c r="P13" s="2">
        <v>0</v>
      </c>
      <c r="Q13" s="2" t="s">
        <v>41</v>
      </c>
      <c r="R13" s="2" t="s">
        <v>65</v>
      </c>
      <c r="S13" s="3" t="s">
        <v>1604</v>
      </c>
      <c r="T13" s="6" t="s">
        <v>1604</v>
      </c>
    </row>
    <row r="14" spans="1:20" x14ac:dyDescent="0.3">
      <c r="A14" s="2" t="s">
        <v>109</v>
      </c>
      <c r="B14" s="3">
        <v>45333</v>
      </c>
      <c r="C14" s="2" t="s">
        <v>110</v>
      </c>
      <c r="D14" s="2" t="s">
        <v>111</v>
      </c>
      <c r="E14" s="2" t="s">
        <v>23</v>
      </c>
      <c r="F14" s="2">
        <v>39</v>
      </c>
      <c r="G14" s="2" t="s">
        <v>101</v>
      </c>
      <c r="H14" s="2" t="s">
        <v>102</v>
      </c>
      <c r="I14" s="2" t="s">
        <v>112</v>
      </c>
      <c r="J14" s="2" t="s">
        <v>113</v>
      </c>
      <c r="K14" s="2" t="s">
        <v>114</v>
      </c>
      <c r="L14" s="2" t="s">
        <v>115</v>
      </c>
      <c r="M14" s="2">
        <v>4</v>
      </c>
      <c r="N14" s="2">
        <v>2236.8000000000002</v>
      </c>
      <c r="O14" s="2">
        <v>1480</v>
      </c>
      <c r="P14" s="2">
        <v>20</v>
      </c>
      <c r="Q14" s="2" t="s">
        <v>30</v>
      </c>
      <c r="R14" s="2" t="s">
        <v>65</v>
      </c>
      <c r="S14" s="3" t="s">
        <v>1604</v>
      </c>
      <c r="T14" s="6" t="s">
        <v>1604</v>
      </c>
    </row>
    <row r="15" spans="1:20" x14ac:dyDescent="0.3">
      <c r="A15" s="2" t="s">
        <v>116</v>
      </c>
      <c r="B15" s="3">
        <v>45738</v>
      </c>
      <c r="C15" s="2" t="s">
        <v>117</v>
      </c>
      <c r="D15" s="2" t="s">
        <v>118</v>
      </c>
      <c r="E15" s="2" t="s">
        <v>23</v>
      </c>
      <c r="F15" s="2">
        <v>56</v>
      </c>
      <c r="G15" s="2" t="s">
        <v>46</v>
      </c>
      <c r="H15" s="2" t="s">
        <v>25</v>
      </c>
      <c r="I15" s="2" t="s">
        <v>37</v>
      </c>
      <c r="J15" s="2" t="s">
        <v>38</v>
      </c>
      <c r="K15" s="2" t="s">
        <v>39</v>
      </c>
      <c r="L15" s="2" t="s">
        <v>40</v>
      </c>
      <c r="M15" s="2">
        <v>3</v>
      </c>
      <c r="N15" s="2">
        <v>1887.9</v>
      </c>
      <c r="O15" s="2">
        <v>1560</v>
      </c>
      <c r="P15" s="2">
        <v>30</v>
      </c>
      <c r="Q15" s="2" t="s">
        <v>41</v>
      </c>
      <c r="R15" s="2" t="s">
        <v>42</v>
      </c>
      <c r="S15" s="3">
        <v>45750</v>
      </c>
      <c r="T15" s="6">
        <v>3</v>
      </c>
    </row>
    <row r="16" spans="1:20" x14ac:dyDescent="0.3">
      <c r="A16" s="2" t="s">
        <v>119</v>
      </c>
      <c r="B16" s="3">
        <v>45456</v>
      </c>
      <c r="C16" s="2" t="s">
        <v>120</v>
      </c>
      <c r="D16" s="2" t="s">
        <v>121</v>
      </c>
      <c r="E16" s="2" t="s">
        <v>23</v>
      </c>
      <c r="F16" s="2">
        <v>56</v>
      </c>
      <c r="G16" s="2" t="s">
        <v>122</v>
      </c>
      <c r="H16" s="2" t="s">
        <v>123</v>
      </c>
      <c r="I16" s="2" t="s">
        <v>85</v>
      </c>
      <c r="J16" s="2" t="s">
        <v>86</v>
      </c>
      <c r="K16" s="2" t="s">
        <v>87</v>
      </c>
      <c r="L16" s="2" t="s">
        <v>88</v>
      </c>
      <c r="M16" s="2">
        <v>4</v>
      </c>
      <c r="N16" s="2">
        <v>4476.8</v>
      </c>
      <c r="O16" s="2">
        <v>3160</v>
      </c>
      <c r="P16" s="2">
        <v>20</v>
      </c>
      <c r="Q16" s="2" t="s">
        <v>103</v>
      </c>
      <c r="R16" s="2" t="s">
        <v>57</v>
      </c>
      <c r="S16" s="3">
        <v>45466</v>
      </c>
      <c r="T16" s="6">
        <v>2</v>
      </c>
    </row>
    <row r="17" spans="1:20" x14ac:dyDescent="0.3">
      <c r="A17" s="2" t="s">
        <v>124</v>
      </c>
      <c r="B17" s="3">
        <v>45757</v>
      </c>
      <c r="C17" s="2" t="s">
        <v>125</v>
      </c>
      <c r="D17" s="2" t="s">
        <v>121</v>
      </c>
      <c r="E17" s="2" t="s">
        <v>23</v>
      </c>
      <c r="F17" s="2">
        <v>27</v>
      </c>
      <c r="G17" s="2" t="s">
        <v>126</v>
      </c>
      <c r="H17" s="2" t="s">
        <v>127</v>
      </c>
      <c r="I17" s="2" t="s">
        <v>128</v>
      </c>
      <c r="J17" s="2" t="s">
        <v>129</v>
      </c>
      <c r="K17" s="2" t="s">
        <v>130</v>
      </c>
      <c r="L17" s="2" t="s">
        <v>131</v>
      </c>
      <c r="M17" s="2">
        <v>3</v>
      </c>
      <c r="N17" s="2">
        <v>18522.150000000001</v>
      </c>
      <c r="O17" s="2">
        <v>15300</v>
      </c>
      <c r="P17" s="2">
        <v>5</v>
      </c>
      <c r="Q17" s="2" t="s">
        <v>103</v>
      </c>
      <c r="R17" s="2" t="s">
        <v>57</v>
      </c>
      <c r="S17" s="3">
        <v>45767</v>
      </c>
      <c r="T17" s="6">
        <v>2</v>
      </c>
    </row>
    <row r="18" spans="1:20" x14ac:dyDescent="0.3">
      <c r="A18" s="2" t="s">
        <v>132</v>
      </c>
      <c r="B18" s="3">
        <v>45965</v>
      </c>
      <c r="C18" s="2" t="s">
        <v>133</v>
      </c>
      <c r="D18" s="2" t="s">
        <v>1604</v>
      </c>
      <c r="E18" s="2" t="s">
        <v>77</v>
      </c>
      <c r="F18" s="2">
        <v>56</v>
      </c>
      <c r="G18" s="2" t="s">
        <v>61</v>
      </c>
      <c r="H18" s="2" t="s">
        <v>62</v>
      </c>
      <c r="I18" s="2" t="s">
        <v>134</v>
      </c>
      <c r="J18" s="2" t="s">
        <v>135</v>
      </c>
      <c r="K18" s="2" t="s">
        <v>39</v>
      </c>
      <c r="L18" s="2" t="s">
        <v>136</v>
      </c>
      <c r="M18" s="2">
        <v>1</v>
      </c>
      <c r="N18" s="2">
        <v>169.15</v>
      </c>
      <c r="O18" s="2">
        <v>90</v>
      </c>
      <c r="P18" s="2">
        <v>15</v>
      </c>
      <c r="Q18" s="2" t="s">
        <v>50</v>
      </c>
      <c r="R18" s="2" t="s">
        <v>42</v>
      </c>
      <c r="S18" s="3">
        <v>45976</v>
      </c>
      <c r="T18" s="6">
        <v>5</v>
      </c>
    </row>
    <row r="19" spans="1:20" x14ac:dyDescent="0.3">
      <c r="A19" s="2" t="s">
        <v>137</v>
      </c>
      <c r="B19" s="3">
        <v>45932</v>
      </c>
      <c r="C19" s="2" t="s">
        <v>138</v>
      </c>
      <c r="D19" s="2" t="s">
        <v>139</v>
      </c>
      <c r="E19" s="2" t="s">
        <v>77</v>
      </c>
      <c r="F19" s="2">
        <v>42</v>
      </c>
      <c r="G19" s="2" t="s">
        <v>24</v>
      </c>
      <c r="H19" s="2" t="s">
        <v>25</v>
      </c>
      <c r="I19" s="2" t="s">
        <v>70</v>
      </c>
      <c r="J19" s="2" t="s">
        <v>71</v>
      </c>
      <c r="K19" s="2" t="s">
        <v>28</v>
      </c>
      <c r="L19" s="2" t="s">
        <v>72</v>
      </c>
      <c r="M19" s="2">
        <v>3</v>
      </c>
      <c r="N19" s="2">
        <v>4047.3</v>
      </c>
      <c r="O19" s="2">
        <v>2760</v>
      </c>
      <c r="P19" s="2">
        <v>10</v>
      </c>
      <c r="Q19" s="2" t="s">
        <v>41</v>
      </c>
      <c r="R19" s="2" t="s">
        <v>42</v>
      </c>
      <c r="S19" s="3">
        <v>45941</v>
      </c>
      <c r="T19" s="6">
        <v>3</v>
      </c>
    </row>
    <row r="20" spans="1:20" x14ac:dyDescent="0.3">
      <c r="A20" s="2" t="s">
        <v>140</v>
      </c>
      <c r="B20" s="3">
        <v>45321</v>
      </c>
      <c r="C20" s="2" t="s">
        <v>141</v>
      </c>
      <c r="D20" s="2" t="s">
        <v>142</v>
      </c>
      <c r="E20" s="2" t="s">
        <v>23</v>
      </c>
      <c r="F20" s="2">
        <v>57</v>
      </c>
      <c r="G20" s="2" t="s">
        <v>78</v>
      </c>
      <c r="H20" s="2" t="s">
        <v>79</v>
      </c>
      <c r="I20" s="2" t="s">
        <v>143</v>
      </c>
      <c r="J20" s="2" t="s">
        <v>144</v>
      </c>
      <c r="K20" s="2" t="s">
        <v>130</v>
      </c>
      <c r="L20" s="2" t="s">
        <v>131</v>
      </c>
      <c r="M20" s="2">
        <v>5</v>
      </c>
      <c r="N20" s="2">
        <v>27495</v>
      </c>
      <c r="O20" s="2">
        <v>21500</v>
      </c>
      <c r="P20" s="2">
        <v>0</v>
      </c>
      <c r="Q20" s="2" t="s">
        <v>50</v>
      </c>
      <c r="R20" s="2" t="s">
        <v>42</v>
      </c>
      <c r="S20" s="3">
        <v>45324</v>
      </c>
      <c r="T20" s="6">
        <v>4</v>
      </c>
    </row>
    <row r="21" spans="1:20" x14ac:dyDescent="0.3">
      <c r="A21" s="2" t="s">
        <v>145</v>
      </c>
      <c r="B21" s="3">
        <v>45408</v>
      </c>
      <c r="C21" s="2" t="s">
        <v>146</v>
      </c>
      <c r="D21" s="2" t="s">
        <v>147</v>
      </c>
      <c r="E21" s="2" t="s">
        <v>23</v>
      </c>
      <c r="F21" s="2">
        <v>45</v>
      </c>
      <c r="G21" s="2" t="s">
        <v>69</v>
      </c>
      <c r="H21" s="2" t="s">
        <v>69</v>
      </c>
      <c r="I21" s="2" t="s">
        <v>92</v>
      </c>
      <c r="J21" s="2" t="s">
        <v>93</v>
      </c>
      <c r="K21" s="2" t="s">
        <v>87</v>
      </c>
      <c r="L21" s="2" t="s">
        <v>94</v>
      </c>
      <c r="M21" s="2">
        <v>2</v>
      </c>
      <c r="N21" s="2">
        <v>1918.8</v>
      </c>
      <c r="O21" s="2">
        <v>1860</v>
      </c>
      <c r="P21" s="2">
        <v>40</v>
      </c>
      <c r="Q21" s="2" t="s">
        <v>41</v>
      </c>
      <c r="R21" s="2" t="s">
        <v>65</v>
      </c>
      <c r="S21" s="3" t="s">
        <v>1604</v>
      </c>
      <c r="T21" s="6" t="s">
        <v>1604</v>
      </c>
    </row>
    <row r="22" spans="1:20" x14ac:dyDescent="0.3">
      <c r="A22" s="2" t="s">
        <v>148</v>
      </c>
      <c r="B22" s="3">
        <v>46014</v>
      </c>
      <c r="C22" s="2" t="s">
        <v>149</v>
      </c>
      <c r="D22" s="2" t="s">
        <v>150</v>
      </c>
      <c r="E22" s="2" t="s">
        <v>77</v>
      </c>
      <c r="F22" s="2">
        <v>35</v>
      </c>
      <c r="G22" s="2" t="s">
        <v>122</v>
      </c>
      <c r="H22" s="2" t="s">
        <v>123</v>
      </c>
      <c r="I22" s="2" t="s">
        <v>37</v>
      </c>
      <c r="J22" s="2" t="s">
        <v>38</v>
      </c>
      <c r="K22" s="2" t="s">
        <v>39</v>
      </c>
      <c r="L22" s="2" t="s">
        <v>40</v>
      </c>
      <c r="M22" s="2">
        <v>4</v>
      </c>
      <c r="N22" s="2">
        <v>3056.6</v>
      </c>
      <c r="O22" s="2">
        <v>2080</v>
      </c>
      <c r="P22" s="2">
        <v>15</v>
      </c>
      <c r="Q22" s="2" t="s">
        <v>103</v>
      </c>
      <c r="R22" s="2" t="s">
        <v>65</v>
      </c>
      <c r="S22" s="3" t="s">
        <v>1604</v>
      </c>
      <c r="T22" s="6" t="s">
        <v>1604</v>
      </c>
    </row>
    <row r="23" spans="1:20" x14ac:dyDescent="0.3">
      <c r="A23" s="2" t="s">
        <v>151</v>
      </c>
      <c r="B23" s="3">
        <v>45440</v>
      </c>
      <c r="C23" s="2" t="s">
        <v>152</v>
      </c>
      <c r="D23" s="2" t="s">
        <v>153</v>
      </c>
      <c r="E23" s="2" t="s">
        <v>23</v>
      </c>
      <c r="F23" s="2">
        <v>33</v>
      </c>
      <c r="G23" s="2" t="s">
        <v>154</v>
      </c>
      <c r="H23" s="2" t="s">
        <v>91</v>
      </c>
      <c r="I23" s="2" t="s">
        <v>155</v>
      </c>
      <c r="J23" s="2" t="s">
        <v>156</v>
      </c>
      <c r="K23" s="2" t="s">
        <v>114</v>
      </c>
      <c r="L23" s="2" t="s">
        <v>157</v>
      </c>
      <c r="M23" s="2">
        <v>5</v>
      </c>
      <c r="N23" s="2">
        <v>4495.5</v>
      </c>
      <c r="O23" s="2">
        <v>3050</v>
      </c>
      <c r="P23" s="2">
        <v>10</v>
      </c>
      <c r="Q23" s="2" t="s">
        <v>73</v>
      </c>
      <c r="R23" s="2" t="s">
        <v>42</v>
      </c>
      <c r="S23" s="3">
        <v>45448</v>
      </c>
      <c r="T23" s="6">
        <v>4</v>
      </c>
    </row>
    <row r="24" spans="1:20" x14ac:dyDescent="0.3">
      <c r="A24" s="2" t="s">
        <v>158</v>
      </c>
      <c r="B24" s="3">
        <v>45811</v>
      </c>
      <c r="C24" s="2" t="s">
        <v>159</v>
      </c>
      <c r="D24" s="2" t="s">
        <v>160</v>
      </c>
      <c r="E24" s="2" t="s">
        <v>23</v>
      </c>
      <c r="F24" s="2">
        <v>58</v>
      </c>
      <c r="G24" s="2" t="s">
        <v>161</v>
      </c>
      <c r="H24" s="2" t="s">
        <v>25</v>
      </c>
      <c r="I24" s="2" t="s">
        <v>143</v>
      </c>
      <c r="J24" s="2" t="s">
        <v>144</v>
      </c>
      <c r="K24" s="2" t="s">
        <v>130</v>
      </c>
      <c r="L24" s="2" t="s">
        <v>131</v>
      </c>
      <c r="M24" s="2">
        <v>3</v>
      </c>
      <c r="N24" s="2">
        <v>9898.2000000000007</v>
      </c>
      <c r="O24" s="2">
        <v>12900</v>
      </c>
      <c r="P24" s="2">
        <v>40</v>
      </c>
      <c r="Q24" s="2" t="s">
        <v>30</v>
      </c>
      <c r="R24" s="2" t="s">
        <v>42</v>
      </c>
      <c r="S24" s="3">
        <v>45821</v>
      </c>
      <c r="T24" s="6">
        <v>5</v>
      </c>
    </row>
    <row r="25" spans="1:20" x14ac:dyDescent="0.3">
      <c r="A25" s="2" t="s">
        <v>162</v>
      </c>
      <c r="B25" s="3">
        <v>45645</v>
      </c>
      <c r="C25" s="2" t="s">
        <v>163</v>
      </c>
      <c r="D25" s="2" t="s">
        <v>164</v>
      </c>
      <c r="E25" s="2" t="s">
        <v>77</v>
      </c>
      <c r="F25" s="2">
        <v>50</v>
      </c>
      <c r="G25" s="2" t="s">
        <v>165</v>
      </c>
      <c r="H25" s="2" t="s">
        <v>166</v>
      </c>
      <c r="I25" s="2" t="s">
        <v>63</v>
      </c>
      <c r="J25" s="2" t="s">
        <v>64</v>
      </c>
      <c r="K25" s="2" t="s">
        <v>39</v>
      </c>
      <c r="L25" s="2" t="s">
        <v>40</v>
      </c>
      <c r="M25" s="2">
        <v>3</v>
      </c>
      <c r="N25" s="2">
        <v>1527.45</v>
      </c>
      <c r="O25" s="2">
        <v>990</v>
      </c>
      <c r="P25" s="2">
        <v>15</v>
      </c>
      <c r="Q25" s="2" t="s">
        <v>30</v>
      </c>
      <c r="R25" s="2" t="s">
        <v>65</v>
      </c>
      <c r="S25" s="3" t="s">
        <v>1604</v>
      </c>
      <c r="T25" s="6" t="s">
        <v>1604</v>
      </c>
    </row>
    <row r="26" spans="1:20" x14ac:dyDescent="0.3">
      <c r="A26" s="2" t="s">
        <v>167</v>
      </c>
      <c r="B26" s="3">
        <v>45684</v>
      </c>
      <c r="C26" s="2" t="s">
        <v>168</v>
      </c>
      <c r="D26" s="2" t="s">
        <v>169</v>
      </c>
      <c r="E26" s="2" t="s">
        <v>23</v>
      </c>
      <c r="F26" s="2">
        <v>43</v>
      </c>
      <c r="G26" s="2" t="s">
        <v>122</v>
      </c>
      <c r="H26" s="2" t="s">
        <v>123</v>
      </c>
      <c r="I26" s="2" t="s">
        <v>26</v>
      </c>
      <c r="J26" s="2" t="s">
        <v>27</v>
      </c>
      <c r="K26" s="2" t="s">
        <v>28</v>
      </c>
      <c r="L26" s="2" t="s">
        <v>29</v>
      </c>
      <c r="M26" s="2">
        <v>3</v>
      </c>
      <c r="N26" s="2">
        <v>2338.1999999999998</v>
      </c>
      <c r="O26" s="2">
        <v>2370</v>
      </c>
      <c r="P26" s="2">
        <v>40</v>
      </c>
      <c r="Q26" s="2" t="s">
        <v>103</v>
      </c>
      <c r="R26" s="2" t="s">
        <v>42</v>
      </c>
      <c r="S26" s="3">
        <v>45696</v>
      </c>
      <c r="T26" s="6">
        <v>3</v>
      </c>
    </row>
    <row r="27" spans="1:20" x14ac:dyDescent="0.3">
      <c r="A27" s="2" t="s">
        <v>170</v>
      </c>
      <c r="B27" s="3">
        <v>45799</v>
      </c>
      <c r="C27" s="2" t="s">
        <v>171</v>
      </c>
      <c r="D27" s="2" t="s">
        <v>172</v>
      </c>
      <c r="E27" s="2" t="s">
        <v>23</v>
      </c>
      <c r="F27" s="2">
        <v>36</v>
      </c>
      <c r="G27" s="2" t="s">
        <v>173</v>
      </c>
      <c r="H27" s="2" t="s">
        <v>79</v>
      </c>
      <c r="I27" s="2" t="s">
        <v>112</v>
      </c>
      <c r="J27" s="2" t="s">
        <v>113</v>
      </c>
      <c r="K27" s="2" t="s">
        <v>114</v>
      </c>
      <c r="L27" s="2" t="s">
        <v>115</v>
      </c>
      <c r="M27" s="2">
        <v>5</v>
      </c>
      <c r="N27" s="2">
        <v>2621.25</v>
      </c>
      <c r="O27" s="2">
        <v>1850</v>
      </c>
      <c r="P27" s="2">
        <v>25</v>
      </c>
      <c r="Q27" s="2" t="s">
        <v>73</v>
      </c>
      <c r="R27" s="2" t="s">
        <v>57</v>
      </c>
      <c r="S27" s="3">
        <v>45808</v>
      </c>
      <c r="T27" s="6">
        <v>3</v>
      </c>
    </row>
    <row r="28" spans="1:20" x14ac:dyDescent="0.3">
      <c r="A28" s="2" t="s">
        <v>174</v>
      </c>
      <c r="B28" s="3">
        <v>45830</v>
      </c>
      <c r="C28" s="2" t="s">
        <v>175</v>
      </c>
      <c r="D28" s="2" t="s">
        <v>176</v>
      </c>
      <c r="E28" s="2" t="s">
        <v>23</v>
      </c>
      <c r="F28" s="2">
        <v>52</v>
      </c>
      <c r="G28" s="2" t="s">
        <v>161</v>
      </c>
      <c r="H28" s="2" t="s">
        <v>25</v>
      </c>
      <c r="I28" s="2" t="s">
        <v>177</v>
      </c>
      <c r="J28" s="2" t="s">
        <v>178</v>
      </c>
      <c r="K28" s="2" t="s">
        <v>87</v>
      </c>
      <c r="L28" s="2" t="s">
        <v>179</v>
      </c>
      <c r="M28" s="2">
        <v>2</v>
      </c>
      <c r="N28" s="2">
        <v>3498.6</v>
      </c>
      <c r="O28" s="2">
        <v>3240</v>
      </c>
      <c r="P28" s="2">
        <v>30</v>
      </c>
      <c r="Q28" s="2" t="s">
        <v>30</v>
      </c>
      <c r="R28" s="2" t="s">
        <v>42</v>
      </c>
      <c r="S28" s="3">
        <v>45839</v>
      </c>
      <c r="T28" s="6">
        <v>4</v>
      </c>
    </row>
    <row r="29" spans="1:20" x14ac:dyDescent="0.3">
      <c r="A29" s="2" t="s">
        <v>180</v>
      </c>
      <c r="B29" s="3">
        <v>45638</v>
      </c>
      <c r="C29" s="2" t="s">
        <v>181</v>
      </c>
      <c r="D29" s="2" t="s">
        <v>182</v>
      </c>
      <c r="E29" s="2" t="s">
        <v>23</v>
      </c>
      <c r="F29" s="2">
        <v>51</v>
      </c>
      <c r="G29" s="2" t="s">
        <v>46</v>
      </c>
      <c r="H29" s="2" t="s">
        <v>25</v>
      </c>
      <c r="I29" s="2" t="s">
        <v>183</v>
      </c>
      <c r="J29" s="2" t="s">
        <v>184</v>
      </c>
      <c r="K29" s="2" t="s">
        <v>130</v>
      </c>
      <c r="L29" s="2" t="s">
        <v>185</v>
      </c>
      <c r="M29" s="2">
        <v>5</v>
      </c>
      <c r="N29" s="2">
        <v>13996.5</v>
      </c>
      <c r="O29" s="2">
        <v>15250</v>
      </c>
      <c r="P29" s="2">
        <v>30</v>
      </c>
      <c r="Q29" s="2" t="s">
        <v>41</v>
      </c>
      <c r="R29" s="2" t="s">
        <v>31</v>
      </c>
      <c r="S29" s="3">
        <v>45647</v>
      </c>
      <c r="T29" s="6">
        <v>2</v>
      </c>
    </row>
    <row r="30" spans="1:20" x14ac:dyDescent="0.3">
      <c r="A30" s="2" t="s">
        <v>186</v>
      </c>
      <c r="B30" s="3">
        <v>45924</v>
      </c>
      <c r="C30" s="2" t="s">
        <v>187</v>
      </c>
      <c r="D30" s="2" t="s">
        <v>188</v>
      </c>
      <c r="E30" s="2" t="s">
        <v>23</v>
      </c>
      <c r="F30" s="2">
        <v>54</v>
      </c>
      <c r="G30" s="2" t="s">
        <v>90</v>
      </c>
      <c r="H30" s="2" t="s">
        <v>91</v>
      </c>
      <c r="I30" s="2" t="s">
        <v>92</v>
      </c>
      <c r="J30" s="2" t="s">
        <v>93</v>
      </c>
      <c r="K30" s="2" t="s">
        <v>87</v>
      </c>
      <c r="L30" s="2" t="s">
        <v>94</v>
      </c>
      <c r="M30" s="2">
        <v>3</v>
      </c>
      <c r="N30" s="2">
        <v>4077.45</v>
      </c>
      <c r="O30" s="2">
        <v>2790</v>
      </c>
      <c r="P30" s="2">
        <v>15</v>
      </c>
      <c r="Q30" s="2" t="s">
        <v>73</v>
      </c>
      <c r="R30" s="2" t="s">
        <v>42</v>
      </c>
      <c r="S30" s="3">
        <v>45927</v>
      </c>
      <c r="T30" s="6">
        <v>3</v>
      </c>
    </row>
    <row r="31" spans="1:20" x14ac:dyDescent="0.3">
      <c r="A31" s="2" t="s">
        <v>189</v>
      </c>
      <c r="B31" s="3">
        <v>45746</v>
      </c>
      <c r="C31" s="2" t="s">
        <v>190</v>
      </c>
      <c r="D31" s="2" t="s">
        <v>191</v>
      </c>
      <c r="E31" s="2" t="s">
        <v>23</v>
      </c>
      <c r="F31" s="2">
        <v>45</v>
      </c>
      <c r="G31" s="2" t="s">
        <v>35</v>
      </c>
      <c r="H31" s="2" t="s">
        <v>36</v>
      </c>
      <c r="I31" s="2" t="s">
        <v>80</v>
      </c>
      <c r="J31" s="2" t="s">
        <v>81</v>
      </c>
      <c r="K31" s="2" t="s">
        <v>28</v>
      </c>
      <c r="L31" s="2" t="s">
        <v>29</v>
      </c>
      <c r="M31" s="2">
        <v>1</v>
      </c>
      <c r="N31" s="2">
        <v>599.25</v>
      </c>
      <c r="O31" s="2">
        <v>470</v>
      </c>
      <c r="P31" s="2">
        <v>25</v>
      </c>
      <c r="Q31" s="2" t="s">
        <v>73</v>
      </c>
      <c r="R31" s="2" t="s">
        <v>42</v>
      </c>
      <c r="S31" s="3">
        <v>45753</v>
      </c>
      <c r="T31" s="6">
        <v>4</v>
      </c>
    </row>
    <row r="32" spans="1:20" x14ac:dyDescent="0.3">
      <c r="A32" s="2" t="s">
        <v>192</v>
      </c>
      <c r="B32" s="3">
        <v>45733</v>
      </c>
      <c r="C32" s="2" t="s">
        <v>193</v>
      </c>
      <c r="D32" s="2" t="s">
        <v>194</v>
      </c>
      <c r="E32" s="2" t="s">
        <v>23</v>
      </c>
      <c r="F32" s="2">
        <v>19</v>
      </c>
      <c r="G32" s="2" t="s">
        <v>90</v>
      </c>
      <c r="H32" s="2" t="s">
        <v>91</v>
      </c>
      <c r="I32" s="2" t="s">
        <v>112</v>
      </c>
      <c r="J32" s="2" t="s">
        <v>113</v>
      </c>
      <c r="K32" s="2" t="s">
        <v>114</v>
      </c>
      <c r="L32" s="2" t="s">
        <v>115</v>
      </c>
      <c r="M32" s="2">
        <v>4</v>
      </c>
      <c r="N32" s="2">
        <v>2516.4</v>
      </c>
      <c r="O32" s="2">
        <v>1480</v>
      </c>
      <c r="P32" s="2">
        <v>10</v>
      </c>
      <c r="Q32" s="2" t="s">
        <v>30</v>
      </c>
      <c r="R32" s="2" t="s">
        <v>42</v>
      </c>
      <c r="S32" s="3">
        <v>45736</v>
      </c>
      <c r="T32" s="6">
        <v>5</v>
      </c>
    </row>
    <row r="33" spans="1:20" x14ac:dyDescent="0.3">
      <c r="A33" s="2" t="s">
        <v>195</v>
      </c>
      <c r="B33" s="3">
        <v>45926</v>
      </c>
      <c r="C33" s="2" t="s">
        <v>196</v>
      </c>
      <c r="D33" s="2" t="s">
        <v>197</v>
      </c>
      <c r="E33" s="2" t="s">
        <v>23</v>
      </c>
      <c r="F33" s="2">
        <v>22</v>
      </c>
      <c r="G33" s="2" t="s">
        <v>101</v>
      </c>
      <c r="H33" s="2" t="s">
        <v>102</v>
      </c>
      <c r="I33" s="2" t="s">
        <v>198</v>
      </c>
      <c r="J33" s="2" t="s">
        <v>199</v>
      </c>
      <c r="K33" s="2" t="s">
        <v>114</v>
      </c>
      <c r="L33" s="2" t="s">
        <v>200</v>
      </c>
      <c r="M33" s="2">
        <v>2</v>
      </c>
      <c r="N33" s="2">
        <v>2208.3000000000002</v>
      </c>
      <c r="O33" s="2">
        <v>1520</v>
      </c>
      <c r="P33" s="2">
        <v>15</v>
      </c>
      <c r="Q33" s="2" t="s">
        <v>103</v>
      </c>
      <c r="R33" s="2" t="s">
        <v>31</v>
      </c>
      <c r="S33" s="3">
        <v>45932</v>
      </c>
      <c r="T33" s="6">
        <v>5</v>
      </c>
    </row>
    <row r="34" spans="1:20" x14ac:dyDescent="0.3">
      <c r="A34" s="2" t="s">
        <v>201</v>
      </c>
      <c r="B34" s="3">
        <v>45553</v>
      </c>
      <c r="C34" s="2" t="s">
        <v>202</v>
      </c>
      <c r="D34" s="2" t="s">
        <v>203</v>
      </c>
      <c r="E34" s="2" t="s">
        <v>23</v>
      </c>
      <c r="F34" s="2">
        <v>45</v>
      </c>
      <c r="G34" s="2" t="s">
        <v>61</v>
      </c>
      <c r="H34" s="2" t="s">
        <v>62</v>
      </c>
      <c r="I34" s="2" t="s">
        <v>143</v>
      </c>
      <c r="J34" s="2" t="s">
        <v>144</v>
      </c>
      <c r="K34" s="2" t="s">
        <v>130</v>
      </c>
      <c r="L34" s="2" t="s">
        <v>131</v>
      </c>
      <c r="M34" s="2">
        <v>5</v>
      </c>
      <c r="N34" s="2">
        <v>24745.5</v>
      </c>
      <c r="O34" s="2">
        <v>21500</v>
      </c>
      <c r="P34" s="2">
        <v>10</v>
      </c>
      <c r="Q34" s="2" t="s">
        <v>73</v>
      </c>
      <c r="R34" s="2" t="s">
        <v>42</v>
      </c>
      <c r="S34" s="3">
        <v>45560</v>
      </c>
      <c r="T34" s="6">
        <v>4</v>
      </c>
    </row>
    <row r="35" spans="1:20" x14ac:dyDescent="0.3">
      <c r="A35" s="2" t="s">
        <v>204</v>
      </c>
      <c r="B35" s="3">
        <v>45946</v>
      </c>
      <c r="C35" s="2" t="s">
        <v>205</v>
      </c>
      <c r="D35" s="2" t="s">
        <v>206</v>
      </c>
      <c r="E35" s="2" t="s">
        <v>77</v>
      </c>
      <c r="F35" s="2">
        <v>26</v>
      </c>
      <c r="G35" s="2" t="s">
        <v>207</v>
      </c>
      <c r="H35" s="2" t="s">
        <v>36</v>
      </c>
      <c r="I35" s="2" t="s">
        <v>63</v>
      </c>
      <c r="J35" s="2" t="s">
        <v>64</v>
      </c>
      <c r="K35" s="2" t="s">
        <v>39</v>
      </c>
      <c r="L35" s="2" t="s">
        <v>40</v>
      </c>
      <c r="M35" s="2">
        <v>3</v>
      </c>
      <c r="N35" s="2">
        <v>1527.45</v>
      </c>
      <c r="O35" s="2">
        <v>990</v>
      </c>
      <c r="P35" s="2">
        <v>15</v>
      </c>
      <c r="Q35" s="2" t="s">
        <v>103</v>
      </c>
      <c r="R35" s="2" t="s">
        <v>57</v>
      </c>
      <c r="S35" s="3">
        <v>45955</v>
      </c>
      <c r="T35" s="6">
        <v>3</v>
      </c>
    </row>
    <row r="36" spans="1:20" x14ac:dyDescent="0.3">
      <c r="A36" s="2" t="s">
        <v>208</v>
      </c>
      <c r="B36" s="3">
        <v>45534</v>
      </c>
      <c r="C36" s="2" t="s">
        <v>209</v>
      </c>
      <c r="D36" s="2" t="s">
        <v>210</v>
      </c>
      <c r="E36" s="2" t="s">
        <v>23</v>
      </c>
      <c r="F36" s="2">
        <v>27</v>
      </c>
      <c r="G36" s="2" t="s">
        <v>211</v>
      </c>
      <c r="H36" s="2" t="s">
        <v>127</v>
      </c>
      <c r="I36" s="2" t="s">
        <v>198</v>
      </c>
      <c r="J36" s="2" t="s">
        <v>199</v>
      </c>
      <c r="K36" s="2" t="s">
        <v>114</v>
      </c>
      <c r="L36" s="2" t="s">
        <v>200</v>
      </c>
      <c r="M36" s="2">
        <v>3</v>
      </c>
      <c r="N36" s="2">
        <v>3117.6</v>
      </c>
      <c r="O36" s="2">
        <v>2280</v>
      </c>
      <c r="P36" s="2">
        <v>20</v>
      </c>
      <c r="Q36" s="2" t="s">
        <v>73</v>
      </c>
      <c r="R36" s="2" t="s">
        <v>57</v>
      </c>
      <c r="S36" s="3">
        <v>45546</v>
      </c>
      <c r="T36" s="6">
        <v>5</v>
      </c>
    </row>
    <row r="37" spans="1:20" x14ac:dyDescent="0.3">
      <c r="A37" s="2" t="s">
        <v>212</v>
      </c>
      <c r="B37" s="3">
        <v>45573</v>
      </c>
      <c r="C37" s="2" t="s">
        <v>202</v>
      </c>
      <c r="D37" s="2" t="s">
        <v>203</v>
      </c>
      <c r="E37" s="2" t="s">
        <v>23</v>
      </c>
      <c r="F37" s="2">
        <v>45</v>
      </c>
      <c r="G37" s="2" t="s">
        <v>213</v>
      </c>
      <c r="H37" s="2" t="s">
        <v>25</v>
      </c>
      <c r="I37" s="2" t="s">
        <v>155</v>
      </c>
      <c r="J37" s="2" t="s">
        <v>156</v>
      </c>
      <c r="K37" s="2" t="s">
        <v>114</v>
      </c>
      <c r="L37" s="2" t="s">
        <v>157</v>
      </c>
      <c r="M37" s="2">
        <v>4</v>
      </c>
      <c r="N37" s="2">
        <v>3196.8</v>
      </c>
      <c r="O37" s="2">
        <v>2440</v>
      </c>
      <c r="P37" s="2">
        <v>20</v>
      </c>
      <c r="Q37" s="2" t="s">
        <v>30</v>
      </c>
      <c r="R37" s="2" t="s">
        <v>65</v>
      </c>
      <c r="S37" s="3" t="s">
        <v>1604</v>
      </c>
      <c r="T37" s="6" t="s">
        <v>1604</v>
      </c>
    </row>
    <row r="38" spans="1:20" x14ac:dyDescent="0.3">
      <c r="A38" s="2" t="s">
        <v>214</v>
      </c>
      <c r="B38" s="3">
        <v>45652</v>
      </c>
      <c r="C38" s="2" t="s">
        <v>215</v>
      </c>
      <c r="D38" s="2" t="s">
        <v>147</v>
      </c>
      <c r="E38" s="2" t="s">
        <v>23</v>
      </c>
      <c r="F38" s="2">
        <v>33</v>
      </c>
      <c r="G38" s="2" t="s">
        <v>154</v>
      </c>
      <c r="H38" s="2" t="s">
        <v>91</v>
      </c>
      <c r="I38" s="2" t="s">
        <v>155</v>
      </c>
      <c r="J38" s="2" t="s">
        <v>156</v>
      </c>
      <c r="K38" s="2" t="s">
        <v>114</v>
      </c>
      <c r="L38" s="2" t="s">
        <v>157</v>
      </c>
      <c r="M38" s="2">
        <v>3</v>
      </c>
      <c r="N38" s="2">
        <v>2697.3</v>
      </c>
      <c r="O38" s="2">
        <v>1830</v>
      </c>
      <c r="P38" s="2">
        <v>10</v>
      </c>
      <c r="Q38" s="2" t="s">
        <v>73</v>
      </c>
      <c r="R38" s="2" t="s">
        <v>31</v>
      </c>
      <c r="S38" s="3">
        <v>45664</v>
      </c>
      <c r="T38" s="6">
        <v>2</v>
      </c>
    </row>
    <row r="39" spans="1:20" x14ac:dyDescent="0.3">
      <c r="A39" s="2" t="s">
        <v>216</v>
      </c>
      <c r="B39" s="3">
        <v>45608</v>
      </c>
      <c r="C39" s="2" t="s">
        <v>217</v>
      </c>
      <c r="D39" s="2" t="s">
        <v>218</v>
      </c>
      <c r="E39" s="2" t="s">
        <v>77</v>
      </c>
      <c r="F39" s="2">
        <v>18</v>
      </c>
      <c r="G39" s="2" t="s">
        <v>24</v>
      </c>
      <c r="H39" s="2" t="s">
        <v>25</v>
      </c>
      <c r="I39" s="2" t="s">
        <v>198</v>
      </c>
      <c r="J39" s="2" t="s">
        <v>199</v>
      </c>
      <c r="K39" s="2" t="s">
        <v>114</v>
      </c>
      <c r="L39" s="2" t="s">
        <v>200</v>
      </c>
      <c r="M39" s="2">
        <v>3</v>
      </c>
      <c r="N39" s="2">
        <v>3507.3</v>
      </c>
      <c r="O39" s="2">
        <v>2280</v>
      </c>
      <c r="P39" s="2">
        <v>10</v>
      </c>
      <c r="Q39" s="2" t="s">
        <v>73</v>
      </c>
      <c r="R39" s="2" t="s">
        <v>42</v>
      </c>
      <c r="S39" s="3">
        <v>45615</v>
      </c>
      <c r="T39" s="6">
        <v>5</v>
      </c>
    </row>
    <row r="40" spans="1:20" x14ac:dyDescent="0.3">
      <c r="A40" s="2" t="s">
        <v>219</v>
      </c>
      <c r="B40" s="3">
        <v>45471</v>
      </c>
      <c r="C40" s="2" t="s">
        <v>220</v>
      </c>
      <c r="D40" s="2" t="s">
        <v>221</v>
      </c>
      <c r="E40" s="2" t="s">
        <v>23</v>
      </c>
      <c r="F40" s="2">
        <v>53</v>
      </c>
      <c r="G40" s="2" t="s">
        <v>173</v>
      </c>
      <c r="H40" s="2" t="s">
        <v>79</v>
      </c>
      <c r="I40" s="2" t="s">
        <v>222</v>
      </c>
      <c r="J40" s="2" t="s">
        <v>223</v>
      </c>
      <c r="K40" s="2" t="s">
        <v>114</v>
      </c>
      <c r="L40" s="2" t="s">
        <v>115</v>
      </c>
      <c r="M40" s="2">
        <v>3</v>
      </c>
      <c r="N40" s="2">
        <v>2157.6</v>
      </c>
      <c r="O40" s="2">
        <v>1530</v>
      </c>
      <c r="P40" s="2">
        <v>20</v>
      </c>
      <c r="Q40" s="2" t="s">
        <v>30</v>
      </c>
      <c r="R40" s="2" t="s">
        <v>42</v>
      </c>
      <c r="S40" s="3">
        <v>45480</v>
      </c>
      <c r="T40" s="6">
        <v>4</v>
      </c>
    </row>
    <row r="41" spans="1:20" x14ac:dyDescent="0.3">
      <c r="A41" s="2" t="s">
        <v>224</v>
      </c>
      <c r="B41" s="3">
        <v>45638</v>
      </c>
      <c r="C41" s="2" t="s">
        <v>44</v>
      </c>
      <c r="D41" s="2" t="s">
        <v>45</v>
      </c>
      <c r="E41" s="2" t="s">
        <v>23</v>
      </c>
      <c r="F41" s="2">
        <v>41</v>
      </c>
      <c r="G41" s="2" t="s">
        <v>61</v>
      </c>
      <c r="H41" s="2" t="s">
        <v>62</v>
      </c>
      <c r="I41" s="2" t="s">
        <v>54</v>
      </c>
      <c r="J41" s="2" t="s">
        <v>55</v>
      </c>
      <c r="K41" s="2" t="s">
        <v>28</v>
      </c>
      <c r="L41" s="2" t="s">
        <v>56</v>
      </c>
      <c r="M41" s="2">
        <v>2</v>
      </c>
      <c r="N41" s="2">
        <v>1188.3</v>
      </c>
      <c r="O41" s="2">
        <v>820</v>
      </c>
      <c r="P41" s="2">
        <v>15</v>
      </c>
      <c r="Q41" s="2" t="s">
        <v>103</v>
      </c>
      <c r="R41" s="2" t="s">
        <v>57</v>
      </c>
      <c r="S41" s="3">
        <v>45648</v>
      </c>
      <c r="T41" s="6">
        <v>4</v>
      </c>
    </row>
    <row r="42" spans="1:20" x14ac:dyDescent="0.3">
      <c r="A42" s="2" t="s">
        <v>225</v>
      </c>
      <c r="B42" s="3">
        <v>45384</v>
      </c>
      <c r="C42" s="2" t="s">
        <v>226</v>
      </c>
      <c r="D42" s="2" t="s">
        <v>227</v>
      </c>
      <c r="E42" s="2" t="s">
        <v>23</v>
      </c>
      <c r="F42" s="2">
        <v>32</v>
      </c>
      <c r="G42" s="2" t="s">
        <v>161</v>
      </c>
      <c r="H42" s="2" t="s">
        <v>25</v>
      </c>
      <c r="I42" s="2" t="s">
        <v>128</v>
      </c>
      <c r="J42" s="2" t="s">
        <v>129</v>
      </c>
      <c r="K42" s="2" t="s">
        <v>130</v>
      </c>
      <c r="L42" s="2" t="s">
        <v>131</v>
      </c>
      <c r="M42" s="2">
        <v>5</v>
      </c>
      <c r="N42" s="2">
        <v>30870.25</v>
      </c>
      <c r="O42" s="2">
        <v>25500</v>
      </c>
      <c r="P42" s="2">
        <v>5</v>
      </c>
      <c r="Q42" s="2" t="s">
        <v>103</v>
      </c>
      <c r="R42" s="2" t="s">
        <v>42</v>
      </c>
      <c r="S42" s="3">
        <v>45396</v>
      </c>
      <c r="T42" s="6">
        <v>4</v>
      </c>
    </row>
    <row r="43" spans="1:20" x14ac:dyDescent="0.3">
      <c r="A43" s="2" t="s">
        <v>228</v>
      </c>
      <c r="B43" s="3">
        <v>45890</v>
      </c>
      <c r="C43" s="2" t="s">
        <v>209</v>
      </c>
      <c r="D43" s="2" t="s">
        <v>210</v>
      </c>
      <c r="E43" s="2" t="s">
        <v>23</v>
      </c>
      <c r="F43" s="2">
        <v>27</v>
      </c>
      <c r="G43" s="2" t="s">
        <v>211</v>
      </c>
      <c r="H43" s="2" t="s">
        <v>127</v>
      </c>
      <c r="I43" s="2" t="s">
        <v>229</v>
      </c>
      <c r="J43" s="2" t="s">
        <v>230</v>
      </c>
      <c r="K43" s="2" t="s">
        <v>28</v>
      </c>
      <c r="L43" s="2" t="s">
        <v>231</v>
      </c>
      <c r="M43" s="2">
        <v>2</v>
      </c>
      <c r="N43" s="2">
        <v>2398.8000000000002</v>
      </c>
      <c r="O43" s="2">
        <v>2460</v>
      </c>
      <c r="P43" s="2">
        <v>40</v>
      </c>
      <c r="Q43" s="2" t="s">
        <v>73</v>
      </c>
      <c r="R43" s="2" t="s">
        <v>65</v>
      </c>
      <c r="S43" s="3" t="s">
        <v>1604</v>
      </c>
      <c r="T43" s="6" t="s">
        <v>1604</v>
      </c>
    </row>
    <row r="44" spans="1:20" x14ac:dyDescent="0.3">
      <c r="A44" s="2" t="s">
        <v>232</v>
      </c>
      <c r="B44" s="3">
        <v>45866</v>
      </c>
      <c r="C44" s="2" t="s">
        <v>233</v>
      </c>
      <c r="D44" s="2" t="s">
        <v>118</v>
      </c>
      <c r="E44" s="2" t="s">
        <v>23</v>
      </c>
      <c r="F44" s="2">
        <v>34</v>
      </c>
      <c r="G44" s="2" t="s">
        <v>90</v>
      </c>
      <c r="H44" s="2" t="s">
        <v>91</v>
      </c>
      <c r="I44" s="2" t="s">
        <v>92</v>
      </c>
      <c r="J44" s="2" t="s">
        <v>93</v>
      </c>
      <c r="K44" s="2" t="s">
        <v>87</v>
      </c>
      <c r="L44" s="2" t="s">
        <v>94</v>
      </c>
      <c r="M44" s="2">
        <v>1</v>
      </c>
      <c r="N44" s="2">
        <v>959.4</v>
      </c>
      <c r="O44" s="2">
        <v>930</v>
      </c>
      <c r="P44" s="2">
        <v>40</v>
      </c>
      <c r="Q44" s="2" t="s">
        <v>41</v>
      </c>
      <c r="R44" s="2" t="s">
        <v>31</v>
      </c>
      <c r="S44" s="3">
        <v>45874</v>
      </c>
      <c r="T44" s="6">
        <v>3</v>
      </c>
    </row>
    <row r="45" spans="1:20" x14ac:dyDescent="0.3">
      <c r="A45" s="2" t="s">
        <v>234</v>
      </c>
      <c r="B45" s="3">
        <v>45435</v>
      </c>
      <c r="C45" s="2" t="s">
        <v>235</v>
      </c>
      <c r="D45" s="2" t="s">
        <v>227</v>
      </c>
      <c r="E45" s="2" t="s">
        <v>23</v>
      </c>
      <c r="F45" s="2">
        <v>35</v>
      </c>
      <c r="G45" s="2" t="s">
        <v>24</v>
      </c>
      <c r="H45" s="2" t="s">
        <v>25</v>
      </c>
      <c r="I45" s="2" t="s">
        <v>143</v>
      </c>
      <c r="J45" s="2" t="s">
        <v>144</v>
      </c>
      <c r="K45" s="2" t="s">
        <v>130</v>
      </c>
      <c r="L45" s="2" t="s">
        <v>131</v>
      </c>
      <c r="M45" s="2">
        <v>4</v>
      </c>
      <c r="N45" s="2">
        <v>20896.2</v>
      </c>
      <c r="O45" s="2">
        <v>17200</v>
      </c>
      <c r="P45" s="2">
        <v>5</v>
      </c>
      <c r="Q45" s="2" t="s">
        <v>73</v>
      </c>
      <c r="R45" s="2" t="s">
        <v>42</v>
      </c>
      <c r="S45" s="3">
        <v>45445</v>
      </c>
      <c r="T45" s="6">
        <v>3</v>
      </c>
    </row>
    <row r="46" spans="1:20" x14ac:dyDescent="0.3">
      <c r="A46" s="2" t="s">
        <v>236</v>
      </c>
      <c r="B46" s="3">
        <v>45689</v>
      </c>
      <c r="C46" s="2" t="s">
        <v>237</v>
      </c>
      <c r="D46" s="2" t="s">
        <v>238</v>
      </c>
      <c r="E46" s="2" t="s">
        <v>23</v>
      </c>
      <c r="F46" s="2">
        <v>47</v>
      </c>
      <c r="G46" s="2" t="s">
        <v>211</v>
      </c>
      <c r="H46" s="2" t="s">
        <v>127</v>
      </c>
      <c r="I46" s="2" t="s">
        <v>107</v>
      </c>
      <c r="J46" s="2" t="s">
        <v>108</v>
      </c>
      <c r="K46" s="2" t="s">
        <v>87</v>
      </c>
      <c r="L46" s="2" t="s">
        <v>88</v>
      </c>
      <c r="M46" s="2">
        <v>5</v>
      </c>
      <c r="N46" s="2">
        <v>2796.5</v>
      </c>
      <c r="O46" s="2">
        <v>2100</v>
      </c>
      <c r="P46" s="2">
        <v>30</v>
      </c>
      <c r="Q46" s="2" t="s">
        <v>50</v>
      </c>
      <c r="R46" s="2" t="s">
        <v>31</v>
      </c>
      <c r="S46" s="3">
        <v>45693</v>
      </c>
      <c r="T46" s="6">
        <v>5</v>
      </c>
    </row>
    <row r="47" spans="1:20" x14ac:dyDescent="0.3">
      <c r="A47" s="2" t="s">
        <v>239</v>
      </c>
      <c r="B47" s="3">
        <v>45962</v>
      </c>
      <c r="C47" s="2" t="s">
        <v>240</v>
      </c>
      <c r="D47" s="2" t="s">
        <v>241</v>
      </c>
      <c r="E47" s="2" t="s">
        <v>23</v>
      </c>
      <c r="F47" s="2">
        <v>25</v>
      </c>
      <c r="G47" s="2" t="s">
        <v>101</v>
      </c>
      <c r="H47" s="2" t="s">
        <v>102</v>
      </c>
      <c r="I47" s="2" t="s">
        <v>155</v>
      </c>
      <c r="J47" s="2" t="s">
        <v>156</v>
      </c>
      <c r="K47" s="2" t="s">
        <v>114</v>
      </c>
      <c r="L47" s="2" t="s">
        <v>157</v>
      </c>
      <c r="M47" s="2">
        <v>4</v>
      </c>
      <c r="N47" s="2">
        <v>3196.8</v>
      </c>
      <c r="O47" s="2">
        <v>2440</v>
      </c>
      <c r="P47" s="2">
        <v>20</v>
      </c>
      <c r="Q47" s="2" t="s">
        <v>73</v>
      </c>
      <c r="R47" s="2" t="s">
        <v>31</v>
      </c>
      <c r="S47" s="3">
        <v>45969</v>
      </c>
      <c r="T47" s="6">
        <v>4</v>
      </c>
    </row>
    <row r="48" spans="1:20" x14ac:dyDescent="0.3">
      <c r="A48" s="2" t="s">
        <v>242</v>
      </c>
      <c r="B48" s="3">
        <v>45746</v>
      </c>
      <c r="C48" s="2" t="s">
        <v>243</v>
      </c>
      <c r="D48" s="2" t="s">
        <v>244</v>
      </c>
      <c r="E48" s="2" t="s">
        <v>77</v>
      </c>
      <c r="F48" s="2">
        <v>52</v>
      </c>
      <c r="G48" s="2" t="s">
        <v>90</v>
      </c>
      <c r="H48" s="2" t="s">
        <v>91</v>
      </c>
      <c r="I48" s="2" t="s">
        <v>245</v>
      </c>
      <c r="J48" s="2" t="s">
        <v>246</v>
      </c>
      <c r="K48" s="2" t="s">
        <v>130</v>
      </c>
      <c r="L48" s="2" t="s">
        <v>247</v>
      </c>
      <c r="M48" s="2">
        <v>1</v>
      </c>
      <c r="N48" s="2">
        <v>1874.25</v>
      </c>
      <c r="O48" s="2">
        <v>1870</v>
      </c>
      <c r="P48" s="2">
        <v>25</v>
      </c>
      <c r="Q48" s="2" t="s">
        <v>50</v>
      </c>
      <c r="R48" s="2" t="s">
        <v>31</v>
      </c>
      <c r="S48" s="3">
        <v>45753</v>
      </c>
      <c r="T48" s="6">
        <v>2</v>
      </c>
    </row>
    <row r="49" spans="1:20" x14ac:dyDescent="0.3">
      <c r="A49" s="2" t="s">
        <v>248</v>
      </c>
      <c r="B49" s="3">
        <v>45699</v>
      </c>
      <c r="C49" s="2" t="s">
        <v>249</v>
      </c>
      <c r="D49" s="2" t="s">
        <v>250</v>
      </c>
      <c r="E49" s="2" t="s">
        <v>23</v>
      </c>
      <c r="F49" s="2">
        <v>34</v>
      </c>
      <c r="G49" s="2" t="s">
        <v>154</v>
      </c>
      <c r="H49" s="2" t="s">
        <v>91</v>
      </c>
      <c r="I49" s="2" t="s">
        <v>229</v>
      </c>
      <c r="J49" s="2" t="s">
        <v>230</v>
      </c>
      <c r="K49" s="2" t="s">
        <v>28</v>
      </c>
      <c r="L49" s="2" t="s">
        <v>231</v>
      </c>
      <c r="M49" s="2">
        <v>4</v>
      </c>
      <c r="N49" s="2">
        <v>7596.2</v>
      </c>
      <c r="O49" s="2">
        <v>4920</v>
      </c>
      <c r="P49" s="2">
        <v>5</v>
      </c>
      <c r="Q49" s="2" t="s">
        <v>30</v>
      </c>
      <c r="R49" s="2" t="s">
        <v>31</v>
      </c>
      <c r="S49" s="3">
        <v>45711</v>
      </c>
      <c r="T49" s="6">
        <v>2</v>
      </c>
    </row>
    <row r="50" spans="1:20" x14ac:dyDescent="0.3">
      <c r="A50" s="2" t="s">
        <v>251</v>
      </c>
      <c r="B50" s="3">
        <v>45343</v>
      </c>
      <c r="C50" s="2" t="s">
        <v>163</v>
      </c>
      <c r="D50" s="2" t="s">
        <v>164</v>
      </c>
      <c r="E50" s="2" t="s">
        <v>77</v>
      </c>
      <c r="F50" s="2">
        <v>50</v>
      </c>
      <c r="G50" s="2" t="s">
        <v>90</v>
      </c>
      <c r="H50" s="2" t="s">
        <v>91</v>
      </c>
      <c r="I50" s="2" t="s">
        <v>252</v>
      </c>
      <c r="J50" s="2" t="s">
        <v>253</v>
      </c>
      <c r="K50" s="2" t="s">
        <v>28</v>
      </c>
      <c r="L50" s="2" t="s">
        <v>254</v>
      </c>
      <c r="M50" s="2">
        <v>5</v>
      </c>
      <c r="N50" s="2">
        <v>12745.75</v>
      </c>
      <c r="O50" s="2">
        <v>9500</v>
      </c>
      <c r="P50" s="2">
        <v>15</v>
      </c>
      <c r="Q50" s="2" t="s">
        <v>73</v>
      </c>
      <c r="R50" s="2" t="s">
        <v>57</v>
      </c>
      <c r="S50" s="3">
        <v>45353</v>
      </c>
      <c r="T50" s="6">
        <v>4</v>
      </c>
    </row>
    <row r="51" spans="1:20" x14ac:dyDescent="0.3">
      <c r="A51" s="2" t="s">
        <v>255</v>
      </c>
      <c r="B51" s="3">
        <v>45892</v>
      </c>
      <c r="C51" s="2" t="s">
        <v>256</v>
      </c>
      <c r="D51" s="2" t="s">
        <v>257</v>
      </c>
      <c r="E51" s="2" t="s">
        <v>23</v>
      </c>
      <c r="F51" s="2">
        <v>23</v>
      </c>
      <c r="G51" s="2" t="s">
        <v>90</v>
      </c>
      <c r="H51" s="2" t="s">
        <v>91</v>
      </c>
      <c r="I51" s="2" t="s">
        <v>183</v>
      </c>
      <c r="J51" s="2" t="s">
        <v>184</v>
      </c>
      <c r="K51" s="2" t="s">
        <v>130</v>
      </c>
      <c r="L51" s="2" t="s">
        <v>185</v>
      </c>
      <c r="M51" s="2">
        <v>2</v>
      </c>
      <c r="N51" s="2">
        <v>7998</v>
      </c>
      <c r="O51" s="2">
        <v>6100</v>
      </c>
      <c r="P51" s="2">
        <v>0</v>
      </c>
      <c r="Q51" s="2" t="s">
        <v>41</v>
      </c>
      <c r="R51" s="2" t="s">
        <v>57</v>
      </c>
      <c r="S51" s="3">
        <v>45896</v>
      </c>
      <c r="T51" s="6">
        <v>3</v>
      </c>
    </row>
    <row r="52" spans="1:20" x14ac:dyDescent="0.3">
      <c r="A52" s="2" t="s">
        <v>258</v>
      </c>
      <c r="B52" s="3">
        <v>45845</v>
      </c>
      <c r="C52" s="2" t="s">
        <v>259</v>
      </c>
      <c r="D52" s="2" t="s">
        <v>260</v>
      </c>
      <c r="E52" s="2" t="s">
        <v>77</v>
      </c>
      <c r="F52" s="2">
        <v>37</v>
      </c>
      <c r="G52" s="2" t="s">
        <v>78</v>
      </c>
      <c r="H52" s="2" t="s">
        <v>79</v>
      </c>
      <c r="I52" s="2" t="s">
        <v>229</v>
      </c>
      <c r="J52" s="2" t="s">
        <v>230</v>
      </c>
      <c r="K52" s="2" t="s">
        <v>28</v>
      </c>
      <c r="L52" s="2" t="s">
        <v>231</v>
      </c>
      <c r="M52" s="2">
        <v>1</v>
      </c>
      <c r="N52" s="2">
        <v>1799.1</v>
      </c>
      <c r="O52" s="2">
        <v>1230</v>
      </c>
      <c r="P52" s="2">
        <v>10</v>
      </c>
      <c r="Q52" s="2" t="s">
        <v>73</v>
      </c>
      <c r="R52" s="2" t="s">
        <v>42</v>
      </c>
      <c r="S52" s="3">
        <v>45850</v>
      </c>
      <c r="T52" s="6">
        <v>4</v>
      </c>
    </row>
    <row r="53" spans="1:20" x14ac:dyDescent="0.3">
      <c r="A53" s="2" t="s">
        <v>261</v>
      </c>
      <c r="B53" s="3">
        <v>45308</v>
      </c>
      <c r="C53" s="2" t="s">
        <v>110</v>
      </c>
      <c r="D53" s="2" t="s">
        <v>111</v>
      </c>
      <c r="E53" s="2" t="s">
        <v>23</v>
      </c>
      <c r="F53" s="2">
        <v>39</v>
      </c>
      <c r="G53" s="2" t="s">
        <v>207</v>
      </c>
      <c r="H53" s="2" t="s">
        <v>36</v>
      </c>
      <c r="I53" s="2" t="s">
        <v>26</v>
      </c>
      <c r="J53" s="2" t="s">
        <v>27</v>
      </c>
      <c r="K53" s="2" t="s">
        <v>28</v>
      </c>
      <c r="L53" s="2" t="s">
        <v>29</v>
      </c>
      <c r="M53" s="2">
        <v>2</v>
      </c>
      <c r="N53" s="2">
        <v>1818.6</v>
      </c>
      <c r="O53" s="2">
        <v>1580</v>
      </c>
      <c r="P53" s="2">
        <v>30</v>
      </c>
      <c r="Q53" s="2" t="s">
        <v>50</v>
      </c>
      <c r="R53" s="2" t="s">
        <v>42</v>
      </c>
      <c r="S53" s="3">
        <v>45311</v>
      </c>
      <c r="T53" s="6">
        <v>5</v>
      </c>
    </row>
    <row r="54" spans="1:20" x14ac:dyDescent="0.3">
      <c r="A54" s="2" t="s">
        <v>262</v>
      </c>
      <c r="B54" s="3">
        <v>45751</v>
      </c>
      <c r="C54" s="2" t="s">
        <v>263</v>
      </c>
      <c r="D54" s="2" t="s">
        <v>264</v>
      </c>
      <c r="E54" s="2" t="s">
        <v>77</v>
      </c>
      <c r="F54" s="2">
        <v>18</v>
      </c>
      <c r="G54" s="2" t="s">
        <v>69</v>
      </c>
      <c r="H54" s="2" t="s">
        <v>69</v>
      </c>
      <c r="I54" s="2" t="s">
        <v>63</v>
      </c>
      <c r="J54" s="2" t="s">
        <v>64</v>
      </c>
      <c r="K54" s="2" t="s">
        <v>39</v>
      </c>
      <c r="L54" s="2" t="s">
        <v>40</v>
      </c>
      <c r="M54" s="2">
        <v>5</v>
      </c>
      <c r="N54" s="2">
        <v>2545.75</v>
      </c>
      <c r="O54" s="2">
        <v>1650</v>
      </c>
      <c r="P54" s="2">
        <v>15</v>
      </c>
      <c r="Q54" s="2" t="s">
        <v>50</v>
      </c>
      <c r="R54" s="2" t="s">
        <v>42</v>
      </c>
      <c r="S54" s="3">
        <v>45763</v>
      </c>
      <c r="T54" s="6">
        <v>4</v>
      </c>
    </row>
    <row r="55" spans="1:20" x14ac:dyDescent="0.3">
      <c r="A55" s="2" t="s">
        <v>265</v>
      </c>
      <c r="B55" s="3">
        <v>45761</v>
      </c>
      <c r="C55" s="2" t="s">
        <v>266</v>
      </c>
      <c r="D55" s="2" t="s">
        <v>267</v>
      </c>
      <c r="E55" s="2" t="s">
        <v>77</v>
      </c>
      <c r="F55" s="2">
        <v>56</v>
      </c>
      <c r="G55" s="2" t="s">
        <v>24</v>
      </c>
      <c r="H55" s="2" t="s">
        <v>25</v>
      </c>
      <c r="I55" s="2" t="s">
        <v>37</v>
      </c>
      <c r="J55" s="2" t="s">
        <v>38</v>
      </c>
      <c r="K55" s="2" t="s">
        <v>39</v>
      </c>
      <c r="L55" s="2" t="s">
        <v>40</v>
      </c>
      <c r="M55" s="2">
        <v>4</v>
      </c>
      <c r="N55" s="2">
        <v>2517.1999999999998</v>
      </c>
      <c r="O55" s="2">
        <v>2080</v>
      </c>
      <c r="P55" s="2">
        <v>30</v>
      </c>
      <c r="Q55" s="2" t="s">
        <v>73</v>
      </c>
      <c r="R55" s="2" t="s">
        <v>42</v>
      </c>
      <c r="S55" s="3">
        <v>45770</v>
      </c>
      <c r="T55" s="6">
        <v>3</v>
      </c>
    </row>
    <row r="56" spans="1:20" x14ac:dyDescent="0.3">
      <c r="A56" s="2" t="s">
        <v>268</v>
      </c>
      <c r="B56" s="3">
        <v>45374</v>
      </c>
      <c r="C56" s="2" t="s">
        <v>269</v>
      </c>
      <c r="D56" s="2" t="s">
        <v>270</v>
      </c>
      <c r="E56" s="2" t="s">
        <v>77</v>
      </c>
      <c r="F56" s="2">
        <v>43</v>
      </c>
      <c r="G56" s="2" t="s">
        <v>173</v>
      </c>
      <c r="H56" s="2" t="s">
        <v>79</v>
      </c>
      <c r="I56" s="2" t="s">
        <v>54</v>
      </c>
      <c r="J56" s="2" t="s">
        <v>55</v>
      </c>
      <c r="K56" s="2" t="s">
        <v>28</v>
      </c>
      <c r="L56" s="2" t="s">
        <v>56</v>
      </c>
      <c r="M56" s="2">
        <v>2</v>
      </c>
      <c r="N56" s="2">
        <v>1118.4000000000001</v>
      </c>
      <c r="O56" s="2">
        <v>820</v>
      </c>
      <c r="P56" s="2">
        <v>20</v>
      </c>
      <c r="Q56" s="2" t="s">
        <v>50</v>
      </c>
      <c r="R56" s="2" t="s">
        <v>31</v>
      </c>
      <c r="S56" s="3">
        <v>45385</v>
      </c>
      <c r="T56" s="6">
        <v>4</v>
      </c>
    </row>
    <row r="57" spans="1:20" x14ac:dyDescent="0.3">
      <c r="A57" s="2" t="s">
        <v>271</v>
      </c>
      <c r="B57" s="3">
        <v>45682</v>
      </c>
      <c r="C57" s="2" t="s">
        <v>272</v>
      </c>
      <c r="D57" s="2" t="s">
        <v>273</v>
      </c>
      <c r="E57" s="2" t="s">
        <v>23</v>
      </c>
      <c r="F57" s="2">
        <v>46</v>
      </c>
      <c r="G57" s="2" t="s">
        <v>1604</v>
      </c>
      <c r="H57" s="2" t="s">
        <v>36</v>
      </c>
      <c r="I57" s="2" t="s">
        <v>63</v>
      </c>
      <c r="J57" s="2" t="s">
        <v>64</v>
      </c>
      <c r="K57" s="2" t="s">
        <v>39</v>
      </c>
      <c r="L57" s="2" t="s">
        <v>40</v>
      </c>
      <c r="M57" s="2">
        <v>5</v>
      </c>
      <c r="N57" s="2">
        <v>2096.5</v>
      </c>
      <c r="O57" s="2">
        <v>1650</v>
      </c>
      <c r="P57" s="2">
        <v>30</v>
      </c>
      <c r="Q57" s="2" t="s">
        <v>73</v>
      </c>
      <c r="R57" s="2" t="s">
        <v>57</v>
      </c>
      <c r="S57" s="3">
        <v>45685</v>
      </c>
      <c r="T57" s="6">
        <v>4</v>
      </c>
    </row>
    <row r="58" spans="1:20" x14ac:dyDescent="0.3">
      <c r="A58" s="2" t="s">
        <v>274</v>
      </c>
      <c r="B58" s="3">
        <v>45732</v>
      </c>
      <c r="C58" s="2" t="s">
        <v>275</v>
      </c>
      <c r="D58" s="2" t="s">
        <v>276</v>
      </c>
      <c r="E58" s="2" t="s">
        <v>77</v>
      </c>
      <c r="F58" s="2">
        <v>43</v>
      </c>
      <c r="G58" s="2" t="s">
        <v>90</v>
      </c>
      <c r="H58" s="2" t="s">
        <v>91</v>
      </c>
      <c r="I58" s="2" t="s">
        <v>134</v>
      </c>
      <c r="J58" s="2" t="s">
        <v>135</v>
      </c>
      <c r="K58" s="2" t="s">
        <v>39</v>
      </c>
      <c r="L58" s="2" t="s">
        <v>136</v>
      </c>
      <c r="M58" s="2">
        <v>3</v>
      </c>
      <c r="N58" s="2">
        <v>358.2</v>
      </c>
      <c r="O58" s="2">
        <v>270</v>
      </c>
      <c r="P58" s="2">
        <v>40</v>
      </c>
      <c r="Q58" s="2" t="s">
        <v>103</v>
      </c>
      <c r="R58" s="2" t="s">
        <v>42</v>
      </c>
      <c r="S58" s="3">
        <v>45735</v>
      </c>
      <c r="T58" s="6">
        <v>4</v>
      </c>
    </row>
    <row r="59" spans="1:20" x14ac:dyDescent="0.3">
      <c r="A59" s="2" t="s">
        <v>277</v>
      </c>
      <c r="B59" s="3">
        <v>45729</v>
      </c>
      <c r="C59" s="2" t="s">
        <v>278</v>
      </c>
      <c r="D59" s="2" t="s">
        <v>139</v>
      </c>
      <c r="E59" s="2" t="s">
        <v>77</v>
      </c>
      <c r="F59" s="2">
        <v>32</v>
      </c>
      <c r="G59" s="2" t="s">
        <v>207</v>
      </c>
      <c r="H59" s="2" t="s">
        <v>36</v>
      </c>
      <c r="I59" s="2" t="s">
        <v>245</v>
      </c>
      <c r="J59" s="2" t="s">
        <v>246</v>
      </c>
      <c r="K59" s="2" t="s">
        <v>130</v>
      </c>
      <c r="L59" s="2" t="s">
        <v>247</v>
      </c>
      <c r="M59" s="2">
        <v>2</v>
      </c>
      <c r="N59" s="2">
        <v>2998.8</v>
      </c>
      <c r="O59" s="2">
        <v>3740</v>
      </c>
      <c r="P59" s="2">
        <v>40</v>
      </c>
      <c r="Q59" s="2" t="s">
        <v>73</v>
      </c>
      <c r="R59" s="2" t="s">
        <v>42</v>
      </c>
      <c r="S59" s="3">
        <v>45732</v>
      </c>
      <c r="T59" s="6">
        <v>3</v>
      </c>
    </row>
    <row r="60" spans="1:20" x14ac:dyDescent="0.3">
      <c r="A60" s="2" t="s">
        <v>279</v>
      </c>
      <c r="B60" s="3">
        <v>45734</v>
      </c>
      <c r="C60" s="2" t="s">
        <v>280</v>
      </c>
      <c r="D60" s="2" t="s">
        <v>281</v>
      </c>
      <c r="E60" s="2" t="s">
        <v>77</v>
      </c>
      <c r="F60" s="2">
        <v>53</v>
      </c>
      <c r="G60" s="2" t="s">
        <v>211</v>
      </c>
      <c r="H60" s="2" t="s">
        <v>127</v>
      </c>
      <c r="I60" s="2" t="s">
        <v>252</v>
      </c>
      <c r="J60" s="2" t="s">
        <v>253</v>
      </c>
      <c r="K60" s="2" t="s">
        <v>28</v>
      </c>
      <c r="L60" s="2" t="s">
        <v>254</v>
      </c>
      <c r="M60" s="2">
        <v>5</v>
      </c>
      <c r="N60" s="2">
        <v>14995</v>
      </c>
      <c r="O60" s="2">
        <v>9500</v>
      </c>
      <c r="P60" s="2">
        <v>0</v>
      </c>
      <c r="Q60" s="2" t="s">
        <v>50</v>
      </c>
      <c r="R60" s="2" t="s">
        <v>65</v>
      </c>
      <c r="S60" s="3" t="s">
        <v>1604</v>
      </c>
      <c r="T60" s="6" t="s">
        <v>1604</v>
      </c>
    </row>
    <row r="61" spans="1:20" x14ac:dyDescent="0.3">
      <c r="A61" s="2" t="s">
        <v>282</v>
      </c>
      <c r="B61" s="3">
        <v>45867</v>
      </c>
      <c r="C61" s="2" t="s">
        <v>120</v>
      </c>
      <c r="D61" s="2" t="s">
        <v>121</v>
      </c>
      <c r="E61" s="2" t="s">
        <v>23</v>
      </c>
      <c r="F61" s="2">
        <v>56</v>
      </c>
      <c r="G61" s="2" t="s">
        <v>69</v>
      </c>
      <c r="H61" s="2" t="s">
        <v>69</v>
      </c>
      <c r="I61" s="2" t="s">
        <v>134</v>
      </c>
      <c r="J61" s="2" t="s">
        <v>135</v>
      </c>
      <c r="K61" s="2" t="s">
        <v>39</v>
      </c>
      <c r="L61" s="2" t="s">
        <v>136</v>
      </c>
      <c r="M61" s="2">
        <v>3</v>
      </c>
      <c r="N61" s="2">
        <v>417.9</v>
      </c>
      <c r="O61" s="2">
        <v>270</v>
      </c>
      <c r="P61" s="2">
        <v>30</v>
      </c>
      <c r="Q61" s="2" t="s">
        <v>73</v>
      </c>
      <c r="R61" s="2" t="s">
        <v>42</v>
      </c>
      <c r="S61" s="3">
        <v>45878</v>
      </c>
      <c r="T61" s="6">
        <v>4</v>
      </c>
    </row>
    <row r="62" spans="1:20" x14ac:dyDescent="0.3">
      <c r="A62" s="2" t="s">
        <v>283</v>
      </c>
      <c r="B62" s="3">
        <v>45652</v>
      </c>
      <c r="C62" s="2" t="s">
        <v>284</v>
      </c>
      <c r="D62" s="2" t="s">
        <v>285</v>
      </c>
      <c r="E62" s="2" t="s">
        <v>77</v>
      </c>
      <c r="F62" s="2">
        <v>28</v>
      </c>
      <c r="G62" s="2" t="s">
        <v>154</v>
      </c>
      <c r="H62" s="2" t="s">
        <v>91</v>
      </c>
      <c r="I62" s="2" t="s">
        <v>252</v>
      </c>
      <c r="J62" s="2" t="s">
        <v>253</v>
      </c>
      <c r="K62" s="2" t="s">
        <v>28</v>
      </c>
      <c r="L62" s="2" t="s">
        <v>254</v>
      </c>
      <c r="M62" s="2">
        <v>4</v>
      </c>
      <c r="N62" s="2">
        <v>10196.6</v>
      </c>
      <c r="O62" s="2">
        <v>7600</v>
      </c>
      <c r="P62" s="2">
        <v>15</v>
      </c>
      <c r="Q62" s="2" t="s">
        <v>73</v>
      </c>
      <c r="R62" s="2" t="s">
        <v>42</v>
      </c>
      <c r="S62" s="3">
        <v>45662</v>
      </c>
      <c r="T62" s="6">
        <v>4</v>
      </c>
    </row>
    <row r="63" spans="1:20" x14ac:dyDescent="0.3">
      <c r="A63" s="2" t="s">
        <v>286</v>
      </c>
      <c r="B63" s="3">
        <v>45409</v>
      </c>
      <c r="C63" s="2" t="s">
        <v>287</v>
      </c>
      <c r="D63" s="2" t="s">
        <v>182</v>
      </c>
      <c r="E63" s="2" t="s">
        <v>23</v>
      </c>
      <c r="F63" s="2">
        <v>46</v>
      </c>
      <c r="G63" s="2" t="s">
        <v>288</v>
      </c>
      <c r="H63" s="2" t="s">
        <v>91</v>
      </c>
      <c r="I63" s="2" t="s">
        <v>134</v>
      </c>
      <c r="J63" s="2" t="s">
        <v>135</v>
      </c>
      <c r="K63" s="2" t="s">
        <v>39</v>
      </c>
      <c r="L63" s="2" t="s">
        <v>136</v>
      </c>
      <c r="M63" s="2">
        <v>5</v>
      </c>
      <c r="N63" s="2">
        <v>995</v>
      </c>
      <c r="O63" s="2">
        <v>450</v>
      </c>
      <c r="P63" s="2">
        <v>0</v>
      </c>
      <c r="Q63" s="2" t="s">
        <v>50</v>
      </c>
      <c r="R63" s="2" t="s">
        <v>31</v>
      </c>
      <c r="S63" s="3">
        <v>45415</v>
      </c>
      <c r="T63" s="6">
        <v>2</v>
      </c>
    </row>
    <row r="64" spans="1:20" x14ac:dyDescent="0.3">
      <c r="A64" s="2" t="s">
        <v>289</v>
      </c>
      <c r="B64" s="3">
        <v>45476</v>
      </c>
      <c r="C64" s="2" t="s">
        <v>149</v>
      </c>
      <c r="D64" s="2" t="s">
        <v>150</v>
      </c>
      <c r="E64" s="2" t="s">
        <v>77</v>
      </c>
      <c r="F64" s="2">
        <v>35</v>
      </c>
      <c r="G64" s="2" t="s">
        <v>35</v>
      </c>
      <c r="H64" s="2" t="s">
        <v>36</v>
      </c>
      <c r="I64" s="2" t="s">
        <v>183</v>
      </c>
      <c r="J64" s="2" t="s">
        <v>184</v>
      </c>
      <c r="K64" s="2" t="s">
        <v>130</v>
      </c>
      <c r="L64" s="2" t="s">
        <v>185</v>
      </c>
      <c r="M64" s="2">
        <v>3</v>
      </c>
      <c r="N64" s="2">
        <v>11997</v>
      </c>
      <c r="O64" s="2">
        <v>9150</v>
      </c>
      <c r="P64" s="2">
        <v>0</v>
      </c>
      <c r="Q64" s="2" t="s">
        <v>30</v>
      </c>
      <c r="R64" s="2" t="s">
        <v>57</v>
      </c>
      <c r="S64" s="3">
        <v>45480</v>
      </c>
      <c r="T64" s="6">
        <v>5</v>
      </c>
    </row>
    <row r="65" spans="1:20" x14ac:dyDescent="0.3">
      <c r="A65" s="2" t="s">
        <v>290</v>
      </c>
      <c r="B65" s="3">
        <v>45363</v>
      </c>
      <c r="C65" s="2" t="s">
        <v>291</v>
      </c>
      <c r="D65" s="2" t="s">
        <v>292</v>
      </c>
      <c r="E65" s="2" t="s">
        <v>77</v>
      </c>
      <c r="F65" s="2">
        <v>46</v>
      </c>
      <c r="G65" s="2" t="s">
        <v>161</v>
      </c>
      <c r="H65" s="2" t="s">
        <v>25</v>
      </c>
      <c r="I65" s="2" t="s">
        <v>54</v>
      </c>
      <c r="J65" s="2" t="s">
        <v>55</v>
      </c>
      <c r="K65" s="2" t="s">
        <v>28</v>
      </c>
      <c r="L65" s="2" t="s">
        <v>56</v>
      </c>
      <c r="M65" s="2">
        <v>5</v>
      </c>
      <c r="N65" s="2">
        <v>2970.75</v>
      </c>
      <c r="O65" s="2">
        <v>2050</v>
      </c>
      <c r="P65" s="2">
        <v>15</v>
      </c>
      <c r="Q65" s="2" t="s">
        <v>103</v>
      </c>
      <c r="R65" s="2" t="s">
        <v>42</v>
      </c>
      <c r="S65" s="3">
        <v>45372</v>
      </c>
      <c r="T65" s="6">
        <v>4</v>
      </c>
    </row>
    <row r="66" spans="1:20" x14ac:dyDescent="0.3">
      <c r="A66" s="2" t="s">
        <v>293</v>
      </c>
      <c r="B66" s="3">
        <v>45453</v>
      </c>
      <c r="C66" s="2" t="s">
        <v>294</v>
      </c>
      <c r="D66" s="2" t="s">
        <v>295</v>
      </c>
      <c r="E66" s="2" t="s">
        <v>77</v>
      </c>
      <c r="F66" s="2">
        <v>31</v>
      </c>
      <c r="G66" s="2" t="s">
        <v>35</v>
      </c>
      <c r="H66" s="2" t="s">
        <v>36</v>
      </c>
      <c r="I66" s="2" t="s">
        <v>177</v>
      </c>
      <c r="J66" s="2" t="s">
        <v>178</v>
      </c>
      <c r="K66" s="2" t="s">
        <v>87</v>
      </c>
      <c r="L66" s="2" t="s">
        <v>179</v>
      </c>
      <c r="M66" s="2">
        <v>3</v>
      </c>
      <c r="N66" s="2">
        <v>7122.15</v>
      </c>
      <c r="O66" s="2">
        <v>4860</v>
      </c>
      <c r="P66" s="2">
        <v>5</v>
      </c>
      <c r="Q66" s="2" t="s">
        <v>73</v>
      </c>
      <c r="R66" s="2" t="s">
        <v>42</v>
      </c>
      <c r="S66" s="3">
        <v>45457</v>
      </c>
      <c r="T66" s="6">
        <v>2</v>
      </c>
    </row>
    <row r="67" spans="1:20" x14ac:dyDescent="0.3">
      <c r="A67" s="2" t="s">
        <v>296</v>
      </c>
      <c r="B67" s="3">
        <v>45982</v>
      </c>
      <c r="C67" s="2" t="s">
        <v>297</v>
      </c>
      <c r="D67" s="2" t="s">
        <v>298</v>
      </c>
      <c r="E67" s="2" t="s">
        <v>77</v>
      </c>
      <c r="F67" s="2">
        <v>55</v>
      </c>
      <c r="G67" s="2" t="s">
        <v>207</v>
      </c>
      <c r="H67" s="2" t="s">
        <v>36</v>
      </c>
      <c r="I67" s="2" t="s">
        <v>63</v>
      </c>
      <c r="J67" s="2" t="s">
        <v>64</v>
      </c>
      <c r="K67" s="2" t="s">
        <v>39</v>
      </c>
      <c r="L67" s="2" t="s">
        <v>40</v>
      </c>
      <c r="M67" s="2">
        <v>4</v>
      </c>
      <c r="N67" s="2">
        <v>1437.6</v>
      </c>
      <c r="O67" s="2">
        <v>1320</v>
      </c>
      <c r="P67" s="2">
        <v>40</v>
      </c>
      <c r="Q67" s="2" t="s">
        <v>50</v>
      </c>
      <c r="R67" s="2" t="s">
        <v>42</v>
      </c>
      <c r="S67" s="3">
        <v>45990</v>
      </c>
      <c r="T67" s="6">
        <v>4</v>
      </c>
    </row>
    <row r="68" spans="1:20" x14ac:dyDescent="0.3">
      <c r="A68" s="2" t="s">
        <v>299</v>
      </c>
      <c r="B68" s="3">
        <v>45512</v>
      </c>
      <c r="C68" s="2" t="s">
        <v>300</v>
      </c>
      <c r="D68" s="2" t="s">
        <v>172</v>
      </c>
      <c r="E68" s="2" t="s">
        <v>23</v>
      </c>
      <c r="F68" s="2">
        <v>39</v>
      </c>
      <c r="G68" s="2" t="s">
        <v>69</v>
      </c>
      <c r="H68" s="2" t="s">
        <v>69</v>
      </c>
      <c r="I68" s="2" t="s">
        <v>245</v>
      </c>
      <c r="J68" s="2" t="s">
        <v>246</v>
      </c>
      <c r="K68" s="2" t="s">
        <v>130</v>
      </c>
      <c r="L68" s="2" t="s">
        <v>247</v>
      </c>
      <c r="M68" s="2">
        <v>4</v>
      </c>
      <c r="N68" s="2">
        <v>9496.2000000000007</v>
      </c>
      <c r="O68" s="2">
        <v>7480</v>
      </c>
      <c r="P68" s="2">
        <v>5</v>
      </c>
      <c r="Q68" s="2" t="s">
        <v>41</v>
      </c>
      <c r="R68" s="2" t="s">
        <v>31</v>
      </c>
      <c r="S68" s="3">
        <v>45524</v>
      </c>
      <c r="T68" s="6">
        <v>5</v>
      </c>
    </row>
    <row r="69" spans="1:20" x14ac:dyDescent="0.3">
      <c r="A69" s="2" t="s">
        <v>301</v>
      </c>
      <c r="B69" s="3">
        <v>45831</v>
      </c>
      <c r="C69" s="2" t="s">
        <v>302</v>
      </c>
      <c r="D69" s="2" t="s">
        <v>303</v>
      </c>
      <c r="E69" s="2" t="s">
        <v>77</v>
      </c>
      <c r="F69" s="2">
        <v>24</v>
      </c>
      <c r="G69" s="2" t="s">
        <v>24</v>
      </c>
      <c r="H69" s="2" t="s">
        <v>25</v>
      </c>
      <c r="I69" s="2" t="s">
        <v>304</v>
      </c>
      <c r="J69" s="2" t="s">
        <v>305</v>
      </c>
      <c r="K69" s="2" t="s">
        <v>28</v>
      </c>
      <c r="L69" s="2" t="s">
        <v>231</v>
      </c>
      <c r="M69" s="2">
        <v>4</v>
      </c>
      <c r="N69" s="2">
        <v>7196</v>
      </c>
      <c r="O69" s="2">
        <v>4320</v>
      </c>
      <c r="P69" s="2">
        <v>0</v>
      </c>
      <c r="Q69" s="2" t="s">
        <v>73</v>
      </c>
      <c r="R69" s="2" t="s">
        <v>42</v>
      </c>
      <c r="S69" s="3">
        <v>45837</v>
      </c>
      <c r="T69" s="6">
        <v>4</v>
      </c>
    </row>
    <row r="70" spans="1:20" x14ac:dyDescent="0.3">
      <c r="A70" s="2" t="s">
        <v>306</v>
      </c>
      <c r="B70" s="3">
        <v>45432</v>
      </c>
      <c r="C70" s="2" t="s">
        <v>307</v>
      </c>
      <c r="D70" s="2" t="s">
        <v>241</v>
      </c>
      <c r="E70" s="2" t="s">
        <v>23</v>
      </c>
      <c r="F70" s="2">
        <v>53</v>
      </c>
      <c r="G70" s="2" t="s">
        <v>35</v>
      </c>
      <c r="H70" s="2" t="s">
        <v>36</v>
      </c>
      <c r="I70" s="2" t="s">
        <v>183</v>
      </c>
      <c r="J70" s="2" t="s">
        <v>184</v>
      </c>
      <c r="K70" s="2" t="s">
        <v>130</v>
      </c>
      <c r="L70" s="2" t="s">
        <v>185</v>
      </c>
      <c r="M70" s="2">
        <v>1</v>
      </c>
      <c r="N70" s="2">
        <v>3999</v>
      </c>
      <c r="O70" s="2">
        <v>3050</v>
      </c>
      <c r="P70" s="2">
        <v>0</v>
      </c>
      <c r="Q70" s="2" t="s">
        <v>103</v>
      </c>
      <c r="R70" s="2" t="s">
        <v>31</v>
      </c>
      <c r="S70" s="3">
        <v>45440</v>
      </c>
      <c r="T70" s="6">
        <v>3</v>
      </c>
    </row>
    <row r="71" spans="1:20" x14ac:dyDescent="0.3">
      <c r="A71" s="2" t="s">
        <v>308</v>
      </c>
      <c r="B71" s="3">
        <v>45424</v>
      </c>
      <c r="C71" s="2" t="s">
        <v>59</v>
      </c>
      <c r="D71" s="2" t="s">
        <v>60</v>
      </c>
      <c r="E71" s="2" t="s">
        <v>23</v>
      </c>
      <c r="F71" s="2">
        <v>37</v>
      </c>
      <c r="G71" s="2" t="s">
        <v>90</v>
      </c>
      <c r="H71" s="2" t="s">
        <v>91</v>
      </c>
      <c r="I71" s="2" t="s">
        <v>112</v>
      </c>
      <c r="J71" s="2" t="s">
        <v>113</v>
      </c>
      <c r="K71" s="2" t="s">
        <v>114</v>
      </c>
      <c r="L71" s="2" t="s">
        <v>115</v>
      </c>
      <c r="M71" s="2">
        <v>5</v>
      </c>
      <c r="N71" s="2">
        <v>2621.25</v>
      </c>
      <c r="O71" s="2">
        <v>1850</v>
      </c>
      <c r="P71" s="2">
        <v>25</v>
      </c>
      <c r="Q71" s="2" t="s">
        <v>73</v>
      </c>
      <c r="R71" s="2" t="s">
        <v>42</v>
      </c>
      <c r="S71" s="3">
        <v>45426</v>
      </c>
      <c r="T71" s="6">
        <v>5</v>
      </c>
    </row>
    <row r="72" spans="1:20" x14ac:dyDescent="0.3">
      <c r="A72" s="2" t="s">
        <v>309</v>
      </c>
      <c r="B72" s="3">
        <v>45311</v>
      </c>
      <c r="C72" s="2" t="s">
        <v>310</v>
      </c>
      <c r="D72" s="2" t="s">
        <v>311</v>
      </c>
      <c r="E72" s="2" t="s">
        <v>23</v>
      </c>
      <c r="F72" s="2">
        <v>19</v>
      </c>
      <c r="G72" s="2" t="s">
        <v>46</v>
      </c>
      <c r="H72" s="2" t="s">
        <v>25</v>
      </c>
      <c r="I72" s="2" t="s">
        <v>183</v>
      </c>
      <c r="J72" s="2" t="s">
        <v>184</v>
      </c>
      <c r="K72" s="2" t="s">
        <v>130</v>
      </c>
      <c r="L72" s="2" t="s">
        <v>185</v>
      </c>
      <c r="M72" s="2">
        <v>5</v>
      </c>
      <c r="N72" s="2">
        <v>13996.5</v>
      </c>
      <c r="O72" s="2">
        <v>15250</v>
      </c>
      <c r="P72" s="2">
        <v>30</v>
      </c>
      <c r="Q72" s="2" t="s">
        <v>50</v>
      </c>
      <c r="R72" s="2" t="s">
        <v>42</v>
      </c>
      <c r="S72" s="3">
        <v>45323</v>
      </c>
      <c r="T72" s="6">
        <v>5</v>
      </c>
    </row>
    <row r="73" spans="1:20" x14ac:dyDescent="0.3">
      <c r="A73" s="2" t="s">
        <v>312</v>
      </c>
      <c r="B73" s="3">
        <v>45588</v>
      </c>
      <c r="C73" s="2" t="s">
        <v>44</v>
      </c>
      <c r="D73" s="2" t="s">
        <v>45</v>
      </c>
      <c r="E73" s="2" t="s">
        <v>23</v>
      </c>
      <c r="F73" s="2">
        <v>41</v>
      </c>
      <c r="G73" s="2" t="s">
        <v>165</v>
      </c>
      <c r="H73" s="2" t="s">
        <v>166</v>
      </c>
      <c r="I73" s="2" t="s">
        <v>80</v>
      </c>
      <c r="J73" s="2" t="s">
        <v>81</v>
      </c>
      <c r="K73" s="2" t="s">
        <v>28</v>
      </c>
      <c r="L73" s="2" t="s">
        <v>29</v>
      </c>
      <c r="M73" s="2">
        <v>3</v>
      </c>
      <c r="N73" s="2">
        <v>2157.3000000000002</v>
      </c>
      <c r="O73" s="2">
        <v>1410</v>
      </c>
      <c r="P73" s="2">
        <v>10</v>
      </c>
      <c r="Q73" s="2" t="s">
        <v>50</v>
      </c>
      <c r="R73" s="2" t="s">
        <v>42</v>
      </c>
      <c r="S73" s="3">
        <v>45595</v>
      </c>
      <c r="T73" s="6">
        <v>3</v>
      </c>
    </row>
    <row r="74" spans="1:20" x14ac:dyDescent="0.3">
      <c r="A74" s="2" t="s">
        <v>313</v>
      </c>
      <c r="B74" s="3">
        <v>45739</v>
      </c>
      <c r="C74" s="2" t="s">
        <v>314</v>
      </c>
      <c r="D74" s="2" t="s">
        <v>315</v>
      </c>
      <c r="E74" s="2" t="s">
        <v>77</v>
      </c>
      <c r="F74" s="2">
        <v>34</v>
      </c>
      <c r="G74" s="2" t="s">
        <v>90</v>
      </c>
      <c r="H74" s="2" t="s">
        <v>91</v>
      </c>
      <c r="I74" s="2" t="s">
        <v>134</v>
      </c>
      <c r="J74" s="2" t="s">
        <v>135</v>
      </c>
      <c r="K74" s="2" t="s">
        <v>39</v>
      </c>
      <c r="L74" s="2" t="s">
        <v>136</v>
      </c>
      <c r="M74" s="2">
        <v>5</v>
      </c>
      <c r="N74" s="2">
        <v>696.5</v>
      </c>
      <c r="O74" s="2">
        <v>450</v>
      </c>
      <c r="P74" s="2">
        <v>30</v>
      </c>
      <c r="Q74" s="2" t="s">
        <v>50</v>
      </c>
      <c r="R74" s="2" t="s">
        <v>42</v>
      </c>
      <c r="S74" s="3">
        <v>45747</v>
      </c>
      <c r="T74" s="6">
        <v>4</v>
      </c>
    </row>
    <row r="75" spans="1:20" x14ac:dyDescent="0.3">
      <c r="A75" s="2" t="s">
        <v>316</v>
      </c>
      <c r="B75" s="3">
        <v>45639</v>
      </c>
      <c r="C75" s="2" t="s">
        <v>317</v>
      </c>
      <c r="D75" s="2" t="s">
        <v>318</v>
      </c>
      <c r="E75" s="2" t="s">
        <v>77</v>
      </c>
      <c r="F75" s="2">
        <v>54</v>
      </c>
      <c r="G75" s="2" t="s">
        <v>126</v>
      </c>
      <c r="H75" s="2" t="s">
        <v>127</v>
      </c>
      <c r="I75" s="2" t="s">
        <v>319</v>
      </c>
      <c r="J75" s="2" t="s">
        <v>320</v>
      </c>
      <c r="K75" s="2" t="s">
        <v>28</v>
      </c>
      <c r="L75" s="2" t="s">
        <v>29</v>
      </c>
      <c r="M75" s="2">
        <v>1</v>
      </c>
      <c r="N75" s="2" t="s">
        <v>1604</v>
      </c>
      <c r="O75" s="2">
        <v>710</v>
      </c>
      <c r="P75" s="2">
        <v>5</v>
      </c>
      <c r="Q75" s="2" t="s">
        <v>50</v>
      </c>
      <c r="R75" s="2" t="s">
        <v>65</v>
      </c>
      <c r="S75" s="3" t="s">
        <v>1604</v>
      </c>
      <c r="T75" s="6" t="s">
        <v>1604</v>
      </c>
    </row>
    <row r="76" spans="1:20" x14ac:dyDescent="0.3">
      <c r="A76" s="2" t="s">
        <v>321</v>
      </c>
      <c r="B76" s="3">
        <v>45490</v>
      </c>
      <c r="C76" s="2" t="s">
        <v>322</v>
      </c>
      <c r="D76" s="2" t="s">
        <v>323</v>
      </c>
      <c r="E76" s="2" t="s">
        <v>23</v>
      </c>
      <c r="F76" s="2">
        <v>50</v>
      </c>
      <c r="G76" s="2" t="s">
        <v>211</v>
      </c>
      <c r="H76" s="2" t="s">
        <v>127</v>
      </c>
      <c r="I76" s="2" t="s">
        <v>177</v>
      </c>
      <c r="J76" s="2" t="s">
        <v>178</v>
      </c>
      <c r="K76" s="2" t="s">
        <v>87</v>
      </c>
      <c r="L76" s="2" t="s">
        <v>179</v>
      </c>
      <c r="M76" s="2">
        <v>2</v>
      </c>
      <c r="N76" s="2">
        <v>4248.3</v>
      </c>
      <c r="O76" s="2">
        <v>3240</v>
      </c>
      <c r="P76" s="2">
        <v>15</v>
      </c>
      <c r="Q76" s="2" t="s">
        <v>73</v>
      </c>
      <c r="R76" s="2" t="s">
        <v>42</v>
      </c>
      <c r="S76" s="3">
        <v>45496</v>
      </c>
      <c r="T76" s="6">
        <v>4</v>
      </c>
    </row>
    <row r="77" spans="1:20" x14ac:dyDescent="0.3">
      <c r="A77" s="2" t="s">
        <v>324</v>
      </c>
      <c r="B77" s="3">
        <v>45469</v>
      </c>
      <c r="C77" s="2" t="s">
        <v>325</v>
      </c>
      <c r="D77" s="2" t="s">
        <v>326</v>
      </c>
      <c r="E77" s="2" t="s">
        <v>23</v>
      </c>
      <c r="F77" s="2">
        <v>22</v>
      </c>
      <c r="G77" s="2" t="s">
        <v>46</v>
      </c>
      <c r="H77" s="2" t="s">
        <v>25</v>
      </c>
      <c r="I77" s="2" t="s">
        <v>319</v>
      </c>
      <c r="J77" s="2" t="s">
        <v>320</v>
      </c>
      <c r="K77" s="2" t="s">
        <v>28</v>
      </c>
      <c r="L77" s="2" t="s">
        <v>29</v>
      </c>
      <c r="M77" s="2">
        <v>4</v>
      </c>
      <c r="N77" s="2">
        <v>2877.6</v>
      </c>
      <c r="O77" s="2">
        <v>2840</v>
      </c>
      <c r="P77" s="2">
        <v>40</v>
      </c>
      <c r="Q77" s="2" t="s">
        <v>50</v>
      </c>
      <c r="R77" s="2" t="s">
        <v>57</v>
      </c>
      <c r="S77" s="3">
        <v>45480</v>
      </c>
      <c r="T77" s="6">
        <v>5</v>
      </c>
    </row>
    <row r="78" spans="1:20" x14ac:dyDescent="0.3">
      <c r="A78" s="2" t="s">
        <v>327</v>
      </c>
      <c r="B78" s="3">
        <v>45989</v>
      </c>
      <c r="C78" s="2" t="s">
        <v>328</v>
      </c>
      <c r="D78" s="2" t="s">
        <v>329</v>
      </c>
      <c r="E78" s="2" t="s">
        <v>77</v>
      </c>
      <c r="F78" s="2">
        <v>47</v>
      </c>
      <c r="G78" s="2" t="s">
        <v>126</v>
      </c>
      <c r="H78" s="2" t="s">
        <v>127</v>
      </c>
      <c r="I78" s="2" t="s">
        <v>92</v>
      </c>
      <c r="J78" s="2" t="s">
        <v>93</v>
      </c>
      <c r="K78" s="2" t="s">
        <v>87</v>
      </c>
      <c r="L78" s="2" t="s">
        <v>94</v>
      </c>
      <c r="M78" s="2">
        <v>3</v>
      </c>
      <c r="N78" s="2">
        <v>4317.3</v>
      </c>
      <c r="O78" s="2">
        <v>2790</v>
      </c>
      <c r="P78" s="2">
        <v>10</v>
      </c>
      <c r="Q78" s="2" t="s">
        <v>103</v>
      </c>
      <c r="R78" s="2" t="s">
        <v>42</v>
      </c>
      <c r="S78" s="3">
        <v>45998</v>
      </c>
      <c r="T78" s="6">
        <v>5</v>
      </c>
    </row>
    <row r="79" spans="1:20" x14ac:dyDescent="0.3">
      <c r="A79" s="2" t="s">
        <v>330</v>
      </c>
      <c r="B79" s="3">
        <v>45938</v>
      </c>
      <c r="C79" s="2" t="s">
        <v>331</v>
      </c>
      <c r="D79" s="2" t="s">
        <v>332</v>
      </c>
      <c r="E79" s="2" t="s">
        <v>23</v>
      </c>
      <c r="F79" s="2">
        <v>39</v>
      </c>
      <c r="G79" s="2" t="s">
        <v>207</v>
      </c>
      <c r="H79" s="2" t="s">
        <v>36</v>
      </c>
      <c r="I79" s="2" t="s">
        <v>198</v>
      </c>
      <c r="J79" s="2" t="s">
        <v>199</v>
      </c>
      <c r="K79" s="2" t="s">
        <v>114</v>
      </c>
      <c r="L79" s="2" t="s">
        <v>200</v>
      </c>
      <c r="M79" s="2">
        <v>1</v>
      </c>
      <c r="N79" s="2">
        <v>974.25</v>
      </c>
      <c r="O79" s="2">
        <v>760</v>
      </c>
      <c r="P79" s="2">
        <v>25</v>
      </c>
      <c r="Q79" s="2" t="s">
        <v>50</v>
      </c>
      <c r="R79" s="2" t="s">
        <v>42</v>
      </c>
      <c r="S79" s="3">
        <v>45944</v>
      </c>
      <c r="T79" s="6">
        <v>5</v>
      </c>
    </row>
    <row r="80" spans="1:20" x14ac:dyDescent="0.3">
      <c r="A80" s="2" t="s">
        <v>333</v>
      </c>
      <c r="B80" s="3">
        <v>45754</v>
      </c>
      <c r="C80" s="2" t="s">
        <v>334</v>
      </c>
      <c r="D80" s="2" t="s">
        <v>335</v>
      </c>
      <c r="E80" s="2" t="s">
        <v>77</v>
      </c>
      <c r="F80" s="2">
        <v>41</v>
      </c>
      <c r="G80" s="2" t="s">
        <v>24</v>
      </c>
      <c r="H80" s="2" t="s">
        <v>25</v>
      </c>
      <c r="I80" s="2" t="s">
        <v>245</v>
      </c>
      <c r="J80" s="2" t="s">
        <v>246</v>
      </c>
      <c r="K80" s="2" t="s">
        <v>130</v>
      </c>
      <c r="L80" s="2" t="s">
        <v>247</v>
      </c>
      <c r="M80" s="2">
        <v>3</v>
      </c>
      <c r="N80" s="2">
        <v>7122.15</v>
      </c>
      <c r="O80" s="2">
        <v>5610</v>
      </c>
      <c r="P80" s="2">
        <v>5</v>
      </c>
      <c r="Q80" s="2" t="s">
        <v>73</v>
      </c>
      <c r="R80" s="2" t="s">
        <v>65</v>
      </c>
      <c r="S80" s="3" t="s">
        <v>1604</v>
      </c>
      <c r="T80" s="6" t="s">
        <v>1604</v>
      </c>
    </row>
    <row r="81" spans="1:20" x14ac:dyDescent="0.3">
      <c r="A81" s="2" t="s">
        <v>336</v>
      </c>
      <c r="B81" s="3">
        <v>45900</v>
      </c>
      <c r="C81" s="2" t="s">
        <v>337</v>
      </c>
      <c r="D81" s="2" t="s">
        <v>338</v>
      </c>
      <c r="E81" s="2" t="s">
        <v>77</v>
      </c>
      <c r="F81" s="2">
        <v>25</v>
      </c>
      <c r="G81" s="2" t="s">
        <v>165</v>
      </c>
      <c r="H81" s="2" t="s">
        <v>166</v>
      </c>
      <c r="I81" s="2" t="s">
        <v>63</v>
      </c>
      <c r="J81" s="2" t="s">
        <v>64</v>
      </c>
      <c r="K81" s="2" t="s">
        <v>39</v>
      </c>
      <c r="L81" s="2" t="s">
        <v>40</v>
      </c>
      <c r="M81" s="2">
        <v>5</v>
      </c>
      <c r="N81" s="2">
        <v>2995</v>
      </c>
      <c r="O81" s="2">
        <v>1650</v>
      </c>
      <c r="P81" s="2">
        <v>0</v>
      </c>
      <c r="Q81" s="2" t="s">
        <v>103</v>
      </c>
      <c r="R81" s="2" t="s">
        <v>57</v>
      </c>
      <c r="S81" s="3">
        <v>45911</v>
      </c>
      <c r="T81" s="6">
        <v>4</v>
      </c>
    </row>
    <row r="82" spans="1:20" x14ac:dyDescent="0.3">
      <c r="A82" s="2" t="s">
        <v>339</v>
      </c>
      <c r="B82" s="3">
        <v>45621</v>
      </c>
      <c r="C82" s="2" t="s">
        <v>340</v>
      </c>
      <c r="D82" s="2" t="s">
        <v>341</v>
      </c>
      <c r="E82" s="2" t="s">
        <v>23</v>
      </c>
      <c r="F82" s="2">
        <v>21</v>
      </c>
      <c r="G82" s="2" t="s">
        <v>173</v>
      </c>
      <c r="H82" s="2" t="s">
        <v>79</v>
      </c>
      <c r="I82" s="2" t="s">
        <v>26</v>
      </c>
      <c r="J82" s="2" t="s">
        <v>27</v>
      </c>
      <c r="K82" s="2" t="s">
        <v>28</v>
      </c>
      <c r="L82" s="2" t="s">
        <v>29</v>
      </c>
      <c r="M82" s="2">
        <v>4</v>
      </c>
      <c r="N82" s="2">
        <v>4936.2</v>
      </c>
      <c r="O82" s="2">
        <v>3160</v>
      </c>
      <c r="P82" s="2">
        <v>5</v>
      </c>
      <c r="Q82" s="2" t="s">
        <v>41</v>
      </c>
      <c r="R82" s="2" t="s">
        <v>31</v>
      </c>
      <c r="S82" s="3">
        <v>45624</v>
      </c>
      <c r="T82" s="6">
        <v>3</v>
      </c>
    </row>
    <row r="83" spans="1:20" x14ac:dyDescent="0.3">
      <c r="A83" s="2" t="s">
        <v>342</v>
      </c>
      <c r="B83" s="3">
        <v>45332</v>
      </c>
      <c r="C83" s="2" t="s">
        <v>343</v>
      </c>
      <c r="D83" s="2" t="s">
        <v>188</v>
      </c>
      <c r="E83" s="2" t="s">
        <v>23</v>
      </c>
      <c r="F83" s="2">
        <v>41</v>
      </c>
      <c r="G83" s="2" t="s">
        <v>61</v>
      </c>
      <c r="H83" s="2" t="s">
        <v>62</v>
      </c>
      <c r="I83" s="2" t="s">
        <v>63</v>
      </c>
      <c r="J83" s="2" t="s">
        <v>64</v>
      </c>
      <c r="K83" s="2" t="s">
        <v>39</v>
      </c>
      <c r="L83" s="2" t="s">
        <v>40</v>
      </c>
      <c r="M83" s="2">
        <v>5</v>
      </c>
      <c r="N83" s="2">
        <v>2695.5</v>
      </c>
      <c r="O83" s="2">
        <v>1650</v>
      </c>
      <c r="P83" s="2">
        <v>10</v>
      </c>
      <c r="Q83" s="2" t="s">
        <v>41</v>
      </c>
      <c r="R83" s="2" t="s">
        <v>42</v>
      </c>
      <c r="S83" s="3">
        <v>45338</v>
      </c>
      <c r="T83" s="6">
        <v>5</v>
      </c>
    </row>
    <row r="84" spans="1:20" x14ac:dyDescent="0.3">
      <c r="A84" s="2" t="s">
        <v>344</v>
      </c>
      <c r="B84" s="3">
        <v>45710</v>
      </c>
      <c r="C84" s="2" t="s">
        <v>345</v>
      </c>
      <c r="D84" s="2" t="s">
        <v>346</v>
      </c>
      <c r="E84" s="2" t="s">
        <v>23</v>
      </c>
      <c r="F84" s="2">
        <v>18</v>
      </c>
      <c r="G84" s="2" t="s">
        <v>24</v>
      </c>
      <c r="H84" s="2" t="s">
        <v>25</v>
      </c>
      <c r="I84" s="2" t="s">
        <v>92</v>
      </c>
      <c r="J84" s="2" t="s">
        <v>93</v>
      </c>
      <c r="K84" s="2" t="s">
        <v>87</v>
      </c>
      <c r="L84" s="2" t="s">
        <v>94</v>
      </c>
      <c r="M84" s="2">
        <v>3</v>
      </c>
      <c r="N84" s="2">
        <v>4557.1499999999996</v>
      </c>
      <c r="O84" s="2">
        <v>2790</v>
      </c>
      <c r="P84" s="2">
        <v>5</v>
      </c>
      <c r="Q84" s="2" t="s">
        <v>41</v>
      </c>
      <c r="R84" s="2" t="s">
        <v>42</v>
      </c>
      <c r="S84" s="3">
        <v>45720</v>
      </c>
      <c r="T84" s="6">
        <v>5</v>
      </c>
    </row>
    <row r="85" spans="1:20" x14ac:dyDescent="0.3">
      <c r="A85" s="2" t="s">
        <v>347</v>
      </c>
      <c r="B85" s="3">
        <v>45582</v>
      </c>
      <c r="C85" s="2" t="s">
        <v>348</v>
      </c>
      <c r="D85" s="2" t="s">
        <v>349</v>
      </c>
      <c r="E85" s="2" t="s">
        <v>23</v>
      </c>
      <c r="F85" s="2">
        <v>51</v>
      </c>
      <c r="G85" s="2" t="s">
        <v>173</v>
      </c>
      <c r="H85" s="2" t="s">
        <v>79</v>
      </c>
      <c r="I85" s="2" t="s">
        <v>183</v>
      </c>
      <c r="J85" s="2" t="s">
        <v>184</v>
      </c>
      <c r="K85" s="2" t="s">
        <v>130</v>
      </c>
      <c r="L85" s="2" t="s">
        <v>185</v>
      </c>
      <c r="M85" s="2">
        <v>1</v>
      </c>
      <c r="N85" s="2">
        <v>3599.1</v>
      </c>
      <c r="O85" s="2">
        <v>3050</v>
      </c>
      <c r="P85" s="2">
        <v>10</v>
      </c>
      <c r="Q85" s="2" t="s">
        <v>41</v>
      </c>
      <c r="R85" s="2" t="s">
        <v>42</v>
      </c>
      <c r="S85" s="3">
        <v>45594</v>
      </c>
      <c r="T85" s="6">
        <v>5</v>
      </c>
    </row>
    <row r="86" spans="1:20" x14ac:dyDescent="0.3">
      <c r="A86" s="2" t="s">
        <v>350</v>
      </c>
      <c r="B86" s="3">
        <v>45424</v>
      </c>
      <c r="C86" s="2" t="s">
        <v>351</v>
      </c>
      <c r="D86" s="2" t="s">
        <v>352</v>
      </c>
      <c r="E86" s="2" t="s">
        <v>77</v>
      </c>
      <c r="F86" s="2">
        <v>26</v>
      </c>
      <c r="G86" s="2" t="s">
        <v>35</v>
      </c>
      <c r="H86" s="2" t="s">
        <v>36</v>
      </c>
      <c r="I86" s="2" t="s">
        <v>222</v>
      </c>
      <c r="J86" s="2" t="s">
        <v>223</v>
      </c>
      <c r="K86" s="2" t="s">
        <v>114</v>
      </c>
      <c r="L86" s="2" t="s">
        <v>115</v>
      </c>
      <c r="M86" s="2">
        <v>4</v>
      </c>
      <c r="N86" s="2">
        <v>2697</v>
      </c>
      <c r="O86" s="2">
        <v>2040</v>
      </c>
      <c r="P86" s="2">
        <v>25</v>
      </c>
      <c r="Q86" s="2" t="s">
        <v>30</v>
      </c>
      <c r="R86" s="2" t="s">
        <v>31</v>
      </c>
      <c r="S86" s="3">
        <v>45436</v>
      </c>
      <c r="T86" s="6">
        <v>3</v>
      </c>
    </row>
    <row r="87" spans="1:20" x14ac:dyDescent="0.3">
      <c r="A87" s="2" t="s">
        <v>353</v>
      </c>
      <c r="B87" s="3">
        <v>45953</v>
      </c>
      <c r="C87" s="2" t="s">
        <v>354</v>
      </c>
      <c r="D87" s="2" t="s">
        <v>355</v>
      </c>
      <c r="E87" s="2" t="s">
        <v>77</v>
      </c>
      <c r="F87" s="2">
        <v>38</v>
      </c>
      <c r="G87" s="2" t="s">
        <v>211</v>
      </c>
      <c r="H87" s="2" t="s">
        <v>127</v>
      </c>
      <c r="I87" s="2" t="s">
        <v>80</v>
      </c>
      <c r="J87" s="2" t="s">
        <v>81</v>
      </c>
      <c r="K87" s="2" t="s">
        <v>28</v>
      </c>
      <c r="L87" s="2" t="s">
        <v>29</v>
      </c>
      <c r="M87" s="2">
        <v>3</v>
      </c>
      <c r="N87" s="2">
        <v>1917.6</v>
      </c>
      <c r="O87" s="2">
        <v>1410</v>
      </c>
      <c r="P87" s="2">
        <v>20</v>
      </c>
      <c r="Q87" s="2" t="s">
        <v>30</v>
      </c>
      <c r="R87" s="2" t="s">
        <v>42</v>
      </c>
      <c r="S87" s="3">
        <v>45960</v>
      </c>
      <c r="T87" s="6">
        <v>5</v>
      </c>
    </row>
    <row r="88" spans="1:20" x14ac:dyDescent="0.3">
      <c r="A88" s="2" t="s">
        <v>356</v>
      </c>
      <c r="B88" s="3">
        <v>45488</v>
      </c>
      <c r="C88" s="2" t="s">
        <v>357</v>
      </c>
      <c r="D88" s="2" t="s">
        <v>358</v>
      </c>
      <c r="E88" s="2" t="s">
        <v>23</v>
      </c>
      <c r="F88" s="2">
        <v>23</v>
      </c>
      <c r="G88" s="2" t="s">
        <v>173</v>
      </c>
      <c r="H88" s="2" t="s">
        <v>79</v>
      </c>
      <c r="I88" s="2" t="s">
        <v>252</v>
      </c>
      <c r="J88" s="2" t="s">
        <v>253</v>
      </c>
      <c r="K88" s="2" t="s">
        <v>28</v>
      </c>
      <c r="L88" s="2" t="s">
        <v>254</v>
      </c>
      <c r="M88" s="2">
        <v>1</v>
      </c>
      <c r="N88" s="2">
        <v>2399.1999999999998</v>
      </c>
      <c r="O88" s="2">
        <v>1900</v>
      </c>
      <c r="P88" s="2">
        <v>20</v>
      </c>
      <c r="Q88" s="2" t="s">
        <v>73</v>
      </c>
      <c r="R88" s="2" t="s">
        <v>65</v>
      </c>
      <c r="S88" s="3" t="s">
        <v>1604</v>
      </c>
      <c r="T88" s="6" t="s">
        <v>1604</v>
      </c>
    </row>
    <row r="89" spans="1:20" x14ac:dyDescent="0.3">
      <c r="A89" s="2" t="s">
        <v>359</v>
      </c>
      <c r="B89" s="3">
        <v>45844</v>
      </c>
      <c r="C89" s="2" t="s">
        <v>360</v>
      </c>
      <c r="D89" s="2" t="s">
        <v>1604</v>
      </c>
      <c r="E89" s="2" t="s">
        <v>77</v>
      </c>
      <c r="F89" s="2">
        <v>55</v>
      </c>
      <c r="G89" s="2" t="s">
        <v>24</v>
      </c>
      <c r="H89" s="2" t="s">
        <v>25</v>
      </c>
      <c r="I89" s="2" t="s">
        <v>107</v>
      </c>
      <c r="J89" s="2" t="s">
        <v>108</v>
      </c>
      <c r="K89" s="2" t="s">
        <v>87</v>
      </c>
      <c r="L89" s="2" t="s">
        <v>88</v>
      </c>
      <c r="M89" s="2">
        <v>3</v>
      </c>
      <c r="N89" s="2">
        <v>2157.3000000000002</v>
      </c>
      <c r="O89" s="2">
        <v>1260</v>
      </c>
      <c r="P89" s="2">
        <v>10</v>
      </c>
      <c r="Q89" s="2" t="s">
        <v>50</v>
      </c>
      <c r="R89" s="2" t="s">
        <v>42</v>
      </c>
      <c r="S89" s="3">
        <v>45848</v>
      </c>
      <c r="T89" s="6">
        <v>3</v>
      </c>
    </row>
    <row r="90" spans="1:20" x14ac:dyDescent="0.3">
      <c r="A90" s="2" t="s">
        <v>361</v>
      </c>
      <c r="B90" s="3">
        <v>45477</v>
      </c>
      <c r="C90" s="2" t="s">
        <v>362</v>
      </c>
      <c r="D90" s="2" t="s">
        <v>363</v>
      </c>
      <c r="E90" s="2" t="s">
        <v>77</v>
      </c>
      <c r="F90" s="2">
        <v>30</v>
      </c>
      <c r="G90" s="2" t="s">
        <v>61</v>
      </c>
      <c r="H90" s="2" t="s">
        <v>62</v>
      </c>
      <c r="I90" s="2" t="s">
        <v>26</v>
      </c>
      <c r="J90" s="2" t="s">
        <v>27</v>
      </c>
      <c r="K90" s="2" t="s">
        <v>28</v>
      </c>
      <c r="L90" s="2" t="s">
        <v>29</v>
      </c>
      <c r="M90" s="2">
        <v>4</v>
      </c>
      <c r="N90" s="2">
        <v>3897</v>
      </c>
      <c r="O90" s="2">
        <v>3160</v>
      </c>
      <c r="P90" s="2">
        <v>25</v>
      </c>
      <c r="Q90" s="2" t="s">
        <v>30</v>
      </c>
      <c r="R90" s="2" t="s">
        <v>42</v>
      </c>
      <c r="S90" s="3">
        <v>45488</v>
      </c>
      <c r="T90" s="6">
        <v>4</v>
      </c>
    </row>
    <row r="91" spans="1:20" x14ac:dyDescent="0.3">
      <c r="A91" s="2" t="s">
        <v>364</v>
      </c>
      <c r="B91" s="3">
        <v>45751</v>
      </c>
      <c r="C91" s="2" t="s">
        <v>168</v>
      </c>
      <c r="D91" s="2" t="s">
        <v>169</v>
      </c>
      <c r="E91" s="2" t="s">
        <v>23</v>
      </c>
      <c r="F91" s="2">
        <v>43</v>
      </c>
      <c r="G91" s="2" t="s">
        <v>90</v>
      </c>
      <c r="H91" s="2" t="s">
        <v>91</v>
      </c>
      <c r="I91" s="2" t="s">
        <v>143</v>
      </c>
      <c r="J91" s="2" t="s">
        <v>144</v>
      </c>
      <c r="K91" s="2" t="s">
        <v>130</v>
      </c>
      <c r="L91" s="2" t="s">
        <v>131</v>
      </c>
      <c r="M91" s="2">
        <v>4</v>
      </c>
      <c r="N91" s="2">
        <v>18696.599999999999</v>
      </c>
      <c r="O91" s="2">
        <v>17200</v>
      </c>
      <c r="P91" s="2">
        <v>15</v>
      </c>
      <c r="Q91" s="2" t="s">
        <v>41</v>
      </c>
      <c r="R91" s="2" t="s">
        <v>31</v>
      </c>
      <c r="S91" s="3">
        <v>45762</v>
      </c>
      <c r="T91" s="6">
        <v>5</v>
      </c>
    </row>
    <row r="92" spans="1:20" x14ac:dyDescent="0.3">
      <c r="A92" s="2" t="s">
        <v>365</v>
      </c>
      <c r="B92" s="3">
        <v>45764</v>
      </c>
      <c r="C92" s="2" t="s">
        <v>366</v>
      </c>
      <c r="D92" s="2" t="s">
        <v>367</v>
      </c>
      <c r="E92" s="2" t="s">
        <v>77</v>
      </c>
      <c r="F92" s="2">
        <v>25</v>
      </c>
      <c r="G92" s="2" t="s">
        <v>165</v>
      </c>
      <c r="H92" s="2" t="s">
        <v>166</v>
      </c>
      <c r="I92" s="2" t="s">
        <v>112</v>
      </c>
      <c r="J92" s="2" t="s">
        <v>113</v>
      </c>
      <c r="K92" s="2" t="s">
        <v>114</v>
      </c>
      <c r="L92" s="2" t="s">
        <v>115</v>
      </c>
      <c r="M92" s="2">
        <v>5</v>
      </c>
      <c r="N92" s="2">
        <v>2446.5</v>
      </c>
      <c r="O92" s="2">
        <v>1850</v>
      </c>
      <c r="P92" s="2">
        <v>30</v>
      </c>
      <c r="Q92" s="2" t="s">
        <v>30</v>
      </c>
      <c r="R92" s="2" t="s">
        <v>57</v>
      </c>
      <c r="S92" s="3">
        <v>45769</v>
      </c>
      <c r="T92" s="6">
        <v>3</v>
      </c>
    </row>
    <row r="93" spans="1:20" x14ac:dyDescent="0.3">
      <c r="A93" s="2" t="s">
        <v>368</v>
      </c>
      <c r="B93" s="3">
        <v>45548</v>
      </c>
      <c r="C93" s="2" t="s">
        <v>369</v>
      </c>
      <c r="D93" s="2" t="s">
        <v>160</v>
      </c>
      <c r="E93" s="2" t="s">
        <v>23</v>
      </c>
      <c r="F93" s="2">
        <v>35</v>
      </c>
      <c r="G93" s="2" t="s">
        <v>101</v>
      </c>
      <c r="H93" s="2" t="s">
        <v>102</v>
      </c>
      <c r="I93" s="2" t="s">
        <v>245</v>
      </c>
      <c r="J93" s="2" t="s">
        <v>246</v>
      </c>
      <c r="K93" s="2" t="s">
        <v>130</v>
      </c>
      <c r="L93" s="2" t="s">
        <v>247</v>
      </c>
      <c r="M93" s="2">
        <v>5</v>
      </c>
      <c r="N93" s="2">
        <v>11870.25</v>
      </c>
      <c r="O93" s="2">
        <v>9350</v>
      </c>
      <c r="P93" s="2">
        <v>5</v>
      </c>
      <c r="Q93" s="2" t="s">
        <v>1604</v>
      </c>
      <c r="R93" s="2" t="s">
        <v>57</v>
      </c>
      <c r="S93" s="3">
        <v>45551</v>
      </c>
      <c r="T93" s="6">
        <v>4</v>
      </c>
    </row>
    <row r="94" spans="1:20" x14ac:dyDescent="0.3">
      <c r="A94" s="2" t="s">
        <v>370</v>
      </c>
      <c r="B94" s="3">
        <v>45377</v>
      </c>
      <c r="C94" s="2" t="s">
        <v>371</v>
      </c>
      <c r="D94" s="2" t="s">
        <v>372</v>
      </c>
      <c r="E94" s="2" t="s">
        <v>77</v>
      </c>
      <c r="F94" s="2">
        <v>54</v>
      </c>
      <c r="G94" s="2" t="s">
        <v>207</v>
      </c>
      <c r="H94" s="2" t="s">
        <v>36</v>
      </c>
      <c r="I94" s="2" t="s">
        <v>63</v>
      </c>
      <c r="J94" s="2" t="s">
        <v>64</v>
      </c>
      <c r="K94" s="2" t="s">
        <v>39</v>
      </c>
      <c r="L94" s="2" t="s">
        <v>40</v>
      </c>
      <c r="M94" s="2">
        <v>5</v>
      </c>
      <c r="N94" s="2">
        <v>2695.5</v>
      </c>
      <c r="O94" s="2">
        <v>1650</v>
      </c>
      <c r="P94" s="2">
        <v>10</v>
      </c>
      <c r="Q94" s="2" t="s">
        <v>103</v>
      </c>
      <c r="R94" s="2" t="s">
        <v>42</v>
      </c>
      <c r="S94" s="3">
        <v>45382</v>
      </c>
      <c r="T94" s="6">
        <v>5</v>
      </c>
    </row>
    <row r="95" spans="1:20" x14ac:dyDescent="0.3">
      <c r="A95" s="2" t="s">
        <v>373</v>
      </c>
      <c r="B95" s="3">
        <v>45649</v>
      </c>
      <c r="C95" s="2" t="s">
        <v>374</v>
      </c>
      <c r="D95" s="2" t="s">
        <v>100</v>
      </c>
      <c r="E95" s="2" t="s">
        <v>23</v>
      </c>
      <c r="F95" s="2">
        <v>24</v>
      </c>
      <c r="G95" s="2" t="s">
        <v>122</v>
      </c>
      <c r="H95" s="2" t="s">
        <v>123</v>
      </c>
      <c r="I95" s="2" t="s">
        <v>26</v>
      </c>
      <c r="J95" s="2" t="s">
        <v>27</v>
      </c>
      <c r="K95" s="2" t="s">
        <v>28</v>
      </c>
      <c r="L95" s="2" t="s">
        <v>29</v>
      </c>
      <c r="M95" s="2">
        <v>4</v>
      </c>
      <c r="N95" s="2">
        <v>3897</v>
      </c>
      <c r="O95" s="2">
        <v>3160</v>
      </c>
      <c r="P95" s="2">
        <v>25</v>
      </c>
      <c r="Q95" s="2" t="s">
        <v>30</v>
      </c>
      <c r="R95" s="2" t="s">
        <v>42</v>
      </c>
      <c r="S95" s="3">
        <v>45652</v>
      </c>
      <c r="T95" s="6">
        <v>4</v>
      </c>
    </row>
    <row r="96" spans="1:20" x14ac:dyDescent="0.3">
      <c r="A96" s="2" t="s">
        <v>375</v>
      </c>
      <c r="B96" s="3">
        <v>45521</v>
      </c>
      <c r="C96" s="2" t="s">
        <v>376</v>
      </c>
      <c r="D96" s="2" t="s">
        <v>377</v>
      </c>
      <c r="E96" s="2" t="s">
        <v>23</v>
      </c>
      <c r="F96" s="2">
        <v>24</v>
      </c>
      <c r="G96" s="2" t="s">
        <v>126</v>
      </c>
      <c r="H96" s="2" t="s">
        <v>127</v>
      </c>
      <c r="I96" s="2" t="s">
        <v>229</v>
      </c>
      <c r="J96" s="2" t="s">
        <v>230</v>
      </c>
      <c r="K96" s="2" t="s">
        <v>28</v>
      </c>
      <c r="L96" s="2" t="s">
        <v>231</v>
      </c>
      <c r="M96" s="2">
        <v>3</v>
      </c>
      <c r="N96" s="2">
        <v>5397.3</v>
      </c>
      <c r="O96" s="2">
        <v>3690</v>
      </c>
      <c r="P96" s="2">
        <v>10</v>
      </c>
      <c r="Q96" s="2" t="s">
        <v>30</v>
      </c>
      <c r="R96" s="2" t="s">
        <v>42</v>
      </c>
      <c r="S96" s="3">
        <v>45527</v>
      </c>
      <c r="T96" s="6">
        <v>5</v>
      </c>
    </row>
    <row r="97" spans="1:20" x14ac:dyDescent="0.3">
      <c r="A97" s="2" t="s">
        <v>378</v>
      </c>
      <c r="B97" s="3">
        <v>46004</v>
      </c>
      <c r="C97" s="2" t="s">
        <v>379</v>
      </c>
      <c r="D97" s="2" t="s">
        <v>380</v>
      </c>
      <c r="E97" s="2" t="s">
        <v>77</v>
      </c>
      <c r="F97" s="2">
        <v>41</v>
      </c>
      <c r="G97" s="2" t="s">
        <v>101</v>
      </c>
      <c r="H97" s="2" t="s">
        <v>102</v>
      </c>
      <c r="I97" s="2" t="s">
        <v>63</v>
      </c>
      <c r="J97" s="2" t="s">
        <v>64</v>
      </c>
      <c r="K97" s="2" t="s">
        <v>39</v>
      </c>
      <c r="L97" s="2" t="s">
        <v>40</v>
      </c>
      <c r="M97" s="2">
        <v>5</v>
      </c>
      <c r="N97" s="2">
        <v>2995</v>
      </c>
      <c r="O97" s="2">
        <v>1650</v>
      </c>
      <c r="P97" s="2">
        <v>0</v>
      </c>
      <c r="Q97" s="2" t="s">
        <v>73</v>
      </c>
      <c r="R97" s="2" t="s">
        <v>42</v>
      </c>
      <c r="S97" s="3">
        <v>46010</v>
      </c>
      <c r="T97" s="6">
        <v>4</v>
      </c>
    </row>
    <row r="98" spans="1:20" x14ac:dyDescent="0.3">
      <c r="A98" s="2" t="s">
        <v>381</v>
      </c>
      <c r="B98" s="3">
        <v>45445</v>
      </c>
      <c r="C98" s="2" t="s">
        <v>382</v>
      </c>
      <c r="D98" s="2" t="s">
        <v>188</v>
      </c>
      <c r="E98" s="2" t="s">
        <v>23</v>
      </c>
      <c r="F98" s="2">
        <v>44</v>
      </c>
      <c r="G98" s="2" t="s">
        <v>122</v>
      </c>
      <c r="H98" s="2" t="s">
        <v>123</v>
      </c>
      <c r="I98" s="2" t="s">
        <v>229</v>
      </c>
      <c r="J98" s="2" t="s">
        <v>230</v>
      </c>
      <c r="K98" s="2" t="s">
        <v>28</v>
      </c>
      <c r="L98" s="2" t="s">
        <v>231</v>
      </c>
      <c r="M98" s="2">
        <v>3</v>
      </c>
      <c r="N98" s="2">
        <v>5097.45</v>
      </c>
      <c r="O98" s="2">
        <v>3690</v>
      </c>
      <c r="P98" s="2">
        <v>15</v>
      </c>
      <c r="Q98" s="2" t="s">
        <v>41</v>
      </c>
      <c r="R98" s="2" t="s">
        <v>42</v>
      </c>
      <c r="S98" s="3">
        <v>45447</v>
      </c>
      <c r="T98" s="6">
        <v>4</v>
      </c>
    </row>
    <row r="99" spans="1:20" x14ac:dyDescent="0.3">
      <c r="A99" s="2" t="s">
        <v>383</v>
      </c>
      <c r="B99" s="3">
        <v>45721</v>
      </c>
      <c r="C99" s="2" t="s">
        <v>384</v>
      </c>
      <c r="D99" s="2" t="s">
        <v>385</v>
      </c>
      <c r="E99" s="2" t="s">
        <v>23</v>
      </c>
      <c r="F99" s="2">
        <v>55</v>
      </c>
      <c r="G99" s="2" t="s">
        <v>46</v>
      </c>
      <c r="H99" s="2" t="s">
        <v>25</v>
      </c>
      <c r="I99" s="2" t="s">
        <v>229</v>
      </c>
      <c r="J99" s="2" t="s">
        <v>230</v>
      </c>
      <c r="K99" s="2" t="s">
        <v>28</v>
      </c>
      <c r="L99" s="2" t="s">
        <v>231</v>
      </c>
      <c r="M99" s="2">
        <v>4</v>
      </c>
      <c r="N99" s="2">
        <v>7996</v>
      </c>
      <c r="O99" s="2">
        <v>4920</v>
      </c>
      <c r="P99" s="2">
        <v>0</v>
      </c>
      <c r="Q99" s="2" t="s">
        <v>50</v>
      </c>
      <c r="R99" s="2" t="s">
        <v>65</v>
      </c>
      <c r="S99" s="3" t="s">
        <v>1604</v>
      </c>
      <c r="T99" s="6" t="s">
        <v>1604</v>
      </c>
    </row>
    <row r="100" spans="1:20" x14ac:dyDescent="0.3">
      <c r="A100" s="2" t="s">
        <v>386</v>
      </c>
      <c r="B100" s="3">
        <v>45539</v>
      </c>
      <c r="C100" s="2" t="s">
        <v>387</v>
      </c>
      <c r="D100" s="2" t="s">
        <v>388</v>
      </c>
      <c r="E100" s="2" t="s">
        <v>23</v>
      </c>
      <c r="F100" s="2">
        <v>32</v>
      </c>
      <c r="G100" s="2" t="s">
        <v>35</v>
      </c>
      <c r="H100" s="2" t="s">
        <v>36</v>
      </c>
      <c r="I100" s="2" t="s">
        <v>134</v>
      </c>
      <c r="J100" s="2" t="s">
        <v>135</v>
      </c>
      <c r="K100" s="2" t="s">
        <v>39</v>
      </c>
      <c r="L100" s="2" t="s">
        <v>136</v>
      </c>
      <c r="M100" s="2">
        <v>1</v>
      </c>
      <c r="N100" s="2">
        <v>149.25</v>
      </c>
      <c r="O100" s="2">
        <v>90</v>
      </c>
      <c r="P100" s="2">
        <v>25</v>
      </c>
      <c r="Q100" s="2" t="s">
        <v>30</v>
      </c>
      <c r="R100" s="2" t="s">
        <v>65</v>
      </c>
      <c r="S100" s="3" t="s">
        <v>1604</v>
      </c>
      <c r="T100" s="6" t="s">
        <v>1604</v>
      </c>
    </row>
    <row r="101" spans="1:20" x14ac:dyDescent="0.3">
      <c r="A101" s="2" t="s">
        <v>389</v>
      </c>
      <c r="B101" s="3">
        <v>45718</v>
      </c>
      <c r="C101" s="2" t="s">
        <v>390</v>
      </c>
      <c r="D101" s="2" t="s">
        <v>391</v>
      </c>
      <c r="E101" s="2" t="s">
        <v>23</v>
      </c>
      <c r="F101" s="2">
        <v>52</v>
      </c>
      <c r="G101" s="2" t="s">
        <v>46</v>
      </c>
      <c r="H101" s="2" t="s">
        <v>25</v>
      </c>
      <c r="I101" s="2" t="s">
        <v>112</v>
      </c>
      <c r="J101" s="2" t="s">
        <v>113</v>
      </c>
      <c r="K101" s="2" t="s">
        <v>114</v>
      </c>
      <c r="L101" s="2" t="s">
        <v>115</v>
      </c>
      <c r="M101" s="2">
        <v>3</v>
      </c>
      <c r="N101" s="2">
        <v>1992.15</v>
      </c>
      <c r="O101" s="2">
        <v>1110</v>
      </c>
      <c r="P101" s="2">
        <v>5</v>
      </c>
      <c r="Q101" s="2" t="s">
        <v>50</v>
      </c>
      <c r="R101" s="2" t="s">
        <v>65</v>
      </c>
      <c r="S101" s="3" t="s">
        <v>1604</v>
      </c>
      <c r="T101" s="6" t="s">
        <v>1604</v>
      </c>
    </row>
    <row r="102" spans="1:20" x14ac:dyDescent="0.3">
      <c r="A102" s="2" t="s">
        <v>392</v>
      </c>
      <c r="B102" s="3">
        <v>45811</v>
      </c>
      <c r="C102" s="2" t="s">
        <v>337</v>
      </c>
      <c r="D102" s="2" t="s">
        <v>338</v>
      </c>
      <c r="E102" s="2" t="s">
        <v>77</v>
      </c>
      <c r="F102" s="2">
        <v>25</v>
      </c>
      <c r="G102" s="2" t="s">
        <v>161</v>
      </c>
      <c r="H102" s="2" t="s">
        <v>25</v>
      </c>
      <c r="I102" s="2" t="s">
        <v>47</v>
      </c>
      <c r="J102" s="2" t="s">
        <v>48</v>
      </c>
      <c r="K102" s="2" t="s">
        <v>39</v>
      </c>
      <c r="L102" s="2" t="s">
        <v>49</v>
      </c>
      <c r="M102" s="2">
        <v>4</v>
      </c>
      <c r="N102" s="2">
        <v>1596</v>
      </c>
      <c r="O102" s="2">
        <v>840</v>
      </c>
      <c r="P102" s="2">
        <v>0</v>
      </c>
      <c r="Q102" s="2" t="s">
        <v>103</v>
      </c>
      <c r="R102" s="2" t="s">
        <v>42</v>
      </c>
      <c r="S102" s="3">
        <v>45817</v>
      </c>
      <c r="T102" s="6">
        <v>2</v>
      </c>
    </row>
    <row r="103" spans="1:20" x14ac:dyDescent="0.3">
      <c r="A103" s="2" t="s">
        <v>393</v>
      </c>
      <c r="B103" s="3">
        <v>45657</v>
      </c>
      <c r="C103" s="2" t="s">
        <v>394</v>
      </c>
      <c r="D103" s="2" t="s">
        <v>395</v>
      </c>
      <c r="E103" s="2" t="s">
        <v>77</v>
      </c>
      <c r="F103" s="2">
        <v>35</v>
      </c>
      <c r="G103" s="2" t="s">
        <v>211</v>
      </c>
      <c r="H103" s="2" t="s">
        <v>127</v>
      </c>
      <c r="I103" s="2" t="s">
        <v>304</v>
      </c>
      <c r="J103" s="2" t="s">
        <v>305</v>
      </c>
      <c r="K103" s="2" t="s">
        <v>28</v>
      </c>
      <c r="L103" s="2" t="s">
        <v>231</v>
      </c>
      <c r="M103" s="2">
        <v>1</v>
      </c>
      <c r="N103" s="2">
        <v>1349.25</v>
      </c>
      <c r="O103" s="2">
        <v>1080</v>
      </c>
      <c r="P103" s="2">
        <v>25</v>
      </c>
      <c r="Q103" s="2" t="s">
        <v>30</v>
      </c>
      <c r="R103" s="2" t="s">
        <v>42</v>
      </c>
      <c r="S103" s="3">
        <v>45664</v>
      </c>
      <c r="T103" s="6">
        <v>4</v>
      </c>
    </row>
    <row r="104" spans="1:20" x14ac:dyDescent="0.3">
      <c r="A104" s="2" t="s">
        <v>396</v>
      </c>
      <c r="B104" s="3">
        <v>45950</v>
      </c>
      <c r="C104" s="2" t="s">
        <v>110</v>
      </c>
      <c r="D104" s="2" t="s">
        <v>111</v>
      </c>
      <c r="E104" s="2" t="s">
        <v>23</v>
      </c>
      <c r="F104" s="2">
        <v>39</v>
      </c>
      <c r="G104" s="2" t="s">
        <v>61</v>
      </c>
      <c r="H104" s="2" t="s">
        <v>62</v>
      </c>
      <c r="I104" s="2" t="s">
        <v>85</v>
      </c>
      <c r="J104" s="2" t="s">
        <v>86</v>
      </c>
      <c r="K104" s="2" t="s">
        <v>87</v>
      </c>
      <c r="L104" s="2" t="s">
        <v>88</v>
      </c>
      <c r="M104" s="2">
        <v>4</v>
      </c>
      <c r="N104" s="2">
        <v>5036.3999999999996</v>
      </c>
      <c r="O104" s="2">
        <v>3160</v>
      </c>
      <c r="P104" s="2">
        <v>10</v>
      </c>
      <c r="Q104" s="2" t="s">
        <v>30</v>
      </c>
      <c r="R104" s="2" t="s">
        <v>42</v>
      </c>
      <c r="S104" s="3">
        <v>45959</v>
      </c>
      <c r="T104" s="6">
        <v>2</v>
      </c>
    </row>
    <row r="105" spans="1:20" x14ac:dyDescent="0.3">
      <c r="A105" s="2" t="s">
        <v>397</v>
      </c>
      <c r="B105" s="3">
        <v>45592</v>
      </c>
      <c r="C105" s="2" t="s">
        <v>398</v>
      </c>
      <c r="D105" s="2" t="s">
        <v>399</v>
      </c>
      <c r="E105" s="2" t="s">
        <v>77</v>
      </c>
      <c r="F105" s="2">
        <v>49</v>
      </c>
      <c r="G105" s="2" t="s">
        <v>24</v>
      </c>
      <c r="H105" s="2" t="s">
        <v>25</v>
      </c>
      <c r="I105" s="2" t="s">
        <v>70</v>
      </c>
      <c r="J105" s="2" t="s">
        <v>71</v>
      </c>
      <c r="K105" s="2" t="s">
        <v>28</v>
      </c>
      <c r="L105" s="2" t="s">
        <v>72</v>
      </c>
      <c r="M105" s="2">
        <v>1</v>
      </c>
      <c r="N105" s="2">
        <v>1124.25</v>
      </c>
      <c r="O105" s="2">
        <v>920</v>
      </c>
      <c r="P105" s="2">
        <v>25</v>
      </c>
      <c r="Q105" s="2" t="s">
        <v>41</v>
      </c>
      <c r="R105" s="2" t="s">
        <v>65</v>
      </c>
      <c r="S105" s="3" t="s">
        <v>1604</v>
      </c>
      <c r="T105" s="6" t="s">
        <v>1604</v>
      </c>
    </row>
    <row r="106" spans="1:20" x14ac:dyDescent="0.3">
      <c r="A106" s="2" t="s">
        <v>400</v>
      </c>
      <c r="B106" s="3">
        <v>45699</v>
      </c>
      <c r="C106" s="2" t="s">
        <v>401</v>
      </c>
      <c r="D106" s="2" t="s">
        <v>402</v>
      </c>
      <c r="E106" s="2" t="s">
        <v>23</v>
      </c>
      <c r="F106" s="2">
        <v>53</v>
      </c>
      <c r="G106" s="2" t="s">
        <v>101</v>
      </c>
      <c r="H106" s="2" t="s">
        <v>102</v>
      </c>
      <c r="I106" s="2" t="s">
        <v>128</v>
      </c>
      <c r="J106" s="2" t="s">
        <v>129</v>
      </c>
      <c r="K106" s="2" t="s">
        <v>130</v>
      </c>
      <c r="L106" s="2" t="s">
        <v>131</v>
      </c>
      <c r="M106" s="2">
        <v>1</v>
      </c>
      <c r="N106" s="2">
        <v>5524.15</v>
      </c>
      <c r="O106" s="2">
        <v>5100</v>
      </c>
      <c r="P106" s="2">
        <v>15</v>
      </c>
      <c r="Q106" s="2" t="s">
        <v>41</v>
      </c>
      <c r="R106" s="2" t="s">
        <v>42</v>
      </c>
      <c r="S106" s="3">
        <v>45701</v>
      </c>
      <c r="T106" s="6">
        <v>4</v>
      </c>
    </row>
    <row r="107" spans="1:20" x14ac:dyDescent="0.3">
      <c r="A107" s="2" t="s">
        <v>403</v>
      </c>
      <c r="B107" s="3">
        <v>45571</v>
      </c>
      <c r="C107" s="2" t="s">
        <v>404</v>
      </c>
      <c r="D107" s="2" t="s">
        <v>326</v>
      </c>
      <c r="E107" s="2" t="s">
        <v>23</v>
      </c>
      <c r="F107" s="2">
        <v>54</v>
      </c>
      <c r="G107" s="2" t="s">
        <v>211</v>
      </c>
      <c r="H107" s="2" t="s">
        <v>127</v>
      </c>
      <c r="I107" s="2" t="s">
        <v>134</v>
      </c>
      <c r="J107" s="2" t="s">
        <v>135</v>
      </c>
      <c r="K107" s="2" t="s">
        <v>39</v>
      </c>
      <c r="L107" s="2" t="s">
        <v>136</v>
      </c>
      <c r="M107" s="2">
        <v>4</v>
      </c>
      <c r="N107" s="2">
        <v>477.6</v>
      </c>
      <c r="O107" s="2">
        <v>360</v>
      </c>
      <c r="P107" s="2">
        <v>40</v>
      </c>
      <c r="Q107" s="2" t="s">
        <v>103</v>
      </c>
      <c r="R107" s="2" t="s">
        <v>42</v>
      </c>
      <c r="S107" s="3">
        <v>45575</v>
      </c>
      <c r="T107" s="6">
        <v>5</v>
      </c>
    </row>
    <row r="108" spans="1:20" x14ac:dyDescent="0.3">
      <c r="A108" s="2" t="s">
        <v>405</v>
      </c>
      <c r="B108" s="3">
        <v>46000</v>
      </c>
      <c r="C108" s="2" t="s">
        <v>406</v>
      </c>
      <c r="D108" s="2" t="s">
        <v>407</v>
      </c>
      <c r="E108" s="2" t="s">
        <v>23</v>
      </c>
      <c r="F108" s="2">
        <v>37</v>
      </c>
      <c r="G108" s="2" t="s">
        <v>211</v>
      </c>
      <c r="H108" s="2" t="s">
        <v>127</v>
      </c>
      <c r="I108" s="2" t="s">
        <v>112</v>
      </c>
      <c r="J108" s="2" t="s">
        <v>113</v>
      </c>
      <c r="K108" s="2" t="s">
        <v>114</v>
      </c>
      <c r="L108" s="2" t="s">
        <v>115</v>
      </c>
      <c r="M108" s="2">
        <v>3</v>
      </c>
      <c r="N108" s="2">
        <v>1992.15</v>
      </c>
      <c r="O108" s="2">
        <v>1110</v>
      </c>
      <c r="P108" s="2">
        <v>5</v>
      </c>
      <c r="Q108" s="2" t="s">
        <v>103</v>
      </c>
      <c r="R108" s="2" t="s">
        <v>42</v>
      </c>
      <c r="S108" s="3">
        <v>46008</v>
      </c>
      <c r="T108" s="6">
        <v>3</v>
      </c>
    </row>
    <row r="109" spans="1:20" x14ac:dyDescent="0.3">
      <c r="A109" s="2" t="s">
        <v>408</v>
      </c>
      <c r="B109" s="3">
        <v>45850</v>
      </c>
      <c r="C109" s="2" t="s">
        <v>409</v>
      </c>
      <c r="D109" s="2" t="s">
        <v>352</v>
      </c>
      <c r="E109" s="2" t="s">
        <v>77</v>
      </c>
      <c r="F109" s="2">
        <v>33</v>
      </c>
      <c r="G109" s="2" t="s">
        <v>126</v>
      </c>
      <c r="H109" s="2" t="s">
        <v>127</v>
      </c>
      <c r="I109" s="2" t="s">
        <v>229</v>
      </c>
      <c r="J109" s="2" t="s">
        <v>230</v>
      </c>
      <c r="K109" s="2" t="s">
        <v>28</v>
      </c>
      <c r="L109" s="2" t="s">
        <v>231</v>
      </c>
      <c r="M109" s="2">
        <v>1</v>
      </c>
      <c r="N109" s="2">
        <v>1499.25</v>
      </c>
      <c r="O109" s="2">
        <v>1230</v>
      </c>
      <c r="P109" s="2">
        <v>25</v>
      </c>
      <c r="Q109" s="2" t="s">
        <v>41</v>
      </c>
      <c r="R109" s="2" t="s">
        <v>42</v>
      </c>
      <c r="S109" s="3">
        <v>45859</v>
      </c>
      <c r="T109" s="6">
        <v>5</v>
      </c>
    </row>
    <row r="110" spans="1:20" x14ac:dyDescent="0.3">
      <c r="A110" s="2" t="s">
        <v>410</v>
      </c>
      <c r="B110" s="3">
        <v>45462</v>
      </c>
      <c r="C110" s="2" t="s">
        <v>243</v>
      </c>
      <c r="D110" s="2" t="s">
        <v>244</v>
      </c>
      <c r="E110" s="2" t="s">
        <v>77</v>
      </c>
      <c r="F110" s="2">
        <v>52</v>
      </c>
      <c r="G110" s="2" t="s">
        <v>211</v>
      </c>
      <c r="H110" s="2" t="s">
        <v>127</v>
      </c>
      <c r="I110" s="2" t="s">
        <v>63</v>
      </c>
      <c r="J110" s="2" t="s">
        <v>64</v>
      </c>
      <c r="K110" s="2" t="s">
        <v>39</v>
      </c>
      <c r="L110" s="2" t="s">
        <v>40</v>
      </c>
      <c r="M110" s="2">
        <v>1</v>
      </c>
      <c r="N110" s="2">
        <v>449.25</v>
      </c>
      <c r="O110" s="2">
        <v>330</v>
      </c>
      <c r="P110" s="2">
        <v>25</v>
      </c>
      <c r="Q110" s="2" t="s">
        <v>50</v>
      </c>
      <c r="R110" s="2" t="s">
        <v>42</v>
      </c>
      <c r="S110" s="3">
        <v>45468</v>
      </c>
      <c r="T110" s="6">
        <v>2</v>
      </c>
    </row>
    <row r="111" spans="1:20" x14ac:dyDescent="0.3">
      <c r="A111" s="2" t="s">
        <v>411</v>
      </c>
      <c r="B111" s="3">
        <v>45368</v>
      </c>
      <c r="C111" s="2" t="s">
        <v>412</v>
      </c>
      <c r="D111" s="2" t="s">
        <v>413</v>
      </c>
      <c r="E111" s="2" t="s">
        <v>77</v>
      </c>
      <c r="F111" s="2">
        <v>38</v>
      </c>
      <c r="G111" s="2" t="s">
        <v>211</v>
      </c>
      <c r="H111" s="2" t="s">
        <v>127</v>
      </c>
      <c r="I111" s="2" t="s">
        <v>112</v>
      </c>
      <c r="J111" s="2" t="s">
        <v>113</v>
      </c>
      <c r="K111" s="2" t="s">
        <v>114</v>
      </c>
      <c r="L111" s="2" t="s">
        <v>115</v>
      </c>
      <c r="M111" s="2">
        <v>2</v>
      </c>
      <c r="N111" s="2">
        <v>1398</v>
      </c>
      <c r="O111" s="2">
        <v>740</v>
      </c>
      <c r="P111" s="2">
        <v>0</v>
      </c>
      <c r="Q111" s="2" t="s">
        <v>30</v>
      </c>
      <c r="R111" s="2" t="s">
        <v>57</v>
      </c>
      <c r="S111" s="3">
        <v>45379</v>
      </c>
      <c r="T111" s="6">
        <v>5</v>
      </c>
    </row>
    <row r="112" spans="1:20" x14ac:dyDescent="0.3">
      <c r="A112" s="2" t="s">
        <v>414</v>
      </c>
      <c r="B112" s="3">
        <v>45327</v>
      </c>
      <c r="C112" s="2" t="s">
        <v>415</v>
      </c>
      <c r="D112" s="2" t="s">
        <v>416</v>
      </c>
      <c r="E112" s="2" t="s">
        <v>23</v>
      </c>
      <c r="F112" s="2">
        <v>49</v>
      </c>
      <c r="G112" s="2" t="s">
        <v>46</v>
      </c>
      <c r="H112" s="2" t="s">
        <v>25</v>
      </c>
      <c r="I112" s="2" t="s">
        <v>304</v>
      </c>
      <c r="J112" s="2" t="s">
        <v>305</v>
      </c>
      <c r="K112" s="2" t="s">
        <v>28</v>
      </c>
      <c r="L112" s="2" t="s">
        <v>231</v>
      </c>
      <c r="M112" s="2">
        <v>3</v>
      </c>
      <c r="N112" s="2">
        <v>4047.75</v>
      </c>
      <c r="O112" s="2">
        <v>3240</v>
      </c>
      <c r="P112" s="2">
        <v>25</v>
      </c>
      <c r="Q112" s="2" t="s">
        <v>103</v>
      </c>
      <c r="R112" s="2" t="s">
        <v>65</v>
      </c>
      <c r="S112" s="3" t="s">
        <v>1604</v>
      </c>
      <c r="T112" s="6" t="s">
        <v>1604</v>
      </c>
    </row>
    <row r="113" spans="1:20" x14ac:dyDescent="0.3">
      <c r="A113" s="2" t="s">
        <v>417</v>
      </c>
      <c r="B113" s="3">
        <v>45325</v>
      </c>
      <c r="C113" s="2" t="s">
        <v>325</v>
      </c>
      <c r="D113" s="2" t="s">
        <v>326</v>
      </c>
      <c r="E113" s="2" t="s">
        <v>23</v>
      </c>
      <c r="F113" s="2">
        <v>22</v>
      </c>
      <c r="G113" s="2" t="s">
        <v>61</v>
      </c>
      <c r="H113" s="2" t="s">
        <v>62</v>
      </c>
      <c r="I113" s="2" t="s">
        <v>245</v>
      </c>
      <c r="J113" s="2" t="s">
        <v>246</v>
      </c>
      <c r="K113" s="2" t="s">
        <v>130</v>
      </c>
      <c r="L113" s="2" t="s">
        <v>247</v>
      </c>
      <c r="M113" s="2">
        <v>3</v>
      </c>
      <c r="N113" s="2">
        <v>4498.2</v>
      </c>
      <c r="O113" s="2">
        <v>5610</v>
      </c>
      <c r="P113" s="2">
        <v>40</v>
      </c>
      <c r="Q113" s="2" t="s">
        <v>73</v>
      </c>
      <c r="R113" s="2" t="s">
        <v>65</v>
      </c>
      <c r="S113" s="3" t="s">
        <v>1604</v>
      </c>
      <c r="T113" s="6" t="s">
        <v>1604</v>
      </c>
    </row>
    <row r="114" spans="1:20" x14ac:dyDescent="0.3">
      <c r="A114" s="2" t="s">
        <v>418</v>
      </c>
      <c r="B114" s="3">
        <v>45432</v>
      </c>
      <c r="C114" s="2" t="s">
        <v>272</v>
      </c>
      <c r="D114" s="2" t="s">
        <v>273</v>
      </c>
      <c r="E114" s="2" t="s">
        <v>23</v>
      </c>
      <c r="F114" s="2">
        <v>46</v>
      </c>
      <c r="G114" s="2" t="s">
        <v>211</v>
      </c>
      <c r="H114" s="2" t="s">
        <v>127</v>
      </c>
      <c r="I114" s="2" t="s">
        <v>47</v>
      </c>
      <c r="J114" s="2" t="s">
        <v>48</v>
      </c>
      <c r="K114" s="2" t="s">
        <v>39</v>
      </c>
      <c r="L114" s="2" t="s">
        <v>49</v>
      </c>
      <c r="M114" s="2">
        <v>3</v>
      </c>
      <c r="N114" s="2">
        <v>957.6</v>
      </c>
      <c r="O114" s="2">
        <v>630</v>
      </c>
      <c r="P114" s="2">
        <v>20</v>
      </c>
      <c r="Q114" s="2" t="s">
        <v>30</v>
      </c>
      <c r="R114" s="2" t="s">
        <v>42</v>
      </c>
      <c r="S114" s="3">
        <v>45434</v>
      </c>
      <c r="T114" s="6">
        <v>3</v>
      </c>
    </row>
    <row r="115" spans="1:20" x14ac:dyDescent="0.3">
      <c r="A115" s="2" t="s">
        <v>419</v>
      </c>
      <c r="B115" s="3">
        <v>45803</v>
      </c>
      <c r="C115" s="2" t="s">
        <v>420</v>
      </c>
      <c r="D115" s="2" t="s">
        <v>76</v>
      </c>
      <c r="E115" s="2" t="s">
        <v>77</v>
      </c>
      <c r="F115" s="2">
        <v>27</v>
      </c>
      <c r="G115" s="2" t="s">
        <v>165</v>
      </c>
      <c r="H115" s="2" t="s">
        <v>166</v>
      </c>
      <c r="I115" s="2" t="s">
        <v>222</v>
      </c>
      <c r="J115" s="2" t="s">
        <v>223</v>
      </c>
      <c r="K115" s="2" t="s">
        <v>114</v>
      </c>
      <c r="L115" s="2" t="s">
        <v>115</v>
      </c>
      <c r="M115" s="2">
        <v>1</v>
      </c>
      <c r="N115" s="2">
        <v>719.2</v>
      </c>
      <c r="O115" s="2">
        <v>510</v>
      </c>
      <c r="P115" s="2">
        <v>20</v>
      </c>
      <c r="Q115" s="2" t="s">
        <v>41</v>
      </c>
      <c r="R115" s="2" t="s">
        <v>31</v>
      </c>
      <c r="S115" s="3">
        <v>45812</v>
      </c>
      <c r="T115" s="6">
        <v>4</v>
      </c>
    </row>
    <row r="116" spans="1:20" x14ac:dyDescent="0.3">
      <c r="A116" s="2" t="s">
        <v>421</v>
      </c>
      <c r="B116" s="3">
        <v>45918</v>
      </c>
      <c r="C116" s="2" t="s">
        <v>422</v>
      </c>
      <c r="D116" s="2" t="s">
        <v>367</v>
      </c>
      <c r="E116" s="2" t="s">
        <v>77</v>
      </c>
      <c r="F116" s="2">
        <v>41</v>
      </c>
      <c r="G116" s="2" t="s">
        <v>101</v>
      </c>
      <c r="H116" s="2" t="s">
        <v>102</v>
      </c>
      <c r="I116" s="2" t="s">
        <v>70</v>
      </c>
      <c r="J116" s="2" t="s">
        <v>71</v>
      </c>
      <c r="K116" s="2" t="s">
        <v>28</v>
      </c>
      <c r="L116" s="2" t="s">
        <v>72</v>
      </c>
      <c r="M116" s="2">
        <v>1</v>
      </c>
      <c r="N116" s="2">
        <v>1349.1</v>
      </c>
      <c r="O116" s="2">
        <v>920</v>
      </c>
      <c r="P116" s="2">
        <v>10</v>
      </c>
      <c r="Q116" s="2" t="s">
        <v>73</v>
      </c>
      <c r="R116" s="2" t="s">
        <v>42</v>
      </c>
      <c r="S116" s="3">
        <v>45922</v>
      </c>
      <c r="T116" s="6">
        <v>5</v>
      </c>
    </row>
    <row r="117" spans="1:20" x14ac:dyDescent="0.3">
      <c r="A117" s="2" t="s">
        <v>423</v>
      </c>
      <c r="B117" s="3">
        <v>45381</v>
      </c>
      <c r="C117" s="2" t="s">
        <v>424</v>
      </c>
      <c r="D117" s="2" t="s">
        <v>273</v>
      </c>
      <c r="E117" s="2" t="s">
        <v>23</v>
      </c>
      <c r="F117" s="2">
        <v>40</v>
      </c>
      <c r="G117" s="2" t="s">
        <v>425</v>
      </c>
      <c r="H117" s="2" t="s">
        <v>127</v>
      </c>
      <c r="I117" s="2" t="s">
        <v>85</v>
      </c>
      <c r="J117" s="2" t="s">
        <v>86</v>
      </c>
      <c r="K117" s="2" t="s">
        <v>87</v>
      </c>
      <c r="L117" s="2" t="s">
        <v>88</v>
      </c>
      <c r="M117" s="2">
        <v>1</v>
      </c>
      <c r="N117" s="2">
        <v>1119.2</v>
      </c>
      <c r="O117" s="2">
        <v>790</v>
      </c>
      <c r="P117" s="2">
        <v>20</v>
      </c>
      <c r="Q117" s="2" t="s">
        <v>41</v>
      </c>
      <c r="R117" s="2" t="s">
        <v>57</v>
      </c>
      <c r="S117" s="3">
        <v>45385</v>
      </c>
      <c r="T117" s="6">
        <v>3</v>
      </c>
    </row>
    <row r="118" spans="1:20" x14ac:dyDescent="0.3">
      <c r="A118" s="2" t="s">
        <v>426</v>
      </c>
      <c r="B118" s="3">
        <v>45662</v>
      </c>
      <c r="C118" s="2" t="s">
        <v>427</v>
      </c>
      <c r="D118" s="2" t="s">
        <v>407</v>
      </c>
      <c r="E118" s="2" t="s">
        <v>23</v>
      </c>
      <c r="F118" s="2">
        <v>40</v>
      </c>
      <c r="G118" s="2" t="s">
        <v>90</v>
      </c>
      <c r="H118" s="2" t="s">
        <v>91</v>
      </c>
      <c r="I118" s="2" t="s">
        <v>229</v>
      </c>
      <c r="J118" s="2" t="s">
        <v>230</v>
      </c>
      <c r="K118" s="2" t="s">
        <v>28</v>
      </c>
      <c r="L118" s="2" t="s">
        <v>231</v>
      </c>
      <c r="M118" s="2">
        <v>2</v>
      </c>
      <c r="N118" s="2">
        <v>3598.2</v>
      </c>
      <c r="O118" s="2">
        <v>2460</v>
      </c>
      <c r="P118" s="2">
        <v>10</v>
      </c>
      <c r="Q118" s="2" t="s">
        <v>30</v>
      </c>
      <c r="R118" s="2" t="s">
        <v>57</v>
      </c>
      <c r="S118" s="3">
        <v>45671</v>
      </c>
      <c r="T118" s="6">
        <v>2</v>
      </c>
    </row>
    <row r="119" spans="1:20" x14ac:dyDescent="0.3">
      <c r="A119" s="2" t="s">
        <v>428</v>
      </c>
      <c r="B119" s="3">
        <v>45661</v>
      </c>
      <c r="C119" s="2" t="s">
        <v>429</v>
      </c>
      <c r="D119" s="2" t="s">
        <v>315</v>
      </c>
      <c r="E119" s="2" t="s">
        <v>77</v>
      </c>
      <c r="F119" s="2">
        <v>23</v>
      </c>
      <c r="G119" s="2" t="s">
        <v>211</v>
      </c>
      <c r="H119" s="2" t="s">
        <v>127</v>
      </c>
      <c r="I119" s="2" t="s">
        <v>63</v>
      </c>
      <c r="J119" s="2" t="s">
        <v>64</v>
      </c>
      <c r="K119" s="2" t="s">
        <v>39</v>
      </c>
      <c r="L119" s="2" t="s">
        <v>40</v>
      </c>
      <c r="M119" s="2">
        <v>5</v>
      </c>
      <c r="N119" s="2">
        <v>2695.5</v>
      </c>
      <c r="O119" s="2">
        <v>1650</v>
      </c>
      <c r="P119" s="2">
        <v>10</v>
      </c>
      <c r="Q119" s="2" t="s">
        <v>50</v>
      </c>
      <c r="R119" s="2" t="s">
        <v>42</v>
      </c>
      <c r="S119" s="3">
        <v>45664</v>
      </c>
      <c r="T119" s="6">
        <v>4</v>
      </c>
    </row>
    <row r="120" spans="1:20" x14ac:dyDescent="0.3">
      <c r="A120" s="2" t="s">
        <v>430</v>
      </c>
      <c r="B120" s="3">
        <v>45699</v>
      </c>
      <c r="C120" s="2" t="s">
        <v>431</v>
      </c>
      <c r="D120" s="2" t="s">
        <v>432</v>
      </c>
      <c r="E120" s="2" t="s">
        <v>77</v>
      </c>
      <c r="F120" s="2">
        <v>19</v>
      </c>
      <c r="G120" s="2" t="s">
        <v>122</v>
      </c>
      <c r="H120" s="2" t="s">
        <v>123</v>
      </c>
      <c r="I120" s="2" t="s">
        <v>134</v>
      </c>
      <c r="J120" s="2" t="s">
        <v>135</v>
      </c>
      <c r="K120" s="2" t="s">
        <v>39</v>
      </c>
      <c r="L120" s="2" t="s">
        <v>136</v>
      </c>
      <c r="M120" s="2">
        <v>5</v>
      </c>
      <c r="N120" s="2">
        <v>945.25</v>
      </c>
      <c r="O120" s="2">
        <v>450</v>
      </c>
      <c r="P120" s="2">
        <v>5</v>
      </c>
      <c r="Q120" s="2" t="s">
        <v>30</v>
      </c>
      <c r="R120" s="2" t="s">
        <v>42</v>
      </c>
      <c r="S120" s="3">
        <v>45711</v>
      </c>
      <c r="T120" s="6">
        <v>3</v>
      </c>
    </row>
    <row r="121" spans="1:20" x14ac:dyDescent="0.3">
      <c r="A121" s="2" t="s">
        <v>433</v>
      </c>
      <c r="B121" s="3">
        <v>45752</v>
      </c>
      <c r="C121" s="2" t="s">
        <v>434</v>
      </c>
      <c r="D121" s="2" t="s">
        <v>435</v>
      </c>
      <c r="E121" s="2" t="s">
        <v>23</v>
      </c>
      <c r="F121" s="2">
        <v>42</v>
      </c>
      <c r="G121" s="2" t="s">
        <v>211</v>
      </c>
      <c r="H121" s="2" t="s">
        <v>127</v>
      </c>
      <c r="I121" s="2" t="s">
        <v>252</v>
      </c>
      <c r="J121" s="2" t="s">
        <v>253</v>
      </c>
      <c r="K121" s="2" t="s">
        <v>28</v>
      </c>
      <c r="L121" s="2" t="s">
        <v>254</v>
      </c>
      <c r="M121" s="2">
        <v>5</v>
      </c>
      <c r="N121" s="2">
        <v>13495.5</v>
      </c>
      <c r="O121" s="2">
        <v>9500</v>
      </c>
      <c r="P121" s="2">
        <v>10</v>
      </c>
      <c r="Q121" s="2" t="s">
        <v>30</v>
      </c>
      <c r="R121" s="2" t="s">
        <v>42</v>
      </c>
      <c r="S121" s="3">
        <v>45762</v>
      </c>
      <c r="T121" s="6">
        <v>2</v>
      </c>
    </row>
    <row r="122" spans="1:20" x14ac:dyDescent="0.3">
      <c r="A122" s="2" t="s">
        <v>436</v>
      </c>
      <c r="B122" s="3">
        <v>45419</v>
      </c>
      <c r="C122" s="2" t="s">
        <v>420</v>
      </c>
      <c r="D122" s="2" t="s">
        <v>76</v>
      </c>
      <c r="E122" s="2" t="s">
        <v>77</v>
      </c>
      <c r="F122" s="2">
        <v>27</v>
      </c>
      <c r="G122" s="2" t="s">
        <v>173</v>
      </c>
      <c r="H122" s="2" t="s">
        <v>79</v>
      </c>
      <c r="I122" s="2" t="s">
        <v>143</v>
      </c>
      <c r="J122" s="2" t="s">
        <v>144</v>
      </c>
      <c r="K122" s="2" t="s">
        <v>130</v>
      </c>
      <c r="L122" s="2" t="s">
        <v>131</v>
      </c>
      <c r="M122" s="2">
        <v>2</v>
      </c>
      <c r="N122" s="2">
        <v>9898.2000000000007</v>
      </c>
      <c r="O122" s="2">
        <v>8600</v>
      </c>
      <c r="P122" s="2">
        <v>10</v>
      </c>
      <c r="Q122" s="2" t="s">
        <v>41</v>
      </c>
      <c r="R122" s="2" t="s">
        <v>31</v>
      </c>
      <c r="S122" s="3">
        <v>45424</v>
      </c>
      <c r="T122" s="6">
        <v>4</v>
      </c>
    </row>
    <row r="123" spans="1:20" x14ac:dyDescent="0.3">
      <c r="A123" s="2" t="s">
        <v>437</v>
      </c>
      <c r="B123" s="3">
        <v>45823</v>
      </c>
      <c r="C123" s="2" t="s">
        <v>438</v>
      </c>
      <c r="D123" s="2" t="s">
        <v>439</v>
      </c>
      <c r="E123" s="2" t="s">
        <v>23</v>
      </c>
      <c r="F123" s="2">
        <v>27</v>
      </c>
      <c r="G123" s="2" t="s">
        <v>46</v>
      </c>
      <c r="H123" s="2" t="s">
        <v>25</v>
      </c>
      <c r="I123" s="2" t="s">
        <v>128</v>
      </c>
      <c r="J123" s="2" t="s">
        <v>129</v>
      </c>
      <c r="K123" s="2" t="s">
        <v>130</v>
      </c>
      <c r="L123" s="2" t="s">
        <v>131</v>
      </c>
      <c r="M123" s="2">
        <v>2</v>
      </c>
      <c r="N123" s="2">
        <v>10398.4</v>
      </c>
      <c r="O123" s="2">
        <v>10200</v>
      </c>
      <c r="P123" s="2">
        <v>20</v>
      </c>
      <c r="Q123" s="2" t="s">
        <v>30</v>
      </c>
      <c r="R123" s="2" t="s">
        <v>31</v>
      </c>
      <c r="S123" s="3">
        <v>45829</v>
      </c>
      <c r="T123" s="6">
        <v>3</v>
      </c>
    </row>
    <row r="124" spans="1:20" x14ac:dyDescent="0.3">
      <c r="A124" s="2" t="s">
        <v>440</v>
      </c>
      <c r="B124" s="3">
        <v>45806</v>
      </c>
      <c r="C124" s="2" t="s">
        <v>441</v>
      </c>
      <c r="D124" s="2" t="s">
        <v>442</v>
      </c>
      <c r="E124" s="2" t="s">
        <v>77</v>
      </c>
      <c r="F124" s="2">
        <v>44</v>
      </c>
      <c r="G124" s="2" t="s">
        <v>173</v>
      </c>
      <c r="H124" s="2" t="s">
        <v>79</v>
      </c>
      <c r="I124" s="2" t="s">
        <v>319</v>
      </c>
      <c r="J124" s="2" t="s">
        <v>320</v>
      </c>
      <c r="K124" s="2" t="s">
        <v>28</v>
      </c>
      <c r="L124" s="2" t="s">
        <v>29</v>
      </c>
      <c r="M124" s="2">
        <v>5</v>
      </c>
      <c r="N124" s="2">
        <v>4496.25</v>
      </c>
      <c r="O124" s="2">
        <v>3550</v>
      </c>
      <c r="P124" s="2">
        <v>25</v>
      </c>
      <c r="Q124" s="2" t="s">
        <v>50</v>
      </c>
      <c r="R124" s="2" t="s">
        <v>42</v>
      </c>
      <c r="S124" s="3">
        <v>45808</v>
      </c>
      <c r="T124" s="6">
        <v>3</v>
      </c>
    </row>
    <row r="125" spans="1:20" x14ac:dyDescent="0.3">
      <c r="A125" s="2" t="s">
        <v>443</v>
      </c>
      <c r="B125" s="3">
        <v>45338</v>
      </c>
      <c r="C125" s="2" t="s">
        <v>444</v>
      </c>
      <c r="D125" s="2" t="s">
        <v>298</v>
      </c>
      <c r="E125" s="2" t="s">
        <v>77</v>
      </c>
      <c r="F125" s="2">
        <v>55</v>
      </c>
      <c r="G125" s="2" t="s">
        <v>207</v>
      </c>
      <c r="H125" s="2" t="s">
        <v>36</v>
      </c>
      <c r="I125" s="2" t="s">
        <v>92</v>
      </c>
      <c r="J125" s="2" t="s">
        <v>93</v>
      </c>
      <c r="K125" s="2" t="s">
        <v>87</v>
      </c>
      <c r="L125" s="2" t="s">
        <v>94</v>
      </c>
      <c r="M125" s="2">
        <v>2</v>
      </c>
      <c r="N125" s="2">
        <v>2238.6</v>
      </c>
      <c r="O125" s="2">
        <v>1860</v>
      </c>
      <c r="P125" s="2">
        <v>30</v>
      </c>
      <c r="Q125" s="2" t="s">
        <v>50</v>
      </c>
      <c r="R125" s="2" t="s">
        <v>31</v>
      </c>
      <c r="S125" s="3">
        <v>45340</v>
      </c>
      <c r="T125" s="6">
        <v>5</v>
      </c>
    </row>
    <row r="126" spans="1:20" x14ac:dyDescent="0.3">
      <c r="A126" s="2" t="s">
        <v>445</v>
      </c>
      <c r="B126" s="3">
        <v>45934</v>
      </c>
      <c r="C126" s="2" t="s">
        <v>446</v>
      </c>
      <c r="D126" s="2" t="s">
        <v>447</v>
      </c>
      <c r="E126" s="2" t="s">
        <v>23</v>
      </c>
      <c r="F126" s="2">
        <v>30</v>
      </c>
      <c r="G126" s="2" t="s">
        <v>35</v>
      </c>
      <c r="H126" s="2" t="s">
        <v>36</v>
      </c>
      <c r="I126" s="2" t="s">
        <v>92</v>
      </c>
      <c r="J126" s="2" t="s">
        <v>93</v>
      </c>
      <c r="K126" s="2" t="s">
        <v>87</v>
      </c>
      <c r="L126" s="2" t="s">
        <v>94</v>
      </c>
      <c r="M126" s="2">
        <v>3</v>
      </c>
      <c r="N126" s="2">
        <v>2878.2</v>
      </c>
      <c r="O126" s="2">
        <v>2790</v>
      </c>
      <c r="P126" s="2">
        <v>40</v>
      </c>
      <c r="Q126" s="2" t="s">
        <v>30</v>
      </c>
      <c r="R126" s="2" t="s">
        <v>57</v>
      </c>
      <c r="S126" s="3">
        <v>45946</v>
      </c>
      <c r="T126" s="6">
        <v>5</v>
      </c>
    </row>
    <row r="127" spans="1:20" x14ac:dyDescent="0.3">
      <c r="A127" s="2" t="s">
        <v>448</v>
      </c>
      <c r="B127" s="3">
        <v>45596</v>
      </c>
      <c r="C127" s="2" t="s">
        <v>237</v>
      </c>
      <c r="D127" s="2" t="s">
        <v>238</v>
      </c>
      <c r="E127" s="2" t="s">
        <v>23</v>
      </c>
      <c r="F127" s="2">
        <v>47</v>
      </c>
      <c r="G127" s="2" t="s">
        <v>46</v>
      </c>
      <c r="H127" s="2" t="s">
        <v>25</v>
      </c>
      <c r="I127" s="2" t="s">
        <v>85</v>
      </c>
      <c r="J127" s="2" t="s">
        <v>86</v>
      </c>
      <c r="K127" s="2" t="s">
        <v>87</v>
      </c>
      <c r="L127" s="2" t="s">
        <v>88</v>
      </c>
      <c r="M127" s="2">
        <v>1</v>
      </c>
      <c r="N127" s="2">
        <v>1259.0999999999999</v>
      </c>
      <c r="O127" s="2">
        <v>790</v>
      </c>
      <c r="P127" s="2">
        <v>10</v>
      </c>
      <c r="Q127" s="2" t="s">
        <v>103</v>
      </c>
      <c r="R127" s="2" t="s">
        <v>42</v>
      </c>
      <c r="S127" s="3">
        <v>45605</v>
      </c>
      <c r="T127" s="6">
        <v>5</v>
      </c>
    </row>
    <row r="128" spans="1:20" x14ac:dyDescent="0.3">
      <c r="A128" s="2" t="s">
        <v>449</v>
      </c>
      <c r="B128" s="3">
        <v>45500</v>
      </c>
      <c r="C128" s="2" t="s">
        <v>450</v>
      </c>
      <c r="D128" s="2" t="s">
        <v>451</v>
      </c>
      <c r="E128" s="2" t="s">
        <v>77</v>
      </c>
      <c r="F128" s="2">
        <v>30</v>
      </c>
      <c r="G128" s="2" t="s">
        <v>173</v>
      </c>
      <c r="H128" s="2" t="s">
        <v>79</v>
      </c>
      <c r="I128" s="2" t="s">
        <v>183</v>
      </c>
      <c r="J128" s="2" t="s">
        <v>184</v>
      </c>
      <c r="K128" s="2" t="s">
        <v>130</v>
      </c>
      <c r="L128" s="2" t="s">
        <v>185</v>
      </c>
      <c r="M128" s="2">
        <v>3</v>
      </c>
      <c r="N128" s="2">
        <v>8997.75</v>
      </c>
      <c r="O128" s="2">
        <v>9150</v>
      </c>
      <c r="P128" s="2">
        <v>25</v>
      </c>
      <c r="Q128" s="2" t="s">
        <v>103</v>
      </c>
      <c r="R128" s="2" t="s">
        <v>42</v>
      </c>
      <c r="S128" s="3">
        <v>45507</v>
      </c>
      <c r="T128" s="6">
        <v>3</v>
      </c>
    </row>
    <row r="129" spans="1:20" x14ac:dyDescent="0.3">
      <c r="A129" s="2" t="s">
        <v>452</v>
      </c>
      <c r="B129" s="3">
        <v>45618</v>
      </c>
      <c r="C129" s="2" t="s">
        <v>196</v>
      </c>
      <c r="D129" s="2" t="s">
        <v>197</v>
      </c>
      <c r="E129" s="2" t="s">
        <v>23</v>
      </c>
      <c r="F129" s="2">
        <v>22</v>
      </c>
      <c r="G129" s="2" t="s">
        <v>61</v>
      </c>
      <c r="H129" s="2" t="s">
        <v>62</v>
      </c>
      <c r="I129" s="2" t="s">
        <v>229</v>
      </c>
      <c r="J129" s="2" t="s">
        <v>230</v>
      </c>
      <c r="K129" s="2" t="s">
        <v>28</v>
      </c>
      <c r="L129" s="2" t="s">
        <v>231</v>
      </c>
      <c r="M129" s="2">
        <v>3</v>
      </c>
      <c r="N129" s="2">
        <v>3598.2</v>
      </c>
      <c r="O129" s="2">
        <v>3690</v>
      </c>
      <c r="P129" s="2">
        <v>40</v>
      </c>
      <c r="Q129" s="2" t="s">
        <v>30</v>
      </c>
      <c r="R129" s="2" t="s">
        <v>42</v>
      </c>
      <c r="S129" s="3">
        <v>45621</v>
      </c>
      <c r="T129" s="6">
        <v>2</v>
      </c>
    </row>
    <row r="130" spans="1:20" x14ac:dyDescent="0.3">
      <c r="A130" s="2" t="s">
        <v>453</v>
      </c>
      <c r="B130" s="3">
        <v>45589</v>
      </c>
      <c r="C130" s="2" t="s">
        <v>152</v>
      </c>
      <c r="D130" s="2" t="s">
        <v>153</v>
      </c>
      <c r="E130" s="2" t="s">
        <v>23</v>
      </c>
      <c r="F130" s="2">
        <v>33</v>
      </c>
      <c r="G130" s="2" t="s">
        <v>122</v>
      </c>
      <c r="H130" s="2" t="s">
        <v>123</v>
      </c>
      <c r="I130" s="2" t="s">
        <v>304</v>
      </c>
      <c r="J130" s="2" t="s">
        <v>305</v>
      </c>
      <c r="K130" s="2" t="s">
        <v>28</v>
      </c>
      <c r="L130" s="2" t="s">
        <v>231</v>
      </c>
      <c r="M130" s="2">
        <v>2</v>
      </c>
      <c r="N130" s="2">
        <v>2698.5</v>
      </c>
      <c r="O130" s="2">
        <v>2160</v>
      </c>
      <c r="P130" s="2">
        <v>25</v>
      </c>
      <c r="Q130" s="2" t="s">
        <v>50</v>
      </c>
      <c r="R130" s="2" t="s">
        <v>31</v>
      </c>
      <c r="S130" s="3">
        <v>45596</v>
      </c>
      <c r="T130" s="6">
        <v>4</v>
      </c>
    </row>
    <row r="131" spans="1:20" x14ac:dyDescent="0.3">
      <c r="A131" s="2" t="s">
        <v>454</v>
      </c>
      <c r="B131" s="3">
        <v>45455</v>
      </c>
      <c r="C131" s="2" t="s">
        <v>455</v>
      </c>
      <c r="D131" s="2" t="s">
        <v>311</v>
      </c>
      <c r="E131" s="2" t="s">
        <v>23</v>
      </c>
      <c r="F131" s="2">
        <v>42</v>
      </c>
      <c r="G131" s="2" t="s">
        <v>61</v>
      </c>
      <c r="H131" s="2" t="s">
        <v>62</v>
      </c>
      <c r="I131" s="2" t="s">
        <v>37</v>
      </c>
      <c r="J131" s="2" t="s">
        <v>38</v>
      </c>
      <c r="K131" s="2" t="s">
        <v>39</v>
      </c>
      <c r="L131" s="2" t="s">
        <v>40</v>
      </c>
      <c r="M131" s="2">
        <v>3</v>
      </c>
      <c r="N131" s="2">
        <v>1618.2</v>
      </c>
      <c r="O131" s="2">
        <v>1560</v>
      </c>
      <c r="P131" s="2">
        <v>40</v>
      </c>
      <c r="Q131" s="2" t="s">
        <v>73</v>
      </c>
      <c r="R131" s="2" t="s">
        <v>42</v>
      </c>
      <c r="S131" s="3">
        <v>45463</v>
      </c>
      <c r="T131" s="6">
        <v>5</v>
      </c>
    </row>
    <row r="132" spans="1:20" x14ac:dyDescent="0.3">
      <c r="A132" s="2" t="s">
        <v>456</v>
      </c>
      <c r="B132" s="3">
        <v>45538</v>
      </c>
      <c r="C132" s="2" t="s">
        <v>256</v>
      </c>
      <c r="D132" s="2" t="s">
        <v>257</v>
      </c>
      <c r="E132" s="2" t="s">
        <v>23</v>
      </c>
      <c r="F132" s="2">
        <v>23</v>
      </c>
      <c r="G132" s="2" t="s">
        <v>211</v>
      </c>
      <c r="H132" s="2" t="s">
        <v>127</v>
      </c>
      <c r="I132" s="2" t="s">
        <v>26</v>
      </c>
      <c r="J132" s="2" t="s">
        <v>27</v>
      </c>
      <c r="K132" s="2" t="s">
        <v>28</v>
      </c>
      <c r="L132" s="2" t="s">
        <v>29</v>
      </c>
      <c r="M132" s="2">
        <v>1</v>
      </c>
      <c r="N132" s="2">
        <v>1039.2</v>
      </c>
      <c r="O132" s="2">
        <v>790</v>
      </c>
      <c r="P132" s="2">
        <v>20</v>
      </c>
      <c r="Q132" s="2" t="s">
        <v>103</v>
      </c>
      <c r="R132" s="2" t="s">
        <v>65</v>
      </c>
      <c r="S132" s="3" t="s">
        <v>1604</v>
      </c>
      <c r="T132" s="6" t="s">
        <v>1604</v>
      </c>
    </row>
    <row r="133" spans="1:20" x14ac:dyDescent="0.3">
      <c r="A133" s="2" t="s">
        <v>457</v>
      </c>
      <c r="B133" s="3">
        <v>45961</v>
      </c>
      <c r="C133" s="2" t="s">
        <v>458</v>
      </c>
      <c r="D133" s="2" t="s">
        <v>329</v>
      </c>
      <c r="E133" s="2" t="s">
        <v>77</v>
      </c>
      <c r="F133" s="2">
        <v>42</v>
      </c>
      <c r="G133" s="2" t="s">
        <v>35</v>
      </c>
      <c r="H133" s="2" t="s">
        <v>36</v>
      </c>
      <c r="I133" s="2" t="s">
        <v>222</v>
      </c>
      <c r="J133" s="2" t="s">
        <v>223</v>
      </c>
      <c r="K133" s="2" t="s">
        <v>114</v>
      </c>
      <c r="L133" s="2" t="s">
        <v>115</v>
      </c>
      <c r="M133" s="2">
        <v>1</v>
      </c>
      <c r="N133" s="2">
        <v>854.05</v>
      </c>
      <c r="O133" s="2">
        <v>510</v>
      </c>
      <c r="P133" s="2">
        <v>5</v>
      </c>
      <c r="Q133" s="2" t="s">
        <v>103</v>
      </c>
      <c r="R133" s="2" t="s">
        <v>42</v>
      </c>
      <c r="S133" s="3">
        <v>45967</v>
      </c>
      <c r="T133" s="6">
        <v>4</v>
      </c>
    </row>
    <row r="134" spans="1:20" x14ac:dyDescent="0.3">
      <c r="A134" s="2" t="s">
        <v>459</v>
      </c>
      <c r="B134" s="3">
        <v>45704</v>
      </c>
      <c r="C134" s="2" t="s">
        <v>460</v>
      </c>
      <c r="D134" s="2" t="s">
        <v>164</v>
      </c>
      <c r="E134" s="2" t="s">
        <v>77</v>
      </c>
      <c r="F134" s="2">
        <v>56</v>
      </c>
      <c r="G134" s="2" t="s">
        <v>24</v>
      </c>
      <c r="H134" s="2" t="s">
        <v>25</v>
      </c>
      <c r="I134" s="2" t="s">
        <v>47</v>
      </c>
      <c r="J134" s="2" t="s">
        <v>48</v>
      </c>
      <c r="K134" s="2" t="s">
        <v>39</v>
      </c>
      <c r="L134" s="2" t="s">
        <v>49</v>
      </c>
      <c r="M134" s="2">
        <v>1</v>
      </c>
      <c r="N134" s="2">
        <v>339.15</v>
      </c>
      <c r="O134" s="2">
        <v>210</v>
      </c>
      <c r="P134" s="2">
        <v>15</v>
      </c>
      <c r="Q134" s="2" t="s">
        <v>41</v>
      </c>
      <c r="R134" s="2" t="s">
        <v>65</v>
      </c>
      <c r="S134" s="3" t="s">
        <v>1604</v>
      </c>
      <c r="T134" s="6" t="s">
        <v>1604</v>
      </c>
    </row>
    <row r="135" spans="1:20" x14ac:dyDescent="0.3">
      <c r="A135" s="2" t="s">
        <v>461</v>
      </c>
      <c r="B135" s="3">
        <v>45587</v>
      </c>
      <c r="C135" s="2" t="s">
        <v>462</v>
      </c>
      <c r="D135" s="2" t="s">
        <v>76</v>
      </c>
      <c r="E135" s="2" t="s">
        <v>77</v>
      </c>
      <c r="F135" s="2">
        <v>43</v>
      </c>
      <c r="G135" s="2" t="s">
        <v>165</v>
      </c>
      <c r="H135" s="2" t="s">
        <v>166</v>
      </c>
      <c r="I135" s="2" t="s">
        <v>112</v>
      </c>
      <c r="J135" s="2" t="s">
        <v>113</v>
      </c>
      <c r="K135" s="2" t="s">
        <v>114</v>
      </c>
      <c r="L135" s="2" t="s">
        <v>115</v>
      </c>
      <c r="M135" s="2">
        <v>4</v>
      </c>
      <c r="N135" s="2">
        <v>2236.8000000000002</v>
      </c>
      <c r="O135" s="2">
        <v>1480</v>
      </c>
      <c r="P135" s="2">
        <v>20</v>
      </c>
      <c r="Q135" s="2" t="s">
        <v>50</v>
      </c>
      <c r="R135" s="2" t="s">
        <v>31</v>
      </c>
      <c r="S135" s="3">
        <v>45598</v>
      </c>
      <c r="T135" s="6">
        <v>3</v>
      </c>
    </row>
    <row r="136" spans="1:20" x14ac:dyDescent="0.3">
      <c r="A136" s="2" t="s">
        <v>463</v>
      </c>
      <c r="B136" s="3">
        <v>45423</v>
      </c>
      <c r="C136" s="2" t="s">
        <v>280</v>
      </c>
      <c r="D136" s="2" t="s">
        <v>281</v>
      </c>
      <c r="E136" s="2" t="s">
        <v>77</v>
      </c>
      <c r="F136" s="2">
        <v>53</v>
      </c>
      <c r="G136" s="2" t="s">
        <v>165</v>
      </c>
      <c r="H136" s="2" t="s">
        <v>166</v>
      </c>
      <c r="I136" s="2" t="s">
        <v>245</v>
      </c>
      <c r="J136" s="2" t="s">
        <v>246</v>
      </c>
      <c r="K136" s="2" t="s">
        <v>130</v>
      </c>
      <c r="L136" s="2" t="s">
        <v>247</v>
      </c>
      <c r="M136" s="2">
        <v>3</v>
      </c>
      <c r="N136" s="2">
        <v>5622.75</v>
      </c>
      <c r="O136" s="2">
        <v>5610</v>
      </c>
      <c r="P136" s="2">
        <v>25</v>
      </c>
      <c r="Q136" s="2" t="s">
        <v>30</v>
      </c>
      <c r="R136" s="2" t="s">
        <v>42</v>
      </c>
      <c r="S136" s="3">
        <v>45434</v>
      </c>
      <c r="T136" s="6">
        <v>5</v>
      </c>
    </row>
    <row r="137" spans="1:20" x14ac:dyDescent="0.3">
      <c r="A137" s="2" t="s">
        <v>464</v>
      </c>
      <c r="B137" s="3">
        <v>45804</v>
      </c>
      <c r="C137" s="2" t="s">
        <v>465</v>
      </c>
      <c r="D137" s="2" t="s">
        <v>53</v>
      </c>
      <c r="E137" s="2" t="s">
        <v>23</v>
      </c>
      <c r="F137" s="2">
        <v>22</v>
      </c>
      <c r="G137" s="2" t="s">
        <v>24</v>
      </c>
      <c r="H137" s="2" t="s">
        <v>25</v>
      </c>
      <c r="I137" s="2" t="s">
        <v>26</v>
      </c>
      <c r="J137" s="2" t="s">
        <v>27</v>
      </c>
      <c r="K137" s="2" t="s">
        <v>28</v>
      </c>
      <c r="L137" s="2" t="s">
        <v>29</v>
      </c>
      <c r="M137" s="2">
        <v>2</v>
      </c>
      <c r="N137" s="2">
        <v>1948.5</v>
      </c>
      <c r="O137" s="2">
        <v>1580</v>
      </c>
      <c r="P137" s="2">
        <v>25</v>
      </c>
      <c r="Q137" s="2" t="s">
        <v>103</v>
      </c>
      <c r="R137" s="2" t="s">
        <v>65</v>
      </c>
      <c r="S137" s="3" t="s">
        <v>1604</v>
      </c>
      <c r="T137" s="6" t="s">
        <v>1604</v>
      </c>
    </row>
    <row r="138" spans="1:20" x14ac:dyDescent="0.3">
      <c r="A138" s="2" t="s">
        <v>466</v>
      </c>
      <c r="B138" s="3">
        <v>45759</v>
      </c>
      <c r="C138" s="2" t="s">
        <v>52</v>
      </c>
      <c r="D138" s="2" t="s">
        <v>53</v>
      </c>
      <c r="E138" s="2" t="s">
        <v>23</v>
      </c>
      <c r="F138" s="2">
        <v>18</v>
      </c>
      <c r="G138" s="2" t="s">
        <v>173</v>
      </c>
      <c r="H138" s="2" t="s">
        <v>79</v>
      </c>
      <c r="I138" s="2" t="s">
        <v>183</v>
      </c>
      <c r="J138" s="2" t="s">
        <v>184</v>
      </c>
      <c r="K138" s="2" t="s">
        <v>130</v>
      </c>
      <c r="L138" s="2" t="s">
        <v>185</v>
      </c>
      <c r="M138" s="2">
        <v>5</v>
      </c>
      <c r="N138" s="2">
        <v>14996.25</v>
      </c>
      <c r="O138" s="2">
        <v>15250</v>
      </c>
      <c r="P138" s="2">
        <v>25</v>
      </c>
      <c r="Q138" s="2" t="s">
        <v>30</v>
      </c>
      <c r="R138" s="2" t="s">
        <v>42</v>
      </c>
      <c r="S138" s="3">
        <v>45770</v>
      </c>
      <c r="T138" s="6">
        <v>4</v>
      </c>
    </row>
    <row r="139" spans="1:20" x14ac:dyDescent="0.3">
      <c r="A139" s="2" t="s">
        <v>467</v>
      </c>
      <c r="B139" s="3">
        <v>45899</v>
      </c>
      <c r="C139" s="2" t="s">
        <v>468</v>
      </c>
      <c r="D139" s="2" t="s">
        <v>469</v>
      </c>
      <c r="E139" s="2" t="s">
        <v>23</v>
      </c>
      <c r="F139" s="2">
        <v>20</v>
      </c>
      <c r="G139" s="2" t="s">
        <v>101</v>
      </c>
      <c r="H139" s="2" t="s">
        <v>102</v>
      </c>
      <c r="I139" s="2" t="s">
        <v>85</v>
      </c>
      <c r="J139" s="2" t="s">
        <v>86</v>
      </c>
      <c r="K139" s="2" t="s">
        <v>87</v>
      </c>
      <c r="L139" s="2" t="s">
        <v>88</v>
      </c>
      <c r="M139" s="2">
        <v>5</v>
      </c>
      <c r="N139" s="2">
        <v>5596</v>
      </c>
      <c r="O139" s="2">
        <v>3950</v>
      </c>
      <c r="P139" s="2">
        <v>20</v>
      </c>
      <c r="Q139" s="2" t="s">
        <v>103</v>
      </c>
      <c r="R139" s="2" t="s">
        <v>57</v>
      </c>
      <c r="S139" s="3">
        <v>45901</v>
      </c>
      <c r="T139" s="6">
        <v>4</v>
      </c>
    </row>
    <row r="140" spans="1:20" x14ac:dyDescent="0.3">
      <c r="A140" s="2" t="s">
        <v>470</v>
      </c>
      <c r="B140" s="3">
        <v>45631</v>
      </c>
      <c r="C140" s="2" t="s">
        <v>471</v>
      </c>
      <c r="D140" s="2" t="s">
        <v>472</v>
      </c>
      <c r="E140" s="2" t="s">
        <v>23</v>
      </c>
      <c r="F140" s="2">
        <v>37</v>
      </c>
      <c r="G140" s="2" t="s">
        <v>122</v>
      </c>
      <c r="H140" s="2" t="s">
        <v>123</v>
      </c>
      <c r="I140" s="2" t="s">
        <v>198</v>
      </c>
      <c r="J140" s="2" t="s">
        <v>199</v>
      </c>
      <c r="K140" s="2" t="s">
        <v>114</v>
      </c>
      <c r="L140" s="2" t="s">
        <v>200</v>
      </c>
      <c r="M140" s="2">
        <v>3</v>
      </c>
      <c r="N140" s="2">
        <v>3897</v>
      </c>
      <c r="O140" s="2">
        <v>2280</v>
      </c>
      <c r="P140" s="2">
        <v>0</v>
      </c>
      <c r="Q140" s="2" t="s">
        <v>50</v>
      </c>
      <c r="R140" s="2" t="s">
        <v>42</v>
      </c>
      <c r="S140" s="3">
        <v>45637</v>
      </c>
      <c r="T140" s="6">
        <v>4</v>
      </c>
    </row>
    <row r="141" spans="1:20" x14ac:dyDescent="0.3">
      <c r="A141" s="2" t="s">
        <v>473</v>
      </c>
      <c r="B141" s="3">
        <v>45344</v>
      </c>
      <c r="C141" s="2" t="s">
        <v>474</v>
      </c>
      <c r="D141" s="2" t="s">
        <v>475</v>
      </c>
      <c r="E141" s="2" t="s">
        <v>23</v>
      </c>
      <c r="F141" s="2">
        <v>29</v>
      </c>
      <c r="G141" s="2" t="s">
        <v>101</v>
      </c>
      <c r="H141" s="2" t="s">
        <v>102</v>
      </c>
      <c r="I141" s="2" t="s">
        <v>319</v>
      </c>
      <c r="J141" s="2" t="s">
        <v>320</v>
      </c>
      <c r="K141" s="2" t="s">
        <v>28</v>
      </c>
      <c r="L141" s="2" t="s">
        <v>29</v>
      </c>
      <c r="M141" s="2">
        <v>5</v>
      </c>
      <c r="N141" s="2">
        <v>4196.5</v>
      </c>
      <c r="O141" s="2">
        <v>3550</v>
      </c>
      <c r="P141" s="2">
        <v>30</v>
      </c>
      <c r="Q141" s="2" t="s">
        <v>30</v>
      </c>
      <c r="R141" s="2" t="s">
        <v>57</v>
      </c>
      <c r="S141" s="3">
        <v>45356</v>
      </c>
      <c r="T141" s="6">
        <v>4</v>
      </c>
    </row>
    <row r="142" spans="1:20" x14ac:dyDescent="0.3">
      <c r="A142" s="2" t="s">
        <v>476</v>
      </c>
      <c r="B142" s="3">
        <v>45324</v>
      </c>
      <c r="C142" s="2" t="s">
        <v>33</v>
      </c>
      <c r="D142" s="2" t="s">
        <v>34</v>
      </c>
      <c r="E142" s="2" t="s">
        <v>23</v>
      </c>
      <c r="F142" s="2">
        <v>30</v>
      </c>
      <c r="G142" s="2" t="s">
        <v>69</v>
      </c>
      <c r="H142" s="2" t="s">
        <v>69</v>
      </c>
      <c r="I142" s="2" t="s">
        <v>70</v>
      </c>
      <c r="J142" s="2" t="s">
        <v>71</v>
      </c>
      <c r="K142" s="2" t="s">
        <v>28</v>
      </c>
      <c r="L142" s="2" t="s">
        <v>72</v>
      </c>
      <c r="M142" s="2">
        <v>1</v>
      </c>
      <c r="N142" s="2">
        <v>899.4</v>
      </c>
      <c r="O142" s="2">
        <v>920</v>
      </c>
      <c r="P142" s="2">
        <v>40</v>
      </c>
      <c r="Q142" s="2" t="s">
        <v>41</v>
      </c>
      <c r="R142" s="2" t="s">
        <v>42</v>
      </c>
      <c r="S142" s="3">
        <v>45328</v>
      </c>
      <c r="T142" s="6">
        <v>5</v>
      </c>
    </row>
    <row r="143" spans="1:20" x14ac:dyDescent="0.3">
      <c r="A143" s="2" t="s">
        <v>477</v>
      </c>
      <c r="B143" s="3">
        <v>45999</v>
      </c>
      <c r="C143" s="2" t="s">
        <v>478</v>
      </c>
      <c r="D143" s="2" t="s">
        <v>479</v>
      </c>
      <c r="E143" s="2" t="s">
        <v>23</v>
      </c>
      <c r="F143" s="2">
        <v>36</v>
      </c>
      <c r="G143" s="2" t="s">
        <v>122</v>
      </c>
      <c r="H143" s="2" t="s">
        <v>123</v>
      </c>
      <c r="I143" s="2" t="s">
        <v>112</v>
      </c>
      <c r="J143" s="2" t="s">
        <v>113</v>
      </c>
      <c r="K143" s="2" t="s">
        <v>114</v>
      </c>
      <c r="L143" s="2" t="s">
        <v>115</v>
      </c>
      <c r="M143" s="2">
        <v>5</v>
      </c>
      <c r="N143" s="2">
        <v>2097</v>
      </c>
      <c r="O143" s="2">
        <v>1850</v>
      </c>
      <c r="P143" s="2">
        <v>40</v>
      </c>
      <c r="Q143" s="2" t="s">
        <v>73</v>
      </c>
      <c r="R143" s="2" t="s">
        <v>31</v>
      </c>
      <c r="S143" s="3">
        <v>46003</v>
      </c>
      <c r="T143" s="6">
        <v>4</v>
      </c>
    </row>
    <row r="144" spans="1:20" x14ac:dyDescent="0.3">
      <c r="A144" s="2" t="s">
        <v>480</v>
      </c>
      <c r="B144" s="3">
        <v>45866</v>
      </c>
      <c r="C144" s="2" t="s">
        <v>481</v>
      </c>
      <c r="D144" s="2" t="s">
        <v>482</v>
      </c>
      <c r="E144" s="2" t="s">
        <v>23</v>
      </c>
      <c r="F144" s="2">
        <v>34</v>
      </c>
      <c r="G144" s="2" t="s">
        <v>101</v>
      </c>
      <c r="H144" s="2" t="s">
        <v>483</v>
      </c>
      <c r="I144" s="2" t="s">
        <v>112</v>
      </c>
      <c r="J144" s="2" t="s">
        <v>113</v>
      </c>
      <c r="K144" s="2" t="s">
        <v>114</v>
      </c>
      <c r="L144" s="2" t="s">
        <v>115</v>
      </c>
      <c r="M144" s="2">
        <v>4</v>
      </c>
      <c r="N144" s="2">
        <v>2097</v>
      </c>
      <c r="O144" s="2">
        <v>1480</v>
      </c>
      <c r="P144" s="2">
        <v>25</v>
      </c>
      <c r="Q144" s="2" t="s">
        <v>30</v>
      </c>
      <c r="R144" s="2" t="s">
        <v>42</v>
      </c>
      <c r="S144" s="3">
        <v>45876</v>
      </c>
      <c r="T144" s="6">
        <v>4</v>
      </c>
    </row>
    <row r="145" spans="1:20" x14ac:dyDescent="0.3">
      <c r="A145" s="2" t="s">
        <v>484</v>
      </c>
      <c r="B145" s="3">
        <v>45851</v>
      </c>
      <c r="C145" s="2" t="s">
        <v>485</v>
      </c>
      <c r="D145" s="2" t="s">
        <v>372</v>
      </c>
      <c r="E145" s="2" t="s">
        <v>77</v>
      </c>
      <c r="F145" s="2">
        <v>30</v>
      </c>
      <c r="G145" s="2" t="s">
        <v>207</v>
      </c>
      <c r="H145" s="2" t="s">
        <v>36</v>
      </c>
      <c r="I145" s="2" t="s">
        <v>155</v>
      </c>
      <c r="J145" s="2" t="s">
        <v>156</v>
      </c>
      <c r="K145" s="2" t="s">
        <v>114</v>
      </c>
      <c r="L145" s="2" t="s">
        <v>157</v>
      </c>
      <c r="M145" s="2">
        <v>4</v>
      </c>
      <c r="N145" s="2">
        <v>3396.6</v>
      </c>
      <c r="O145" s="2">
        <v>2440</v>
      </c>
      <c r="P145" s="2">
        <v>15</v>
      </c>
      <c r="Q145" s="2" t="s">
        <v>30</v>
      </c>
      <c r="R145" s="2" t="s">
        <v>42</v>
      </c>
      <c r="S145" s="3">
        <v>45861</v>
      </c>
      <c r="T145" s="6">
        <v>4</v>
      </c>
    </row>
    <row r="146" spans="1:20" x14ac:dyDescent="0.3">
      <c r="A146" s="2" t="s">
        <v>486</v>
      </c>
      <c r="B146" s="3">
        <v>45522</v>
      </c>
      <c r="C146" s="2" t="s">
        <v>487</v>
      </c>
      <c r="D146" s="2" t="s">
        <v>488</v>
      </c>
      <c r="E146" s="2" t="s">
        <v>77</v>
      </c>
      <c r="F146" s="2">
        <v>57</v>
      </c>
      <c r="G146" s="2" t="s">
        <v>35</v>
      </c>
      <c r="H146" s="2" t="s">
        <v>36</v>
      </c>
      <c r="I146" s="2" t="s">
        <v>85</v>
      </c>
      <c r="J146" s="2" t="s">
        <v>86</v>
      </c>
      <c r="K146" s="2" t="s">
        <v>87</v>
      </c>
      <c r="L146" s="2" t="s">
        <v>88</v>
      </c>
      <c r="M146" s="2">
        <v>2</v>
      </c>
      <c r="N146" s="2">
        <v>1678.8</v>
      </c>
      <c r="O146" s="2">
        <v>1580</v>
      </c>
      <c r="P146" s="2">
        <v>40</v>
      </c>
      <c r="Q146" s="2" t="s">
        <v>41</v>
      </c>
      <c r="R146" s="2" t="s">
        <v>42</v>
      </c>
      <c r="S146" s="3">
        <v>45529</v>
      </c>
      <c r="T146" s="6">
        <v>4</v>
      </c>
    </row>
    <row r="147" spans="1:20" x14ac:dyDescent="0.3">
      <c r="A147" s="2" t="s">
        <v>489</v>
      </c>
      <c r="B147" s="3">
        <v>45586</v>
      </c>
      <c r="C147" s="2" t="s">
        <v>490</v>
      </c>
      <c r="D147" s="2" t="s">
        <v>139</v>
      </c>
      <c r="E147" s="2" t="s">
        <v>77</v>
      </c>
      <c r="F147" s="2">
        <v>33</v>
      </c>
      <c r="G147" s="2" t="s">
        <v>165</v>
      </c>
      <c r="H147" s="2" t="s">
        <v>166</v>
      </c>
      <c r="I147" s="2" t="s">
        <v>47</v>
      </c>
      <c r="J147" s="2" t="s">
        <v>48</v>
      </c>
      <c r="K147" s="2" t="s">
        <v>39</v>
      </c>
      <c r="L147" s="2" t="s">
        <v>49</v>
      </c>
      <c r="M147" s="2">
        <v>3</v>
      </c>
      <c r="N147" s="2">
        <v>1077.3</v>
      </c>
      <c r="O147" s="2">
        <v>630</v>
      </c>
      <c r="P147" s="2">
        <v>10</v>
      </c>
      <c r="Q147" s="2" t="s">
        <v>41</v>
      </c>
      <c r="R147" s="2" t="s">
        <v>42</v>
      </c>
      <c r="S147" s="3">
        <v>45592</v>
      </c>
      <c r="T147" s="6">
        <v>3</v>
      </c>
    </row>
    <row r="148" spans="1:20" x14ac:dyDescent="0.3">
      <c r="A148" s="2" t="s">
        <v>491</v>
      </c>
      <c r="B148" s="3">
        <v>45646</v>
      </c>
      <c r="C148" s="2" t="s">
        <v>138</v>
      </c>
      <c r="D148" s="2" t="s">
        <v>139</v>
      </c>
      <c r="E148" s="2" t="s">
        <v>77</v>
      </c>
      <c r="F148" s="2">
        <v>42</v>
      </c>
      <c r="G148" s="2" t="s">
        <v>207</v>
      </c>
      <c r="H148" s="2" t="s">
        <v>36</v>
      </c>
      <c r="I148" s="2" t="s">
        <v>177</v>
      </c>
      <c r="J148" s="2" t="s">
        <v>178</v>
      </c>
      <c r="K148" s="2" t="s">
        <v>87</v>
      </c>
      <c r="L148" s="2" t="s">
        <v>179</v>
      </c>
      <c r="M148" s="2">
        <v>4</v>
      </c>
      <c r="N148" s="2">
        <v>8496.6</v>
      </c>
      <c r="O148" s="2">
        <v>6480</v>
      </c>
      <c r="P148" s="2">
        <v>15</v>
      </c>
      <c r="Q148" s="2" t="s">
        <v>30</v>
      </c>
      <c r="R148" s="2" t="s">
        <v>57</v>
      </c>
      <c r="S148" s="3">
        <v>45656</v>
      </c>
      <c r="T148" s="6">
        <v>4</v>
      </c>
    </row>
    <row r="149" spans="1:20" x14ac:dyDescent="0.3">
      <c r="A149" s="2" t="s">
        <v>492</v>
      </c>
      <c r="B149" s="3">
        <v>45867</v>
      </c>
      <c r="C149" s="2" t="s">
        <v>149</v>
      </c>
      <c r="D149" s="2" t="s">
        <v>150</v>
      </c>
      <c r="E149" s="2" t="s">
        <v>77</v>
      </c>
      <c r="F149" s="2">
        <v>35</v>
      </c>
      <c r="G149" s="2" t="s">
        <v>173</v>
      </c>
      <c r="H149" s="2" t="s">
        <v>79</v>
      </c>
      <c r="I149" s="2" t="s">
        <v>229</v>
      </c>
      <c r="J149" s="2" t="s">
        <v>230</v>
      </c>
      <c r="K149" s="2" t="s">
        <v>28</v>
      </c>
      <c r="L149" s="2" t="s">
        <v>231</v>
      </c>
      <c r="M149" s="2">
        <v>5</v>
      </c>
      <c r="N149" s="2">
        <v>8495.75</v>
      </c>
      <c r="O149" s="2">
        <v>6150</v>
      </c>
      <c r="P149" s="2">
        <v>15</v>
      </c>
      <c r="Q149" s="2" t="s">
        <v>30</v>
      </c>
      <c r="R149" s="2" t="s">
        <v>42</v>
      </c>
      <c r="S149" s="3">
        <v>45879</v>
      </c>
      <c r="T149" s="6">
        <v>4</v>
      </c>
    </row>
    <row r="150" spans="1:20" x14ac:dyDescent="0.3">
      <c r="A150" s="2" t="s">
        <v>493</v>
      </c>
      <c r="B150" s="3">
        <v>45945</v>
      </c>
      <c r="C150" s="2" t="s">
        <v>168</v>
      </c>
      <c r="D150" s="2" t="s">
        <v>169</v>
      </c>
      <c r="E150" s="2" t="s">
        <v>23</v>
      </c>
      <c r="F150" s="2">
        <v>43</v>
      </c>
      <c r="G150" s="2" t="s">
        <v>24</v>
      </c>
      <c r="H150" s="2" t="s">
        <v>25</v>
      </c>
      <c r="I150" s="2" t="s">
        <v>229</v>
      </c>
      <c r="J150" s="2" t="s">
        <v>230</v>
      </c>
      <c r="K150" s="2" t="s">
        <v>28</v>
      </c>
      <c r="L150" s="2" t="s">
        <v>231</v>
      </c>
      <c r="M150" s="2">
        <v>4</v>
      </c>
      <c r="N150" s="2">
        <v>5997</v>
      </c>
      <c r="O150" s="2">
        <v>4920</v>
      </c>
      <c r="P150" s="2">
        <v>25</v>
      </c>
      <c r="Q150" s="2" t="s">
        <v>103</v>
      </c>
      <c r="R150" s="2" t="s">
        <v>42</v>
      </c>
      <c r="S150" s="3">
        <v>45957</v>
      </c>
      <c r="T150" s="6">
        <v>3</v>
      </c>
    </row>
    <row r="151" spans="1:20" x14ac:dyDescent="0.3">
      <c r="A151" s="2" t="s">
        <v>494</v>
      </c>
      <c r="B151" s="3">
        <v>45297</v>
      </c>
      <c r="C151" s="2" t="s">
        <v>495</v>
      </c>
      <c r="D151" s="2" t="s">
        <v>496</v>
      </c>
      <c r="E151" s="2" t="s">
        <v>77</v>
      </c>
      <c r="F151" s="2">
        <v>33</v>
      </c>
      <c r="G151" s="2" t="s">
        <v>78</v>
      </c>
      <c r="H151" s="2" t="s">
        <v>79</v>
      </c>
      <c r="I151" s="2" t="s">
        <v>134</v>
      </c>
      <c r="J151" s="2" t="s">
        <v>135</v>
      </c>
      <c r="K151" s="2" t="s">
        <v>39</v>
      </c>
      <c r="L151" s="2" t="s">
        <v>136</v>
      </c>
      <c r="M151" s="2">
        <v>4</v>
      </c>
      <c r="N151" s="2">
        <v>477.6</v>
      </c>
      <c r="O151" s="2">
        <v>360</v>
      </c>
      <c r="P151" s="2">
        <v>40</v>
      </c>
      <c r="Q151" s="2" t="s">
        <v>30</v>
      </c>
      <c r="R151" s="2" t="s">
        <v>57</v>
      </c>
      <c r="S151" s="3">
        <v>45303</v>
      </c>
      <c r="T151" s="6">
        <v>4</v>
      </c>
    </row>
    <row r="152" spans="1:20" x14ac:dyDescent="0.3">
      <c r="A152" s="2" t="s">
        <v>497</v>
      </c>
      <c r="B152" s="3">
        <v>45584</v>
      </c>
      <c r="C152" s="2" t="s">
        <v>67</v>
      </c>
      <c r="D152" s="2" t="s">
        <v>68</v>
      </c>
      <c r="E152" s="2" t="s">
        <v>23</v>
      </c>
      <c r="F152" s="2">
        <v>42</v>
      </c>
      <c r="G152" s="2" t="s">
        <v>46</v>
      </c>
      <c r="H152" s="2" t="s">
        <v>25</v>
      </c>
      <c r="I152" s="2" t="s">
        <v>92</v>
      </c>
      <c r="J152" s="2" t="s">
        <v>93</v>
      </c>
      <c r="K152" s="2" t="s">
        <v>87</v>
      </c>
      <c r="L152" s="2" t="s">
        <v>94</v>
      </c>
      <c r="M152" s="2">
        <v>5</v>
      </c>
      <c r="N152" s="2">
        <v>6795.75</v>
      </c>
      <c r="O152" s="2">
        <v>4650</v>
      </c>
      <c r="P152" s="2">
        <v>15</v>
      </c>
      <c r="Q152" s="2" t="s">
        <v>50</v>
      </c>
      <c r="R152" s="2" t="s">
        <v>31</v>
      </c>
      <c r="S152" s="3">
        <v>45586</v>
      </c>
      <c r="T152" s="6">
        <v>3</v>
      </c>
    </row>
    <row r="153" spans="1:20" x14ac:dyDescent="0.3">
      <c r="A153" s="2" t="s">
        <v>498</v>
      </c>
      <c r="B153" s="3">
        <v>45719</v>
      </c>
      <c r="C153" s="2" t="s">
        <v>499</v>
      </c>
      <c r="D153" s="2" t="s">
        <v>388</v>
      </c>
      <c r="E153" s="2" t="s">
        <v>23</v>
      </c>
      <c r="F153" s="2">
        <v>30</v>
      </c>
      <c r="G153" s="2" t="s">
        <v>24</v>
      </c>
      <c r="H153" s="2" t="s">
        <v>25</v>
      </c>
      <c r="I153" s="2" t="s">
        <v>47</v>
      </c>
      <c r="J153" s="2" t="s">
        <v>48</v>
      </c>
      <c r="K153" s="2" t="s">
        <v>39</v>
      </c>
      <c r="L153" s="2" t="s">
        <v>49</v>
      </c>
      <c r="M153" s="2">
        <v>4</v>
      </c>
      <c r="N153" s="2">
        <v>1436.4</v>
      </c>
      <c r="O153" s="2">
        <v>840</v>
      </c>
      <c r="P153" s="2">
        <v>10</v>
      </c>
      <c r="Q153" s="2" t="s">
        <v>41</v>
      </c>
      <c r="R153" s="2" t="s">
        <v>42</v>
      </c>
      <c r="S153" s="3">
        <v>45721</v>
      </c>
      <c r="T153" s="6">
        <v>4</v>
      </c>
    </row>
    <row r="154" spans="1:20" x14ac:dyDescent="0.3">
      <c r="A154" s="2" t="s">
        <v>500</v>
      </c>
      <c r="B154" s="3">
        <v>45873</v>
      </c>
      <c r="C154" s="2" t="s">
        <v>314</v>
      </c>
      <c r="D154" s="2" t="s">
        <v>315</v>
      </c>
      <c r="E154" s="2" t="s">
        <v>77</v>
      </c>
      <c r="F154" s="2">
        <v>34</v>
      </c>
      <c r="G154" s="2" t="s">
        <v>126</v>
      </c>
      <c r="H154" s="2" t="s">
        <v>127</v>
      </c>
      <c r="I154" s="2" t="s">
        <v>143</v>
      </c>
      <c r="J154" s="2" t="s">
        <v>144</v>
      </c>
      <c r="K154" s="2" t="s">
        <v>130</v>
      </c>
      <c r="L154" s="2" t="s">
        <v>131</v>
      </c>
      <c r="M154" s="2">
        <v>4</v>
      </c>
      <c r="N154" s="2">
        <v>13197.6</v>
      </c>
      <c r="O154" s="2">
        <v>17200</v>
      </c>
      <c r="P154" s="2">
        <v>40</v>
      </c>
      <c r="Q154" s="2" t="s">
        <v>30</v>
      </c>
      <c r="R154" s="2" t="s">
        <v>57</v>
      </c>
      <c r="S154" s="3">
        <v>45883</v>
      </c>
      <c r="T154" s="6">
        <v>5</v>
      </c>
    </row>
    <row r="155" spans="1:20" x14ac:dyDescent="0.3">
      <c r="A155" s="2" t="s">
        <v>501</v>
      </c>
      <c r="B155" s="3">
        <v>45571</v>
      </c>
      <c r="C155" s="2" t="s">
        <v>502</v>
      </c>
      <c r="D155" s="2" t="s">
        <v>503</v>
      </c>
      <c r="E155" s="2" t="s">
        <v>77</v>
      </c>
      <c r="F155" s="2">
        <v>43</v>
      </c>
      <c r="G155" s="2" t="s">
        <v>69</v>
      </c>
      <c r="H155" s="2" t="s">
        <v>69</v>
      </c>
      <c r="I155" s="2" t="s">
        <v>183</v>
      </c>
      <c r="J155" s="2" t="s">
        <v>184</v>
      </c>
      <c r="K155" s="2" t="s">
        <v>130</v>
      </c>
      <c r="L155" s="2" t="s">
        <v>185</v>
      </c>
      <c r="M155" s="2">
        <v>2</v>
      </c>
      <c r="N155" s="2">
        <v>4798.8</v>
      </c>
      <c r="O155" s="2">
        <v>6100</v>
      </c>
      <c r="P155" s="2">
        <v>40</v>
      </c>
      <c r="Q155" s="2" t="s">
        <v>41</v>
      </c>
      <c r="R155" s="2" t="s">
        <v>31</v>
      </c>
      <c r="S155" s="3">
        <v>45575</v>
      </c>
      <c r="T155" s="6">
        <v>2</v>
      </c>
    </row>
    <row r="156" spans="1:20" x14ac:dyDescent="0.3">
      <c r="A156" s="2" t="s">
        <v>504</v>
      </c>
      <c r="B156" s="3">
        <v>45637</v>
      </c>
      <c r="C156" s="2" t="s">
        <v>505</v>
      </c>
      <c r="D156" s="2" t="s">
        <v>506</v>
      </c>
      <c r="E156" s="2" t="s">
        <v>77</v>
      </c>
      <c r="F156" s="2">
        <v>40</v>
      </c>
      <c r="G156" s="2" t="s">
        <v>154</v>
      </c>
      <c r="H156" s="2" t="s">
        <v>91</v>
      </c>
      <c r="I156" s="2" t="s">
        <v>319</v>
      </c>
      <c r="J156" s="2" t="s">
        <v>320</v>
      </c>
      <c r="K156" s="2" t="s">
        <v>28</v>
      </c>
      <c r="L156" s="2" t="s">
        <v>29</v>
      </c>
      <c r="M156" s="2">
        <v>5</v>
      </c>
      <c r="N156" s="2">
        <v>4196.5</v>
      </c>
      <c r="O156" s="2">
        <v>3550</v>
      </c>
      <c r="P156" s="2">
        <v>30</v>
      </c>
      <c r="Q156" s="2" t="s">
        <v>103</v>
      </c>
      <c r="R156" s="2" t="s">
        <v>65</v>
      </c>
      <c r="S156" s="3" t="s">
        <v>1604</v>
      </c>
      <c r="T156" s="6" t="s">
        <v>1604</v>
      </c>
    </row>
    <row r="157" spans="1:20" x14ac:dyDescent="0.3">
      <c r="A157" s="2" t="s">
        <v>507</v>
      </c>
      <c r="B157" s="3">
        <v>45627</v>
      </c>
      <c r="C157" s="2" t="s">
        <v>508</v>
      </c>
      <c r="D157" s="2" t="s">
        <v>509</v>
      </c>
      <c r="E157" s="2" t="s">
        <v>77</v>
      </c>
      <c r="F157" s="2">
        <v>23</v>
      </c>
      <c r="G157" s="2" t="s">
        <v>165</v>
      </c>
      <c r="H157" s="2" t="s">
        <v>166</v>
      </c>
      <c r="I157" s="2" t="s">
        <v>107</v>
      </c>
      <c r="J157" s="2" t="s">
        <v>108</v>
      </c>
      <c r="K157" s="2" t="s">
        <v>87</v>
      </c>
      <c r="L157" s="2" t="s">
        <v>88</v>
      </c>
      <c r="M157" s="2">
        <v>1</v>
      </c>
      <c r="N157" s="2">
        <v>719.1</v>
      </c>
      <c r="O157" s="2">
        <v>420</v>
      </c>
      <c r="P157" s="2">
        <v>10</v>
      </c>
      <c r="Q157" s="2" t="s">
        <v>30</v>
      </c>
      <c r="R157" s="2" t="s">
        <v>42</v>
      </c>
      <c r="S157" s="3">
        <v>45634</v>
      </c>
      <c r="T157" s="6">
        <v>4</v>
      </c>
    </row>
    <row r="158" spans="1:20" x14ac:dyDescent="0.3">
      <c r="A158" s="2" t="s">
        <v>510</v>
      </c>
      <c r="B158" s="3">
        <v>45298</v>
      </c>
      <c r="C158" s="2" t="s">
        <v>511</v>
      </c>
      <c r="D158" s="2" t="s">
        <v>512</v>
      </c>
      <c r="E158" s="2" t="s">
        <v>23</v>
      </c>
      <c r="F158" s="2">
        <v>53</v>
      </c>
      <c r="G158" s="2" t="s">
        <v>165</v>
      </c>
      <c r="H158" s="2" t="s">
        <v>166</v>
      </c>
      <c r="I158" s="2" t="s">
        <v>304</v>
      </c>
      <c r="J158" s="2" t="s">
        <v>305</v>
      </c>
      <c r="K158" s="2" t="s">
        <v>28</v>
      </c>
      <c r="L158" s="2" t="s">
        <v>231</v>
      </c>
      <c r="M158" s="2">
        <v>4</v>
      </c>
      <c r="N158" s="2">
        <v>5756.8</v>
      </c>
      <c r="O158" s="2">
        <v>4320</v>
      </c>
      <c r="P158" s="2">
        <v>20</v>
      </c>
      <c r="Q158" s="2" t="s">
        <v>41</v>
      </c>
      <c r="R158" s="2" t="s">
        <v>42</v>
      </c>
      <c r="S158" s="3">
        <v>45309</v>
      </c>
      <c r="T158" s="6">
        <v>2</v>
      </c>
    </row>
    <row r="159" spans="1:20" x14ac:dyDescent="0.3">
      <c r="A159" s="2" t="s">
        <v>513</v>
      </c>
      <c r="B159" s="3">
        <v>45559</v>
      </c>
      <c r="C159" s="2" t="s">
        <v>514</v>
      </c>
      <c r="D159" s="2" t="s">
        <v>515</v>
      </c>
      <c r="E159" s="2" t="s">
        <v>23</v>
      </c>
      <c r="F159" s="2">
        <v>37</v>
      </c>
      <c r="G159" s="2" t="s">
        <v>90</v>
      </c>
      <c r="H159" s="2" t="s">
        <v>91</v>
      </c>
      <c r="I159" s="2" t="s">
        <v>26</v>
      </c>
      <c r="J159" s="2" t="s">
        <v>27</v>
      </c>
      <c r="K159" s="2" t="s">
        <v>28</v>
      </c>
      <c r="L159" s="2" t="s">
        <v>29</v>
      </c>
      <c r="M159" s="2">
        <v>1</v>
      </c>
      <c r="N159" s="2">
        <v>779.4</v>
      </c>
      <c r="O159" s="2">
        <v>790</v>
      </c>
      <c r="P159" s="2">
        <v>40</v>
      </c>
      <c r="Q159" s="2" t="s">
        <v>41</v>
      </c>
      <c r="R159" s="2" t="s">
        <v>42</v>
      </c>
      <c r="S159" s="3">
        <v>45567</v>
      </c>
      <c r="T159" s="6">
        <v>4</v>
      </c>
    </row>
    <row r="160" spans="1:20" x14ac:dyDescent="0.3">
      <c r="A160" s="2" t="s">
        <v>516</v>
      </c>
      <c r="B160" s="3">
        <v>45998</v>
      </c>
      <c r="C160" s="2" t="s">
        <v>517</v>
      </c>
      <c r="D160" s="2" t="s">
        <v>518</v>
      </c>
      <c r="E160" s="2" t="s">
        <v>23</v>
      </c>
      <c r="F160" s="2">
        <v>38</v>
      </c>
      <c r="G160" s="2" t="s">
        <v>35</v>
      </c>
      <c r="H160" s="2" t="s">
        <v>36</v>
      </c>
      <c r="I160" s="2" t="s">
        <v>245</v>
      </c>
      <c r="J160" s="2" t="s">
        <v>246</v>
      </c>
      <c r="K160" s="2" t="s">
        <v>130</v>
      </c>
      <c r="L160" s="2" t="s">
        <v>247</v>
      </c>
      <c r="M160" s="2">
        <v>5</v>
      </c>
      <c r="N160" s="2">
        <v>10620.75</v>
      </c>
      <c r="O160" s="2">
        <v>9350</v>
      </c>
      <c r="P160" s="2">
        <v>15</v>
      </c>
      <c r="Q160" s="2" t="s">
        <v>30</v>
      </c>
      <c r="R160" s="2" t="s">
        <v>42</v>
      </c>
      <c r="S160" s="3">
        <v>46007</v>
      </c>
      <c r="T160" s="6">
        <v>3</v>
      </c>
    </row>
    <row r="161" spans="1:20" x14ac:dyDescent="0.3">
      <c r="A161" s="2" t="s">
        <v>519</v>
      </c>
      <c r="B161" s="3">
        <v>45757</v>
      </c>
      <c r="C161" s="2" t="s">
        <v>520</v>
      </c>
      <c r="D161" s="2" t="s">
        <v>506</v>
      </c>
      <c r="E161" s="2" t="s">
        <v>77</v>
      </c>
      <c r="F161" s="2">
        <v>36</v>
      </c>
      <c r="G161" s="2" t="s">
        <v>122</v>
      </c>
      <c r="H161" s="2" t="s">
        <v>123</v>
      </c>
      <c r="I161" s="2" t="s">
        <v>85</v>
      </c>
      <c r="J161" s="2" t="s">
        <v>86</v>
      </c>
      <c r="K161" s="2" t="s">
        <v>87</v>
      </c>
      <c r="L161" s="2" t="s">
        <v>88</v>
      </c>
      <c r="M161" s="2">
        <v>5</v>
      </c>
      <c r="N161" s="2">
        <v>4197</v>
      </c>
      <c r="O161" s="2">
        <v>3950</v>
      </c>
      <c r="P161" s="2">
        <v>40</v>
      </c>
      <c r="Q161" s="2" t="s">
        <v>50</v>
      </c>
      <c r="R161" s="2" t="s">
        <v>57</v>
      </c>
      <c r="S161" s="3">
        <v>45769</v>
      </c>
      <c r="T161" s="6">
        <v>4</v>
      </c>
    </row>
    <row r="162" spans="1:20" x14ac:dyDescent="0.3">
      <c r="A162" s="2" t="s">
        <v>521</v>
      </c>
      <c r="B162" s="3">
        <v>45545</v>
      </c>
      <c r="C162" s="2" t="s">
        <v>297</v>
      </c>
      <c r="D162" s="2" t="s">
        <v>298</v>
      </c>
      <c r="E162" s="2" t="s">
        <v>77</v>
      </c>
      <c r="F162" s="2">
        <v>55</v>
      </c>
      <c r="G162" s="2" t="s">
        <v>61</v>
      </c>
      <c r="H162" s="2" t="s">
        <v>62</v>
      </c>
      <c r="I162" s="2" t="s">
        <v>112</v>
      </c>
      <c r="J162" s="2" t="s">
        <v>113</v>
      </c>
      <c r="K162" s="2" t="s">
        <v>114</v>
      </c>
      <c r="L162" s="2" t="s">
        <v>115</v>
      </c>
      <c r="M162" s="2">
        <v>3</v>
      </c>
      <c r="N162" s="2">
        <v>1992.15</v>
      </c>
      <c r="O162" s="2">
        <v>1110</v>
      </c>
      <c r="P162" s="2">
        <v>5</v>
      </c>
      <c r="Q162" s="2" t="s">
        <v>50</v>
      </c>
      <c r="R162" s="2" t="s">
        <v>42</v>
      </c>
      <c r="S162" s="3">
        <v>45547</v>
      </c>
      <c r="T162" s="6">
        <v>4</v>
      </c>
    </row>
    <row r="163" spans="1:20" x14ac:dyDescent="0.3">
      <c r="A163" s="2" t="s">
        <v>522</v>
      </c>
      <c r="B163" s="3">
        <v>45878</v>
      </c>
      <c r="C163" s="2" t="s">
        <v>523</v>
      </c>
      <c r="D163" s="2" t="s">
        <v>524</v>
      </c>
      <c r="E163" s="2" t="s">
        <v>77</v>
      </c>
      <c r="F163" s="2">
        <v>49</v>
      </c>
      <c r="G163" s="2" t="s">
        <v>173</v>
      </c>
      <c r="H163" s="2" t="s">
        <v>79</v>
      </c>
      <c r="I163" s="2" t="s">
        <v>319</v>
      </c>
      <c r="J163" s="2" t="s">
        <v>320</v>
      </c>
      <c r="K163" s="2" t="s">
        <v>28</v>
      </c>
      <c r="L163" s="2" t="s">
        <v>29</v>
      </c>
      <c r="M163" s="2">
        <v>3</v>
      </c>
      <c r="N163" s="2">
        <v>2158.1999999999998</v>
      </c>
      <c r="O163" s="2">
        <v>2130</v>
      </c>
      <c r="P163" s="2">
        <v>40</v>
      </c>
      <c r="Q163" s="2" t="s">
        <v>73</v>
      </c>
      <c r="R163" s="2" t="s">
        <v>31</v>
      </c>
      <c r="S163" s="3">
        <v>45883</v>
      </c>
      <c r="T163" s="6">
        <v>5</v>
      </c>
    </row>
    <row r="164" spans="1:20" x14ac:dyDescent="0.3">
      <c r="A164" s="2" t="s">
        <v>525</v>
      </c>
      <c r="B164" s="3">
        <v>45385</v>
      </c>
      <c r="C164" s="2" t="s">
        <v>526</v>
      </c>
      <c r="D164" s="2" t="s">
        <v>488</v>
      </c>
      <c r="E164" s="2" t="s">
        <v>77</v>
      </c>
      <c r="F164" s="2">
        <v>41</v>
      </c>
      <c r="G164" s="2" t="s">
        <v>61</v>
      </c>
      <c r="H164" s="2" t="s">
        <v>62</v>
      </c>
      <c r="I164" s="2" t="s">
        <v>26</v>
      </c>
      <c r="J164" s="2" t="s">
        <v>27</v>
      </c>
      <c r="K164" s="2" t="s">
        <v>28</v>
      </c>
      <c r="L164" s="2" t="s">
        <v>29</v>
      </c>
      <c r="M164" s="2">
        <v>4</v>
      </c>
      <c r="N164" s="2">
        <v>4676.3999999999996</v>
      </c>
      <c r="O164" s="2">
        <v>3160</v>
      </c>
      <c r="P164" s="2">
        <v>10</v>
      </c>
      <c r="Q164" s="2" t="s">
        <v>50</v>
      </c>
      <c r="R164" s="2" t="s">
        <v>42</v>
      </c>
      <c r="S164" s="3">
        <v>45394</v>
      </c>
      <c r="T164" s="6">
        <v>2</v>
      </c>
    </row>
    <row r="165" spans="1:20" x14ac:dyDescent="0.3">
      <c r="A165" s="2" t="s">
        <v>527</v>
      </c>
      <c r="B165" s="3">
        <v>45864</v>
      </c>
      <c r="C165" s="2" t="s">
        <v>146</v>
      </c>
      <c r="D165" s="2" t="s">
        <v>147</v>
      </c>
      <c r="E165" s="2" t="s">
        <v>23</v>
      </c>
      <c r="F165" s="2">
        <v>45</v>
      </c>
      <c r="G165" s="2" t="s">
        <v>35</v>
      </c>
      <c r="H165" s="2" t="s">
        <v>36</v>
      </c>
      <c r="I165" s="2" t="s">
        <v>177</v>
      </c>
      <c r="J165" s="2" t="s">
        <v>178</v>
      </c>
      <c r="K165" s="2" t="s">
        <v>87</v>
      </c>
      <c r="L165" s="2" t="s">
        <v>179</v>
      </c>
      <c r="M165" s="2">
        <v>1</v>
      </c>
      <c r="N165" s="2">
        <v>1749.3</v>
      </c>
      <c r="O165" s="2">
        <v>1620</v>
      </c>
      <c r="P165" s="2">
        <v>30</v>
      </c>
      <c r="Q165" s="2" t="s">
        <v>41</v>
      </c>
      <c r="R165" s="2" t="s">
        <v>57</v>
      </c>
      <c r="S165" s="3">
        <v>45866</v>
      </c>
      <c r="T165" s="6">
        <v>4</v>
      </c>
    </row>
    <row r="166" spans="1:20" x14ac:dyDescent="0.3">
      <c r="A166" s="2" t="s">
        <v>528</v>
      </c>
      <c r="B166" s="3">
        <v>45884</v>
      </c>
      <c r="C166" s="2" t="s">
        <v>462</v>
      </c>
      <c r="D166" s="2" t="s">
        <v>76</v>
      </c>
      <c r="E166" s="2" t="s">
        <v>77</v>
      </c>
      <c r="F166" s="2">
        <v>43</v>
      </c>
      <c r="G166" s="2" t="s">
        <v>24</v>
      </c>
      <c r="H166" s="2" t="s">
        <v>25</v>
      </c>
      <c r="I166" s="2" t="s">
        <v>134</v>
      </c>
      <c r="J166" s="2" t="s">
        <v>135</v>
      </c>
      <c r="K166" s="2" t="s">
        <v>39</v>
      </c>
      <c r="L166" s="2" t="s">
        <v>136</v>
      </c>
      <c r="M166" s="2">
        <v>3</v>
      </c>
      <c r="N166" s="2">
        <v>567.15</v>
      </c>
      <c r="O166" s="2">
        <v>270</v>
      </c>
      <c r="P166" s="2">
        <v>5</v>
      </c>
      <c r="Q166" s="2" t="s">
        <v>50</v>
      </c>
      <c r="R166" s="2" t="s">
        <v>42</v>
      </c>
      <c r="S166" s="3">
        <v>45887</v>
      </c>
      <c r="T166" s="6">
        <v>5</v>
      </c>
    </row>
    <row r="167" spans="1:20" x14ac:dyDescent="0.3">
      <c r="A167" s="2" t="s">
        <v>529</v>
      </c>
      <c r="B167" s="3">
        <v>45324</v>
      </c>
      <c r="C167" s="2" t="s">
        <v>422</v>
      </c>
      <c r="D167" s="2" t="s">
        <v>367</v>
      </c>
      <c r="E167" s="2" t="s">
        <v>77</v>
      </c>
      <c r="F167" s="2">
        <v>41</v>
      </c>
      <c r="G167" s="2" t="s">
        <v>122</v>
      </c>
      <c r="H167" s="2" t="s">
        <v>123</v>
      </c>
      <c r="I167" s="2" t="s">
        <v>319</v>
      </c>
      <c r="J167" s="2" t="s">
        <v>320</v>
      </c>
      <c r="K167" s="2" t="s">
        <v>28</v>
      </c>
      <c r="L167" s="2" t="s">
        <v>29</v>
      </c>
      <c r="M167" s="2">
        <v>2</v>
      </c>
      <c r="N167" s="2">
        <v>1678.6</v>
      </c>
      <c r="O167" s="2">
        <v>1420</v>
      </c>
      <c r="P167" s="2">
        <v>30</v>
      </c>
      <c r="Q167" s="2" t="s">
        <v>41</v>
      </c>
      <c r="R167" s="2" t="s">
        <v>42</v>
      </c>
      <c r="S167" s="3">
        <v>45333</v>
      </c>
      <c r="T167" s="6">
        <v>5</v>
      </c>
    </row>
    <row r="168" spans="1:20" x14ac:dyDescent="0.3">
      <c r="A168" s="2" t="s">
        <v>530</v>
      </c>
      <c r="B168" s="3">
        <v>45676</v>
      </c>
      <c r="C168" s="2" t="s">
        <v>297</v>
      </c>
      <c r="D168" s="2" t="s">
        <v>298</v>
      </c>
      <c r="E168" s="2" t="s">
        <v>77</v>
      </c>
      <c r="F168" s="2">
        <v>55</v>
      </c>
      <c r="G168" s="2" t="s">
        <v>1604</v>
      </c>
      <c r="H168" s="2" t="s">
        <v>79</v>
      </c>
      <c r="I168" s="2" t="s">
        <v>92</v>
      </c>
      <c r="J168" s="2" t="s">
        <v>93</v>
      </c>
      <c r="K168" s="2" t="s">
        <v>87</v>
      </c>
      <c r="L168" s="2" t="s">
        <v>94</v>
      </c>
      <c r="M168" s="2">
        <v>3</v>
      </c>
      <c r="N168" s="2">
        <v>4557.1499999999996</v>
      </c>
      <c r="O168" s="2">
        <v>2790</v>
      </c>
      <c r="P168" s="2">
        <v>5</v>
      </c>
      <c r="Q168" s="2" t="s">
        <v>30</v>
      </c>
      <c r="R168" s="2" t="s">
        <v>65</v>
      </c>
      <c r="S168" s="3" t="s">
        <v>1604</v>
      </c>
      <c r="T168" s="6" t="s">
        <v>1604</v>
      </c>
    </row>
    <row r="169" spans="1:20" x14ac:dyDescent="0.3">
      <c r="A169" s="2" t="s">
        <v>531</v>
      </c>
      <c r="B169" s="3">
        <v>45694</v>
      </c>
      <c r="C169" s="2" t="s">
        <v>532</v>
      </c>
      <c r="D169" s="2" t="s">
        <v>355</v>
      </c>
      <c r="E169" s="2" t="s">
        <v>77</v>
      </c>
      <c r="F169" s="2">
        <v>33</v>
      </c>
      <c r="G169" s="2" t="s">
        <v>173</v>
      </c>
      <c r="H169" s="2" t="s">
        <v>79</v>
      </c>
      <c r="I169" s="2" t="s">
        <v>177</v>
      </c>
      <c r="J169" s="2" t="s">
        <v>178</v>
      </c>
      <c r="K169" s="2" t="s">
        <v>87</v>
      </c>
      <c r="L169" s="2" t="s">
        <v>179</v>
      </c>
      <c r="M169" s="2">
        <v>2</v>
      </c>
      <c r="N169" s="2">
        <v>4998</v>
      </c>
      <c r="O169" s="2">
        <v>3240</v>
      </c>
      <c r="P169" s="2">
        <v>0</v>
      </c>
      <c r="Q169" s="2" t="s">
        <v>73</v>
      </c>
      <c r="R169" s="2" t="s">
        <v>42</v>
      </c>
      <c r="S169" s="3">
        <v>45703</v>
      </c>
      <c r="T169" s="6">
        <v>5</v>
      </c>
    </row>
    <row r="170" spans="1:20" x14ac:dyDescent="0.3">
      <c r="A170" s="2" t="s">
        <v>533</v>
      </c>
      <c r="B170" s="3">
        <v>45836</v>
      </c>
      <c r="C170" s="2" t="s">
        <v>59</v>
      </c>
      <c r="D170" s="2" t="s">
        <v>60</v>
      </c>
      <c r="E170" s="2" t="s">
        <v>23</v>
      </c>
      <c r="F170" s="2">
        <v>37</v>
      </c>
      <c r="G170" s="2" t="s">
        <v>90</v>
      </c>
      <c r="H170" s="2" t="s">
        <v>91</v>
      </c>
      <c r="I170" s="2" t="s">
        <v>304</v>
      </c>
      <c r="J170" s="2" t="s">
        <v>305</v>
      </c>
      <c r="K170" s="2" t="s">
        <v>28</v>
      </c>
      <c r="L170" s="2" t="s">
        <v>231</v>
      </c>
      <c r="M170" s="2">
        <v>4</v>
      </c>
      <c r="N170" s="2">
        <v>5397</v>
      </c>
      <c r="O170" s="2">
        <v>4320</v>
      </c>
      <c r="P170" s="2">
        <v>25</v>
      </c>
      <c r="Q170" s="2" t="s">
        <v>30</v>
      </c>
      <c r="R170" s="2" t="s">
        <v>42</v>
      </c>
      <c r="S170" s="3">
        <v>45841</v>
      </c>
      <c r="T170" s="6">
        <v>3</v>
      </c>
    </row>
    <row r="171" spans="1:20" x14ac:dyDescent="0.3">
      <c r="A171" s="2" t="s">
        <v>534</v>
      </c>
      <c r="B171" s="3">
        <v>45324</v>
      </c>
      <c r="C171" s="2" t="s">
        <v>535</v>
      </c>
      <c r="D171" s="2" t="s">
        <v>536</v>
      </c>
      <c r="E171" s="2" t="s">
        <v>77</v>
      </c>
      <c r="F171" s="2">
        <v>22</v>
      </c>
      <c r="G171" s="2" t="s">
        <v>161</v>
      </c>
      <c r="H171" s="2" t="s">
        <v>25</v>
      </c>
      <c r="I171" s="2" t="s">
        <v>304</v>
      </c>
      <c r="J171" s="2" t="s">
        <v>305</v>
      </c>
      <c r="K171" s="2" t="s">
        <v>28</v>
      </c>
      <c r="L171" s="2" t="s">
        <v>231</v>
      </c>
      <c r="M171" s="2">
        <v>2</v>
      </c>
      <c r="N171" s="2">
        <v>3418.1</v>
      </c>
      <c r="O171" s="2">
        <v>2160</v>
      </c>
      <c r="P171" s="2">
        <v>5</v>
      </c>
      <c r="Q171" s="2" t="s">
        <v>73</v>
      </c>
      <c r="R171" s="2" t="s">
        <v>65</v>
      </c>
      <c r="S171" s="3" t="s">
        <v>1604</v>
      </c>
      <c r="T171" s="6" t="s">
        <v>1604</v>
      </c>
    </row>
    <row r="172" spans="1:20" x14ac:dyDescent="0.3">
      <c r="A172" s="2" t="s">
        <v>537</v>
      </c>
      <c r="B172" s="3">
        <v>45326</v>
      </c>
      <c r="C172" s="2" t="s">
        <v>538</v>
      </c>
      <c r="D172" s="2" t="s">
        <v>539</v>
      </c>
      <c r="E172" s="2" t="s">
        <v>23</v>
      </c>
      <c r="F172" s="2">
        <v>49</v>
      </c>
      <c r="G172" s="2" t="s">
        <v>24</v>
      </c>
      <c r="H172" s="2" t="s">
        <v>25</v>
      </c>
      <c r="I172" s="2" t="s">
        <v>304</v>
      </c>
      <c r="J172" s="2" t="s">
        <v>305</v>
      </c>
      <c r="K172" s="2" t="s">
        <v>28</v>
      </c>
      <c r="L172" s="2" t="s">
        <v>231</v>
      </c>
      <c r="M172" s="2">
        <v>1</v>
      </c>
      <c r="N172" s="2">
        <v>1259.3</v>
      </c>
      <c r="O172" s="2">
        <v>1080</v>
      </c>
      <c r="P172" s="2">
        <v>30</v>
      </c>
      <c r="Q172" s="2" t="s">
        <v>103</v>
      </c>
      <c r="R172" s="2" t="s">
        <v>42</v>
      </c>
      <c r="S172" s="3">
        <v>45336</v>
      </c>
      <c r="T172" s="6">
        <v>4</v>
      </c>
    </row>
    <row r="173" spans="1:20" x14ac:dyDescent="0.3">
      <c r="A173" s="2" t="s">
        <v>540</v>
      </c>
      <c r="B173" s="3">
        <v>45349</v>
      </c>
      <c r="C173" s="2" t="s">
        <v>379</v>
      </c>
      <c r="D173" s="2" t="s">
        <v>380</v>
      </c>
      <c r="E173" s="2" t="s">
        <v>77</v>
      </c>
      <c r="F173" s="2">
        <v>41</v>
      </c>
      <c r="G173" s="2" t="s">
        <v>35</v>
      </c>
      <c r="H173" s="2" t="s">
        <v>36</v>
      </c>
      <c r="I173" s="2" t="s">
        <v>304</v>
      </c>
      <c r="J173" s="2" t="s">
        <v>305</v>
      </c>
      <c r="K173" s="2" t="s">
        <v>28</v>
      </c>
      <c r="L173" s="2" t="s">
        <v>231</v>
      </c>
      <c r="M173" s="2">
        <v>5</v>
      </c>
      <c r="N173" s="2">
        <v>6746.25</v>
      </c>
      <c r="O173" s="2">
        <v>5400</v>
      </c>
      <c r="P173" s="2">
        <v>25</v>
      </c>
      <c r="Q173" s="2" t="s">
        <v>50</v>
      </c>
      <c r="R173" s="2" t="s">
        <v>65</v>
      </c>
      <c r="S173" s="3" t="s">
        <v>1604</v>
      </c>
      <c r="T173" s="6" t="s">
        <v>1604</v>
      </c>
    </row>
    <row r="174" spans="1:20" x14ac:dyDescent="0.3">
      <c r="A174" s="2" t="s">
        <v>541</v>
      </c>
      <c r="B174" s="3">
        <v>45980</v>
      </c>
      <c r="C174" s="2" t="s">
        <v>269</v>
      </c>
      <c r="D174" s="2" t="s">
        <v>270</v>
      </c>
      <c r="E174" s="2" t="s">
        <v>77</v>
      </c>
      <c r="F174" s="2">
        <v>43</v>
      </c>
      <c r="G174" s="2" t="s">
        <v>90</v>
      </c>
      <c r="H174" s="2" t="s">
        <v>91</v>
      </c>
      <c r="I174" s="2" t="s">
        <v>143</v>
      </c>
      <c r="J174" s="2" t="s">
        <v>144</v>
      </c>
      <c r="K174" s="2" t="s">
        <v>130</v>
      </c>
      <c r="L174" s="2" t="s">
        <v>131</v>
      </c>
      <c r="M174" s="2">
        <v>2</v>
      </c>
      <c r="N174" s="2">
        <v>9348.2999999999993</v>
      </c>
      <c r="O174" s="2">
        <v>8600</v>
      </c>
      <c r="P174" s="2">
        <v>15</v>
      </c>
      <c r="Q174" s="2" t="s">
        <v>103</v>
      </c>
      <c r="R174" s="2" t="s">
        <v>42</v>
      </c>
      <c r="S174" s="3">
        <v>45986</v>
      </c>
      <c r="T174" s="6">
        <v>2</v>
      </c>
    </row>
    <row r="175" spans="1:20" x14ac:dyDescent="0.3">
      <c r="A175" s="2" t="s">
        <v>542</v>
      </c>
      <c r="B175" s="3">
        <v>45862</v>
      </c>
      <c r="C175" s="2" t="s">
        <v>110</v>
      </c>
      <c r="D175" s="2" t="s">
        <v>111</v>
      </c>
      <c r="E175" s="2" t="s">
        <v>23</v>
      </c>
      <c r="F175" s="2">
        <v>39</v>
      </c>
      <c r="G175" s="2" t="s">
        <v>122</v>
      </c>
      <c r="H175" s="2" t="s">
        <v>123</v>
      </c>
      <c r="I175" s="2" t="s">
        <v>222</v>
      </c>
      <c r="J175" s="2" t="s">
        <v>223</v>
      </c>
      <c r="K175" s="2" t="s">
        <v>114</v>
      </c>
      <c r="L175" s="2" t="s">
        <v>115</v>
      </c>
      <c r="M175" s="2">
        <v>4</v>
      </c>
      <c r="N175" s="2">
        <v>3596</v>
      </c>
      <c r="O175" s="2">
        <v>2040</v>
      </c>
      <c r="P175" s="2">
        <v>0</v>
      </c>
      <c r="Q175" s="2" t="s">
        <v>41</v>
      </c>
      <c r="R175" s="2" t="s">
        <v>31</v>
      </c>
      <c r="S175" s="3">
        <v>45874</v>
      </c>
      <c r="T175" s="6">
        <v>5</v>
      </c>
    </row>
    <row r="176" spans="1:20" x14ac:dyDescent="0.3">
      <c r="A176" s="2" t="s">
        <v>543</v>
      </c>
      <c r="B176" s="3">
        <v>45829</v>
      </c>
      <c r="C176" s="2" t="s">
        <v>424</v>
      </c>
      <c r="D176" s="2" t="s">
        <v>273</v>
      </c>
      <c r="E176" s="2" t="s">
        <v>23</v>
      </c>
      <c r="F176" s="2">
        <v>40</v>
      </c>
      <c r="G176" s="2" t="s">
        <v>122</v>
      </c>
      <c r="H176" s="2" t="s">
        <v>123</v>
      </c>
      <c r="I176" s="2" t="s">
        <v>134</v>
      </c>
      <c r="J176" s="2" t="s">
        <v>135</v>
      </c>
      <c r="K176" s="2" t="s">
        <v>39</v>
      </c>
      <c r="L176" s="2" t="s">
        <v>136</v>
      </c>
      <c r="M176" s="2">
        <v>2</v>
      </c>
      <c r="N176" s="2">
        <v>318.39999999999998</v>
      </c>
      <c r="O176" s="2">
        <v>180</v>
      </c>
      <c r="P176" s="2">
        <v>20</v>
      </c>
      <c r="Q176" s="2" t="s">
        <v>103</v>
      </c>
      <c r="R176" s="2" t="s">
        <v>42</v>
      </c>
      <c r="S176" s="3">
        <v>45839</v>
      </c>
      <c r="T176" s="6">
        <v>5</v>
      </c>
    </row>
    <row r="177" spans="1:20" x14ac:dyDescent="0.3">
      <c r="A177" s="2" t="s">
        <v>544</v>
      </c>
      <c r="B177" s="3">
        <v>45538</v>
      </c>
      <c r="C177" s="2" t="s">
        <v>357</v>
      </c>
      <c r="D177" s="2" t="s">
        <v>358</v>
      </c>
      <c r="E177" s="2" t="s">
        <v>23</v>
      </c>
      <c r="F177" s="2">
        <v>23</v>
      </c>
      <c r="G177" s="2" t="s">
        <v>35</v>
      </c>
      <c r="H177" s="2" t="s">
        <v>36</v>
      </c>
      <c r="I177" s="2" t="s">
        <v>85</v>
      </c>
      <c r="J177" s="2" t="s">
        <v>86</v>
      </c>
      <c r="K177" s="2" t="s">
        <v>87</v>
      </c>
      <c r="L177" s="2" t="s">
        <v>88</v>
      </c>
      <c r="M177" s="2">
        <v>2</v>
      </c>
      <c r="N177" s="2">
        <v>1678.8</v>
      </c>
      <c r="O177" s="2">
        <v>1580</v>
      </c>
      <c r="P177" s="2">
        <v>40</v>
      </c>
      <c r="Q177" s="2" t="s">
        <v>73</v>
      </c>
      <c r="R177" s="2" t="s">
        <v>65</v>
      </c>
      <c r="S177" s="3" t="s">
        <v>1604</v>
      </c>
      <c r="T177" s="6" t="s">
        <v>1604</v>
      </c>
    </row>
    <row r="178" spans="1:20" x14ac:dyDescent="0.3">
      <c r="A178" s="2" t="s">
        <v>545</v>
      </c>
      <c r="B178" s="3">
        <v>45714</v>
      </c>
      <c r="C178" s="2" t="s">
        <v>546</v>
      </c>
      <c r="D178" s="2" t="s">
        <v>547</v>
      </c>
      <c r="E178" s="2" t="s">
        <v>77</v>
      </c>
      <c r="F178" s="2">
        <v>33</v>
      </c>
      <c r="G178" s="2" t="s">
        <v>173</v>
      </c>
      <c r="H178" s="2" t="s">
        <v>79</v>
      </c>
      <c r="I178" s="2" t="s">
        <v>47</v>
      </c>
      <c r="J178" s="2" t="s">
        <v>48</v>
      </c>
      <c r="K178" s="2" t="s">
        <v>39</v>
      </c>
      <c r="L178" s="2" t="s">
        <v>49</v>
      </c>
      <c r="M178" s="2">
        <v>2</v>
      </c>
      <c r="N178" s="2">
        <v>638.4</v>
      </c>
      <c r="O178" s="2">
        <v>420</v>
      </c>
      <c r="P178" s="2">
        <v>20</v>
      </c>
      <c r="Q178" s="2" t="s">
        <v>30</v>
      </c>
      <c r="R178" s="2" t="s">
        <v>42</v>
      </c>
      <c r="S178" s="3">
        <v>45726</v>
      </c>
      <c r="T178" s="6">
        <v>3</v>
      </c>
    </row>
    <row r="179" spans="1:20" x14ac:dyDescent="0.3">
      <c r="A179" s="2" t="s">
        <v>548</v>
      </c>
      <c r="B179" s="3">
        <v>45752</v>
      </c>
      <c r="C179" s="2" t="s">
        <v>294</v>
      </c>
      <c r="D179" s="2" t="s">
        <v>295</v>
      </c>
      <c r="E179" s="2" t="s">
        <v>77</v>
      </c>
      <c r="F179" s="2">
        <v>31</v>
      </c>
      <c r="G179" s="2" t="s">
        <v>46</v>
      </c>
      <c r="H179" s="2" t="s">
        <v>25</v>
      </c>
      <c r="I179" s="2" t="s">
        <v>222</v>
      </c>
      <c r="J179" s="2" t="s">
        <v>223</v>
      </c>
      <c r="K179" s="2" t="s">
        <v>114</v>
      </c>
      <c r="L179" s="2" t="s">
        <v>115</v>
      </c>
      <c r="M179" s="2">
        <v>2</v>
      </c>
      <c r="N179" s="2">
        <v>1798</v>
      </c>
      <c r="O179" s="2">
        <v>1020</v>
      </c>
      <c r="P179" s="2">
        <v>0</v>
      </c>
      <c r="Q179" s="2" t="s">
        <v>41</v>
      </c>
      <c r="R179" s="2" t="s">
        <v>42</v>
      </c>
      <c r="S179" s="3">
        <v>45764</v>
      </c>
      <c r="T179" s="6">
        <v>2</v>
      </c>
    </row>
    <row r="180" spans="1:20" x14ac:dyDescent="0.3">
      <c r="A180" s="2" t="s">
        <v>549</v>
      </c>
      <c r="B180" s="3">
        <v>45366</v>
      </c>
      <c r="C180" s="2" t="s">
        <v>550</v>
      </c>
      <c r="D180" s="2" t="s">
        <v>482</v>
      </c>
      <c r="E180" s="2" t="s">
        <v>23</v>
      </c>
      <c r="F180" s="2">
        <v>33</v>
      </c>
      <c r="G180" s="2" t="s">
        <v>154</v>
      </c>
      <c r="H180" s="2" t="s">
        <v>91</v>
      </c>
      <c r="I180" s="2" t="s">
        <v>37</v>
      </c>
      <c r="J180" s="2" t="s">
        <v>38</v>
      </c>
      <c r="K180" s="2" t="s">
        <v>39</v>
      </c>
      <c r="L180" s="2" t="s">
        <v>40</v>
      </c>
      <c r="M180" s="2">
        <v>2</v>
      </c>
      <c r="N180" s="2">
        <v>1348.5</v>
      </c>
      <c r="O180" s="2">
        <v>1040</v>
      </c>
      <c r="P180" s="2">
        <v>25</v>
      </c>
      <c r="Q180" s="2" t="s">
        <v>41</v>
      </c>
      <c r="R180" s="2" t="s">
        <v>42</v>
      </c>
      <c r="S180" s="3">
        <v>45371</v>
      </c>
      <c r="T180" s="6">
        <v>4</v>
      </c>
    </row>
    <row r="181" spans="1:20" x14ac:dyDescent="0.3">
      <c r="A181" s="2" t="s">
        <v>551</v>
      </c>
      <c r="B181" s="3">
        <v>45412</v>
      </c>
      <c r="C181" s="2" t="s">
        <v>431</v>
      </c>
      <c r="D181" s="2" t="s">
        <v>432</v>
      </c>
      <c r="E181" s="2" t="s">
        <v>77</v>
      </c>
      <c r="F181" s="2">
        <v>19</v>
      </c>
      <c r="G181" s="2" t="s">
        <v>90</v>
      </c>
      <c r="H181" s="2" t="s">
        <v>91</v>
      </c>
      <c r="I181" s="2" t="s">
        <v>85</v>
      </c>
      <c r="J181" s="2" t="s">
        <v>86</v>
      </c>
      <c r="K181" s="2" t="s">
        <v>87</v>
      </c>
      <c r="L181" s="2" t="s">
        <v>88</v>
      </c>
      <c r="M181" s="2">
        <v>5</v>
      </c>
      <c r="N181" s="2">
        <v>5945.75</v>
      </c>
      <c r="O181" s="2">
        <v>3950</v>
      </c>
      <c r="P181" s="2">
        <v>15</v>
      </c>
      <c r="Q181" s="2" t="s">
        <v>103</v>
      </c>
      <c r="R181" s="2" t="s">
        <v>42</v>
      </c>
      <c r="S181" s="3">
        <v>45422</v>
      </c>
      <c r="T181" s="6">
        <v>4</v>
      </c>
    </row>
    <row r="182" spans="1:20" x14ac:dyDescent="0.3">
      <c r="A182" s="2" t="s">
        <v>552</v>
      </c>
      <c r="B182" s="3">
        <v>45581</v>
      </c>
      <c r="C182" s="2" t="s">
        <v>59</v>
      </c>
      <c r="D182" s="2" t="s">
        <v>60</v>
      </c>
      <c r="E182" s="2" t="s">
        <v>23</v>
      </c>
      <c r="F182" s="2">
        <v>15</v>
      </c>
      <c r="G182" s="2" t="s">
        <v>61</v>
      </c>
      <c r="H182" s="2" t="s">
        <v>62</v>
      </c>
      <c r="I182" s="2" t="s">
        <v>222</v>
      </c>
      <c r="J182" s="2" t="s">
        <v>223</v>
      </c>
      <c r="K182" s="2" t="s">
        <v>114</v>
      </c>
      <c r="L182" s="2" t="s">
        <v>115</v>
      </c>
      <c r="M182" s="2">
        <v>3</v>
      </c>
      <c r="N182" s="2">
        <v>2157.6</v>
      </c>
      <c r="O182" s="2">
        <v>1530</v>
      </c>
      <c r="P182" s="2">
        <v>20</v>
      </c>
      <c r="Q182" s="2" t="s">
        <v>41</v>
      </c>
      <c r="R182" s="2" t="s">
        <v>42</v>
      </c>
      <c r="S182" s="3">
        <v>45591</v>
      </c>
      <c r="T182" s="6">
        <v>5</v>
      </c>
    </row>
    <row r="183" spans="1:20" x14ac:dyDescent="0.3">
      <c r="A183" s="2" t="s">
        <v>553</v>
      </c>
      <c r="B183" s="3">
        <v>45769</v>
      </c>
      <c r="C183" s="2" t="s">
        <v>240</v>
      </c>
      <c r="D183" s="2" t="s">
        <v>241</v>
      </c>
      <c r="E183" s="2" t="s">
        <v>23</v>
      </c>
      <c r="F183" s="2">
        <v>25</v>
      </c>
      <c r="G183" s="2" t="s">
        <v>101</v>
      </c>
      <c r="H183" s="2" t="s">
        <v>102</v>
      </c>
      <c r="I183" s="2" t="s">
        <v>183</v>
      </c>
      <c r="J183" s="2" t="s">
        <v>184</v>
      </c>
      <c r="K183" s="2" t="s">
        <v>130</v>
      </c>
      <c r="L183" s="2" t="s">
        <v>185</v>
      </c>
      <c r="M183" s="2">
        <v>2</v>
      </c>
      <c r="N183" s="2">
        <v>5998.5</v>
      </c>
      <c r="O183" s="2">
        <v>6100</v>
      </c>
      <c r="P183" s="2">
        <v>25</v>
      </c>
      <c r="Q183" s="2" t="s">
        <v>41</v>
      </c>
      <c r="R183" s="2" t="s">
        <v>42</v>
      </c>
      <c r="S183" s="3">
        <v>45771</v>
      </c>
      <c r="T183" s="6">
        <v>4</v>
      </c>
    </row>
    <row r="184" spans="1:20" x14ac:dyDescent="0.3">
      <c r="A184" s="2" t="s">
        <v>554</v>
      </c>
      <c r="B184" s="3">
        <v>45441</v>
      </c>
      <c r="C184" s="2" t="s">
        <v>555</v>
      </c>
      <c r="D184" s="2" t="s">
        <v>556</v>
      </c>
      <c r="E184" s="2" t="s">
        <v>23</v>
      </c>
      <c r="F184" s="2">
        <v>52</v>
      </c>
      <c r="G184" s="2" t="s">
        <v>207</v>
      </c>
      <c r="H184" s="2" t="s">
        <v>36</v>
      </c>
      <c r="I184" s="2" t="s">
        <v>222</v>
      </c>
      <c r="J184" s="2" t="s">
        <v>223</v>
      </c>
      <c r="K184" s="2" t="s">
        <v>114</v>
      </c>
      <c r="L184" s="2" t="s">
        <v>115</v>
      </c>
      <c r="M184" s="2">
        <v>5</v>
      </c>
      <c r="N184" s="2">
        <v>3146.5</v>
      </c>
      <c r="O184" s="2">
        <v>2550</v>
      </c>
      <c r="P184" s="2">
        <v>30</v>
      </c>
      <c r="Q184" s="2" t="s">
        <v>41</v>
      </c>
      <c r="R184" s="2" t="s">
        <v>42</v>
      </c>
      <c r="S184" s="3">
        <v>45446</v>
      </c>
      <c r="T184" s="6">
        <v>4</v>
      </c>
    </row>
    <row r="185" spans="1:20" x14ac:dyDescent="0.3">
      <c r="A185" s="2" t="s">
        <v>557</v>
      </c>
      <c r="B185" s="3">
        <v>45527</v>
      </c>
      <c r="C185" s="2" t="s">
        <v>59</v>
      </c>
      <c r="D185" s="2" t="s">
        <v>60</v>
      </c>
      <c r="E185" s="2" t="s">
        <v>23</v>
      </c>
      <c r="F185" s="2">
        <v>37</v>
      </c>
      <c r="G185" s="2" t="s">
        <v>90</v>
      </c>
      <c r="H185" s="2" t="s">
        <v>91</v>
      </c>
      <c r="I185" s="2" t="s">
        <v>37</v>
      </c>
      <c r="J185" s="2" t="s">
        <v>38</v>
      </c>
      <c r="K185" s="2" t="s">
        <v>39</v>
      </c>
      <c r="L185" s="2" t="s">
        <v>40</v>
      </c>
      <c r="M185" s="2">
        <v>5</v>
      </c>
      <c r="N185" s="2">
        <v>3371.25</v>
      </c>
      <c r="O185" s="2">
        <v>2600</v>
      </c>
      <c r="P185" s="2">
        <v>25</v>
      </c>
      <c r="Q185" s="2" t="s">
        <v>41</v>
      </c>
      <c r="R185" s="2" t="s">
        <v>57</v>
      </c>
      <c r="S185" s="3">
        <v>45536</v>
      </c>
      <c r="T185" s="6">
        <v>5</v>
      </c>
    </row>
    <row r="186" spans="1:20" x14ac:dyDescent="0.3">
      <c r="A186" s="2" t="s">
        <v>558</v>
      </c>
      <c r="B186" s="3">
        <v>45763</v>
      </c>
      <c r="C186" s="2" t="s">
        <v>441</v>
      </c>
      <c r="D186" s="2" t="s">
        <v>442</v>
      </c>
      <c r="E186" s="2" t="s">
        <v>77</v>
      </c>
      <c r="F186" s="2">
        <v>44</v>
      </c>
      <c r="G186" s="2" t="s">
        <v>211</v>
      </c>
      <c r="H186" s="2" t="s">
        <v>127</v>
      </c>
      <c r="I186" s="2" t="s">
        <v>319</v>
      </c>
      <c r="J186" s="2" t="s">
        <v>320</v>
      </c>
      <c r="K186" s="2" t="s">
        <v>28</v>
      </c>
      <c r="L186" s="2" t="s">
        <v>29</v>
      </c>
      <c r="M186" s="2">
        <v>2</v>
      </c>
      <c r="N186" s="2">
        <v>1438.8</v>
      </c>
      <c r="O186" s="2">
        <v>1420</v>
      </c>
      <c r="P186" s="2">
        <v>40</v>
      </c>
      <c r="Q186" s="2" t="s">
        <v>30</v>
      </c>
      <c r="R186" s="2" t="s">
        <v>65</v>
      </c>
      <c r="S186" s="3" t="s">
        <v>1604</v>
      </c>
      <c r="T186" s="6" t="s">
        <v>1604</v>
      </c>
    </row>
    <row r="187" spans="1:20" x14ac:dyDescent="0.3">
      <c r="A187" s="2" t="s">
        <v>559</v>
      </c>
      <c r="B187" s="3">
        <v>45949</v>
      </c>
      <c r="C187" s="2" t="s">
        <v>67</v>
      </c>
      <c r="D187" s="2" t="s">
        <v>68</v>
      </c>
      <c r="E187" s="2" t="s">
        <v>23</v>
      </c>
      <c r="F187" s="2">
        <v>42</v>
      </c>
      <c r="G187" s="2" t="s">
        <v>24</v>
      </c>
      <c r="H187" s="2" t="s">
        <v>25</v>
      </c>
      <c r="I187" s="2" t="s">
        <v>54</v>
      </c>
      <c r="J187" s="2" t="s">
        <v>55</v>
      </c>
      <c r="K187" s="2" t="s">
        <v>28</v>
      </c>
      <c r="L187" s="2" t="s">
        <v>56</v>
      </c>
      <c r="M187" s="2">
        <v>1</v>
      </c>
      <c r="N187" s="2">
        <v>699</v>
      </c>
      <c r="O187" s="2">
        <v>410</v>
      </c>
      <c r="P187" s="2">
        <v>0</v>
      </c>
      <c r="Q187" s="2" t="s">
        <v>103</v>
      </c>
      <c r="R187" s="2" t="s">
        <v>42</v>
      </c>
      <c r="S187" s="3">
        <v>45961</v>
      </c>
      <c r="T187" s="6">
        <v>4</v>
      </c>
    </row>
    <row r="188" spans="1:20" x14ac:dyDescent="0.3">
      <c r="A188" s="2" t="s">
        <v>560</v>
      </c>
      <c r="B188" s="3">
        <v>45361</v>
      </c>
      <c r="C188" s="2" t="s">
        <v>561</v>
      </c>
      <c r="D188" s="2" t="s">
        <v>439</v>
      </c>
      <c r="E188" s="2" t="s">
        <v>23</v>
      </c>
      <c r="F188" s="2">
        <v>58</v>
      </c>
      <c r="G188" s="2" t="s">
        <v>161</v>
      </c>
      <c r="H188" s="2" t="s">
        <v>25</v>
      </c>
      <c r="I188" s="2" t="s">
        <v>70</v>
      </c>
      <c r="J188" s="2" t="s">
        <v>71</v>
      </c>
      <c r="K188" s="2" t="s">
        <v>28</v>
      </c>
      <c r="L188" s="2" t="s">
        <v>72</v>
      </c>
      <c r="M188" s="2">
        <v>5</v>
      </c>
      <c r="N188" s="2">
        <v>4497</v>
      </c>
      <c r="O188" s="2">
        <v>4600</v>
      </c>
      <c r="P188" s="2">
        <v>40</v>
      </c>
      <c r="Q188" s="2" t="s">
        <v>41</v>
      </c>
      <c r="R188" s="2" t="s">
        <v>42</v>
      </c>
      <c r="S188" s="3">
        <v>45372</v>
      </c>
      <c r="T188" s="6">
        <v>5</v>
      </c>
    </row>
    <row r="189" spans="1:20" x14ac:dyDescent="0.3">
      <c r="A189" s="2" t="s">
        <v>562</v>
      </c>
      <c r="B189" s="3">
        <v>45967</v>
      </c>
      <c r="C189" s="2" t="s">
        <v>563</v>
      </c>
      <c r="D189" s="2" t="s">
        <v>53</v>
      </c>
      <c r="E189" s="2" t="s">
        <v>23</v>
      </c>
      <c r="F189" s="2">
        <v>47</v>
      </c>
      <c r="G189" s="2" t="s">
        <v>161</v>
      </c>
      <c r="H189" s="2" t="s">
        <v>25</v>
      </c>
      <c r="I189" s="2" t="s">
        <v>80</v>
      </c>
      <c r="J189" s="2" t="s">
        <v>81</v>
      </c>
      <c r="K189" s="2" t="s">
        <v>28</v>
      </c>
      <c r="L189" s="2" t="s">
        <v>29</v>
      </c>
      <c r="M189" s="2">
        <v>5</v>
      </c>
      <c r="N189" s="2">
        <v>2796.5</v>
      </c>
      <c r="O189" s="2">
        <v>2350</v>
      </c>
      <c r="P189" s="2">
        <v>30</v>
      </c>
      <c r="Q189" s="2" t="s">
        <v>73</v>
      </c>
      <c r="R189" s="2" t="s">
        <v>42</v>
      </c>
      <c r="S189" s="3">
        <v>45977</v>
      </c>
      <c r="T189" s="6">
        <v>4</v>
      </c>
    </row>
    <row r="190" spans="1:20" x14ac:dyDescent="0.3">
      <c r="A190" s="2" t="s">
        <v>564</v>
      </c>
      <c r="B190" s="3">
        <v>45840</v>
      </c>
      <c r="C190" s="2" t="s">
        <v>422</v>
      </c>
      <c r="D190" s="2" t="s">
        <v>367</v>
      </c>
      <c r="E190" s="2" t="s">
        <v>77</v>
      </c>
      <c r="F190" s="2">
        <v>41</v>
      </c>
      <c r="G190" s="2" t="s">
        <v>161</v>
      </c>
      <c r="H190" s="2" t="s">
        <v>25</v>
      </c>
      <c r="I190" s="2" t="s">
        <v>112</v>
      </c>
      <c r="J190" s="2" t="s">
        <v>113</v>
      </c>
      <c r="K190" s="2" t="s">
        <v>114</v>
      </c>
      <c r="L190" s="2" t="s">
        <v>115</v>
      </c>
      <c r="M190" s="2">
        <v>4</v>
      </c>
      <c r="N190" s="2">
        <v>2516.4</v>
      </c>
      <c r="O190" s="2">
        <v>1480</v>
      </c>
      <c r="P190" s="2">
        <v>10</v>
      </c>
      <c r="Q190" s="2" t="s">
        <v>73</v>
      </c>
      <c r="R190" s="2" t="s">
        <v>42</v>
      </c>
      <c r="S190" s="3">
        <v>45850</v>
      </c>
      <c r="T190" s="6">
        <v>3</v>
      </c>
    </row>
    <row r="191" spans="1:20" x14ac:dyDescent="0.3">
      <c r="A191" s="2" t="s">
        <v>565</v>
      </c>
      <c r="B191" s="3">
        <v>45538</v>
      </c>
      <c r="C191" s="2" t="s">
        <v>502</v>
      </c>
      <c r="D191" s="2" t="s">
        <v>503</v>
      </c>
      <c r="E191" s="2" t="s">
        <v>77</v>
      </c>
      <c r="F191" s="2">
        <v>43</v>
      </c>
      <c r="G191" s="2" t="s">
        <v>207</v>
      </c>
      <c r="H191" s="2" t="s">
        <v>36</v>
      </c>
      <c r="I191" s="2" t="s">
        <v>245</v>
      </c>
      <c r="J191" s="2" t="s">
        <v>246</v>
      </c>
      <c r="K191" s="2" t="s">
        <v>130</v>
      </c>
      <c r="L191" s="2" t="s">
        <v>247</v>
      </c>
      <c r="M191" s="2">
        <v>3</v>
      </c>
      <c r="N191" s="2">
        <v>5247.9</v>
      </c>
      <c r="O191" s="2">
        <v>5610</v>
      </c>
      <c r="P191" s="2">
        <v>30</v>
      </c>
      <c r="Q191" s="2" t="s">
        <v>73</v>
      </c>
      <c r="R191" s="2" t="s">
        <v>42</v>
      </c>
      <c r="S191" s="3">
        <v>45546</v>
      </c>
      <c r="T191" s="6">
        <v>5</v>
      </c>
    </row>
    <row r="192" spans="1:20" x14ac:dyDescent="0.3">
      <c r="A192" s="2" t="s">
        <v>566</v>
      </c>
      <c r="B192" s="3">
        <v>45870</v>
      </c>
      <c r="C192" s="2" t="s">
        <v>567</v>
      </c>
      <c r="D192" s="2" t="s">
        <v>568</v>
      </c>
      <c r="E192" s="2" t="s">
        <v>77</v>
      </c>
      <c r="F192" s="2">
        <v>50</v>
      </c>
      <c r="G192" s="2" t="s">
        <v>90</v>
      </c>
      <c r="H192" s="2" t="s">
        <v>91</v>
      </c>
      <c r="I192" s="2" t="s">
        <v>143</v>
      </c>
      <c r="J192" s="2" t="s">
        <v>144</v>
      </c>
      <c r="K192" s="2" t="s">
        <v>130</v>
      </c>
      <c r="L192" s="2" t="s">
        <v>131</v>
      </c>
      <c r="M192" s="2">
        <v>1</v>
      </c>
      <c r="N192" s="2">
        <v>5499</v>
      </c>
      <c r="O192" s="2">
        <v>4300</v>
      </c>
      <c r="P192" s="2">
        <v>0</v>
      </c>
      <c r="Q192" s="2" t="s">
        <v>73</v>
      </c>
      <c r="R192" s="2" t="s">
        <v>42</v>
      </c>
      <c r="S192" s="3">
        <v>45878</v>
      </c>
      <c r="T192" s="6">
        <v>5</v>
      </c>
    </row>
    <row r="193" spans="1:20" x14ac:dyDescent="0.3">
      <c r="A193" s="2" t="s">
        <v>569</v>
      </c>
      <c r="B193" s="3">
        <v>45857</v>
      </c>
      <c r="C193" s="2" t="s">
        <v>340</v>
      </c>
      <c r="D193" s="2" t="s">
        <v>341</v>
      </c>
      <c r="E193" s="2" t="s">
        <v>23</v>
      </c>
      <c r="F193" s="2">
        <v>21</v>
      </c>
      <c r="G193" s="2" t="s">
        <v>24</v>
      </c>
      <c r="H193" s="2" t="s">
        <v>25</v>
      </c>
      <c r="I193" s="2" t="s">
        <v>92</v>
      </c>
      <c r="J193" s="2" t="s">
        <v>93</v>
      </c>
      <c r="K193" s="2" t="s">
        <v>87</v>
      </c>
      <c r="L193" s="2" t="s">
        <v>94</v>
      </c>
      <c r="M193" s="2">
        <v>1</v>
      </c>
      <c r="N193" s="2">
        <v>1439.1</v>
      </c>
      <c r="O193" s="2">
        <v>930</v>
      </c>
      <c r="P193" s="2">
        <v>10</v>
      </c>
      <c r="Q193" s="2" t="s">
        <v>73</v>
      </c>
      <c r="R193" s="2" t="s">
        <v>42</v>
      </c>
      <c r="S193" s="3">
        <v>45865</v>
      </c>
      <c r="T193" s="6">
        <v>4</v>
      </c>
    </row>
    <row r="194" spans="1:20" x14ac:dyDescent="0.3">
      <c r="A194" s="2" t="s">
        <v>570</v>
      </c>
      <c r="B194" s="3">
        <v>45871</v>
      </c>
      <c r="C194" s="2" t="s">
        <v>571</v>
      </c>
      <c r="D194" s="2" t="s">
        <v>572</v>
      </c>
      <c r="E194" s="2" t="s">
        <v>77</v>
      </c>
      <c r="F194" s="2">
        <v>47</v>
      </c>
      <c r="G194" s="2" t="s">
        <v>24</v>
      </c>
      <c r="H194" s="2" t="s">
        <v>25</v>
      </c>
      <c r="I194" s="2" t="s">
        <v>304</v>
      </c>
      <c r="J194" s="2" t="s">
        <v>305</v>
      </c>
      <c r="K194" s="2" t="s">
        <v>28</v>
      </c>
      <c r="L194" s="2" t="s">
        <v>231</v>
      </c>
      <c r="M194" s="2">
        <v>2</v>
      </c>
      <c r="N194" s="2">
        <v>2158.8000000000002</v>
      </c>
      <c r="O194" s="2">
        <v>2160</v>
      </c>
      <c r="P194" s="2">
        <v>40</v>
      </c>
      <c r="Q194" s="2" t="s">
        <v>41</v>
      </c>
      <c r="R194" s="2" t="s">
        <v>42</v>
      </c>
      <c r="S194" s="3">
        <v>45874</v>
      </c>
      <c r="T194" s="6">
        <v>4</v>
      </c>
    </row>
    <row r="195" spans="1:20" x14ac:dyDescent="0.3">
      <c r="A195" s="2" t="s">
        <v>573</v>
      </c>
      <c r="B195" s="3">
        <v>45848</v>
      </c>
      <c r="C195" s="2" t="s">
        <v>574</v>
      </c>
      <c r="D195" s="2" t="s">
        <v>442</v>
      </c>
      <c r="E195" s="2" t="s">
        <v>77</v>
      </c>
      <c r="F195" s="2">
        <v>53</v>
      </c>
      <c r="G195" s="2" t="s">
        <v>24</v>
      </c>
      <c r="H195" s="2" t="s">
        <v>25</v>
      </c>
      <c r="I195" s="2" t="s">
        <v>319</v>
      </c>
      <c r="J195" s="2" t="s">
        <v>320</v>
      </c>
      <c r="K195" s="2" t="s">
        <v>28</v>
      </c>
      <c r="L195" s="2" t="s">
        <v>29</v>
      </c>
      <c r="M195" s="2">
        <v>3</v>
      </c>
      <c r="N195" s="2">
        <v>3597</v>
      </c>
      <c r="O195" s="2">
        <v>2130</v>
      </c>
      <c r="P195" s="2">
        <v>0</v>
      </c>
      <c r="Q195" s="2" t="s">
        <v>30</v>
      </c>
      <c r="R195" s="2" t="s">
        <v>65</v>
      </c>
      <c r="S195" s="3" t="s">
        <v>1604</v>
      </c>
      <c r="T195" s="6" t="s">
        <v>1604</v>
      </c>
    </row>
    <row r="196" spans="1:20" x14ac:dyDescent="0.3">
      <c r="A196" s="2" t="s">
        <v>575</v>
      </c>
      <c r="B196" s="3">
        <v>45439</v>
      </c>
      <c r="C196" s="2" t="s">
        <v>181</v>
      </c>
      <c r="D196" s="2" t="s">
        <v>182</v>
      </c>
      <c r="E196" s="2" t="s">
        <v>23</v>
      </c>
      <c r="F196" s="2">
        <v>51</v>
      </c>
      <c r="G196" s="2" t="s">
        <v>46</v>
      </c>
      <c r="H196" s="2" t="s">
        <v>25</v>
      </c>
      <c r="I196" s="2" t="s">
        <v>143</v>
      </c>
      <c r="J196" s="2" t="s">
        <v>144</v>
      </c>
      <c r="K196" s="2" t="s">
        <v>130</v>
      </c>
      <c r="L196" s="2" t="s">
        <v>131</v>
      </c>
      <c r="M196" s="2">
        <v>2</v>
      </c>
      <c r="N196" s="2">
        <v>9348.2999999999993</v>
      </c>
      <c r="O196" s="2">
        <v>8600</v>
      </c>
      <c r="P196" s="2">
        <v>15</v>
      </c>
      <c r="Q196" s="2" t="s">
        <v>50</v>
      </c>
      <c r="R196" s="2" t="s">
        <v>57</v>
      </c>
      <c r="S196" s="3">
        <v>45447</v>
      </c>
      <c r="T196" s="6">
        <v>4</v>
      </c>
    </row>
    <row r="197" spans="1:20" x14ac:dyDescent="0.3">
      <c r="A197" s="2" t="s">
        <v>576</v>
      </c>
      <c r="B197" s="3">
        <v>45685</v>
      </c>
      <c r="C197" s="2" t="s">
        <v>379</v>
      </c>
      <c r="D197" s="2" t="s">
        <v>380</v>
      </c>
      <c r="E197" s="2" t="s">
        <v>77</v>
      </c>
      <c r="F197" s="2">
        <v>41</v>
      </c>
      <c r="G197" s="2" t="s">
        <v>46</v>
      </c>
      <c r="H197" s="2" t="s">
        <v>25</v>
      </c>
      <c r="I197" s="2" t="s">
        <v>112</v>
      </c>
      <c r="J197" s="2" t="s">
        <v>113</v>
      </c>
      <c r="K197" s="2" t="s">
        <v>114</v>
      </c>
      <c r="L197" s="2" t="s">
        <v>115</v>
      </c>
      <c r="M197" s="2">
        <v>3</v>
      </c>
      <c r="N197" s="2">
        <v>2097</v>
      </c>
      <c r="O197" s="2">
        <v>1110</v>
      </c>
      <c r="P197" s="2">
        <v>0</v>
      </c>
      <c r="Q197" s="2" t="s">
        <v>73</v>
      </c>
      <c r="R197" s="2" t="s">
        <v>42</v>
      </c>
      <c r="S197" s="3">
        <v>45690</v>
      </c>
      <c r="T197" s="6">
        <v>3</v>
      </c>
    </row>
    <row r="198" spans="1:20" x14ac:dyDescent="0.3">
      <c r="A198" s="2" t="s">
        <v>577</v>
      </c>
      <c r="B198" s="3">
        <v>45640</v>
      </c>
      <c r="C198" s="2" t="s">
        <v>181</v>
      </c>
      <c r="D198" s="2" t="s">
        <v>182</v>
      </c>
      <c r="E198" s="2" t="s">
        <v>23</v>
      </c>
      <c r="F198" s="2">
        <v>51</v>
      </c>
      <c r="G198" s="2" t="s">
        <v>126</v>
      </c>
      <c r="H198" s="2" t="s">
        <v>127</v>
      </c>
      <c r="I198" s="2" t="s">
        <v>80</v>
      </c>
      <c r="J198" s="2" t="s">
        <v>81</v>
      </c>
      <c r="K198" s="2" t="s">
        <v>28</v>
      </c>
      <c r="L198" s="2" t="s">
        <v>29</v>
      </c>
      <c r="M198" s="2">
        <v>3</v>
      </c>
      <c r="N198" s="2">
        <v>1438.2</v>
      </c>
      <c r="O198" s="2">
        <v>1410</v>
      </c>
      <c r="P198" s="2">
        <v>40</v>
      </c>
      <c r="Q198" s="2" t="s">
        <v>103</v>
      </c>
      <c r="R198" s="2" t="s">
        <v>42</v>
      </c>
      <c r="S198" s="3">
        <v>45647</v>
      </c>
      <c r="T198" s="6">
        <v>5</v>
      </c>
    </row>
    <row r="199" spans="1:20" x14ac:dyDescent="0.3">
      <c r="A199" s="2" t="s">
        <v>578</v>
      </c>
      <c r="B199" s="3">
        <v>45734</v>
      </c>
      <c r="C199" s="2" t="s">
        <v>390</v>
      </c>
      <c r="D199" s="2" t="s">
        <v>391</v>
      </c>
      <c r="E199" s="2" t="s">
        <v>23</v>
      </c>
      <c r="F199" s="2">
        <v>52</v>
      </c>
      <c r="G199" s="2" t="s">
        <v>165</v>
      </c>
      <c r="H199" s="2" t="s">
        <v>166</v>
      </c>
      <c r="I199" s="2" t="s">
        <v>54</v>
      </c>
      <c r="J199" s="2" t="s">
        <v>55</v>
      </c>
      <c r="K199" s="2" t="s">
        <v>28</v>
      </c>
      <c r="L199" s="2" t="s">
        <v>56</v>
      </c>
      <c r="M199" s="2">
        <v>5</v>
      </c>
      <c r="N199" s="2">
        <v>2796</v>
      </c>
      <c r="O199" s="2">
        <v>2050</v>
      </c>
      <c r="P199" s="2">
        <v>20</v>
      </c>
      <c r="Q199" s="2" t="s">
        <v>30</v>
      </c>
      <c r="R199" s="2" t="s">
        <v>31</v>
      </c>
      <c r="S199" s="3">
        <v>45737</v>
      </c>
      <c r="T199" s="6">
        <v>3</v>
      </c>
    </row>
    <row r="200" spans="1:20" x14ac:dyDescent="0.3">
      <c r="A200" s="2" t="s">
        <v>579</v>
      </c>
      <c r="B200" s="3">
        <v>45566</v>
      </c>
      <c r="C200" s="2" t="s">
        <v>325</v>
      </c>
      <c r="D200" s="2" t="s">
        <v>326</v>
      </c>
      <c r="E200" s="2" t="s">
        <v>23</v>
      </c>
      <c r="F200" s="2">
        <v>22</v>
      </c>
      <c r="G200" s="2" t="s">
        <v>165</v>
      </c>
      <c r="H200" s="2" t="s">
        <v>166</v>
      </c>
      <c r="I200" s="2" t="s">
        <v>85</v>
      </c>
      <c r="J200" s="2" t="s">
        <v>86</v>
      </c>
      <c r="K200" s="2" t="s">
        <v>87</v>
      </c>
      <c r="L200" s="2" t="s">
        <v>88</v>
      </c>
      <c r="M200" s="2">
        <v>2</v>
      </c>
      <c r="N200" s="2">
        <v>1958.6</v>
      </c>
      <c r="O200" s="2">
        <v>1580</v>
      </c>
      <c r="P200" s="2">
        <v>30</v>
      </c>
      <c r="Q200" s="2" t="s">
        <v>41</v>
      </c>
      <c r="R200" s="2" t="s">
        <v>42</v>
      </c>
      <c r="S200" s="3">
        <v>45569</v>
      </c>
      <c r="T200" s="6">
        <v>3</v>
      </c>
    </row>
    <row r="201" spans="1:20" x14ac:dyDescent="0.3">
      <c r="A201" s="2" t="s">
        <v>580</v>
      </c>
      <c r="B201" s="3">
        <v>45751</v>
      </c>
      <c r="C201" s="2" t="s">
        <v>581</v>
      </c>
      <c r="D201" s="2" t="s">
        <v>582</v>
      </c>
      <c r="E201" s="2" t="s">
        <v>23</v>
      </c>
      <c r="F201" s="2">
        <v>37</v>
      </c>
      <c r="G201" s="2" t="s">
        <v>122</v>
      </c>
      <c r="H201" s="2" t="s">
        <v>123</v>
      </c>
      <c r="I201" s="2" t="s">
        <v>229</v>
      </c>
      <c r="J201" s="2" t="s">
        <v>230</v>
      </c>
      <c r="K201" s="2" t="s">
        <v>28</v>
      </c>
      <c r="L201" s="2" t="s">
        <v>231</v>
      </c>
      <c r="M201" s="2">
        <v>1</v>
      </c>
      <c r="N201" s="2">
        <v>1899.05</v>
      </c>
      <c r="O201" s="2">
        <v>1230</v>
      </c>
      <c r="P201" s="2">
        <v>5</v>
      </c>
      <c r="Q201" s="2" t="s">
        <v>41</v>
      </c>
      <c r="R201" s="2" t="s">
        <v>65</v>
      </c>
      <c r="S201" s="3" t="s">
        <v>1604</v>
      </c>
      <c r="T201" s="6" t="s">
        <v>1604</v>
      </c>
    </row>
    <row r="202" spans="1:20" x14ac:dyDescent="0.3">
      <c r="A202" s="2" t="s">
        <v>583</v>
      </c>
      <c r="B202" s="3">
        <v>45387</v>
      </c>
      <c r="C202" s="2" t="s">
        <v>481</v>
      </c>
      <c r="D202" s="2" t="s">
        <v>482</v>
      </c>
      <c r="E202" s="2" t="s">
        <v>23</v>
      </c>
      <c r="F202" s="2">
        <v>34</v>
      </c>
      <c r="G202" s="2" t="s">
        <v>165</v>
      </c>
      <c r="H202" s="2" t="s">
        <v>166</v>
      </c>
      <c r="I202" s="2" t="s">
        <v>80</v>
      </c>
      <c r="J202" s="2" t="s">
        <v>81</v>
      </c>
      <c r="K202" s="2" t="s">
        <v>28</v>
      </c>
      <c r="L202" s="2" t="s">
        <v>29</v>
      </c>
      <c r="M202" s="2">
        <v>3</v>
      </c>
      <c r="N202" s="2">
        <v>1677.9</v>
      </c>
      <c r="O202" s="2">
        <v>1410</v>
      </c>
      <c r="P202" s="2">
        <v>30</v>
      </c>
      <c r="Q202" s="2" t="s">
        <v>103</v>
      </c>
      <c r="R202" s="2" t="s">
        <v>57</v>
      </c>
      <c r="S202" s="3">
        <v>45390</v>
      </c>
      <c r="T202" s="6">
        <v>4</v>
      </c>
    </row>
    <row r="203" spans="1:20" x14ac:dyDescent="0.3">
      <c r="A203" s="2" t="s">
        <v>584</v>
      </c>
      <c r="B203" s="3">
        <v>45877</v>
      </c>
      <c r="C203" s="2" t="s">
        <v>585</v>
      </c>
      <c r="D203" s="2" t="s">
        <v>586</v>
      </c>
      <c r="E203" s="2" t="s">
        <v>77</v>
      </c>
      <c r="F203" s="2">
        <v>51</v>
      </c>
      <c r="G203" s="2" t="s">
        <v>78</v>
      </c>
      <c r="H203" s="2" t="s">
        <v>79</v>
      </c>
      <c r="I203" s="2" t="s">
        <v>107</v>
      </c>
      <c r="J203" s="2" t="s">
        <v>108</v>
      </c>
      <c r="K203" s="2" t="s">
        <v>87</v>
      </c>
      <c r="L203" s="2" t="s">
        <v>88</v>
      </c>
      <c r="M203" s="2">
        <v>4</v>
      </c>
      <c r="N203" s="2">
        <v>2876.4</v>
      </c>
      <c r="O203" s="2">
        <v>1680</v>
      </c>
      <c r="P203" s="2">
        <v>10</v>
      </c>
      <c r="Q203" s="2" t="s">
        <v>30</v>
      </c>
      <c r="R203" s="2" t="s">
        <v>42</v>
      </c>
      <c r="S203" s="3">
        <v>45883</v>
      </c>
      <c r="T203" s="6">
        <v>4</v>
      </c>
    </row>
    <row r="204" spans="1:20" x14ac:dyDescent="0.3">
      <c r="A204" s="2" t="s">
        <v>587</v>
      </c>
      <c r="B204" s="3">
        <v>45796</v>
      </c>
      <c r="C204" s="2" t="s">
        <v>193</v>
      </c>
      <c r="D204" s="2" t="s">
        <v>194</v>
      </c>
      <c r="E204" s="2" t="s">
        <v>23</v>
      </c>
      <c r="F204" s="2">
        <v>19</v>
      </c>
      <c r="G204" s="2" t="s">
        <v>46</v>
      </c>
      <c r="H204" s="2" t="s">
        <v>25</v>
      </c>
      <c r="I204" s="2" t="s">
        <v>319</v>
      </c>
      <c r="J204" s="2" t="s">
        <v>320</v>
      </c>
      <c r="K204" s="2" t="s">
        <v>28</v>
      </c>
      <c r="L204" s="2" t="s">
        <v>29</v>
      </c>
      <c r="M204" s="2">
        <v>4</v>
      </c>
      <c r="N204" s="2">
        <v>3836.8</v>
      </c>
      <c r="O204" s="2">
        <v>2840</v>
      </c>
      <c r="P204" s="2">
        <v>20</v>
      </c>
      <c r="Q204" s="2" t="s">
        <v>103</v>
      </c>
      <c r="R204" s="2" t="s">
        <v>42</v>
      </c>
      <c r="S204" s="3">
        <v>45805</v>
      </c>
      <c r="T204" s="6">
        <v>3</v>
      </c>
    </row>
    <row r="205" spans="1:20" x14ac:dyDescent="0.3">
      <c r="A205" s="2" t="s">
        <v>588</v>
      </c>
      <c r="B205" s="3">
        <v>45661</v>
      </c>
      <c r="C205" s="2" t="s">
        <v>259</v>
      </c>
      <c r="D205" s="2" t="s">
        <v>260</v>
      </c>
      <c r="E205" s="2" t="s">
        <v>77</v>
      </c>
      <c r="F205" s="2">
        <v>37</v>
      </c>
      <c r="G205" s="2" t="s">
        <v>90</v>
      </c>
      <c r="H205" s="2" t="s">
        <v>91</v>
      </c>
      <c r="I205" s="2" t="s">
        <v>177</v>
      </c>
      <c r="J205" s="2" t="s">
        <v>178</v>
      </c>
      <c r="K205" s="2" t="s">
        <v>87</v>
      </c>
      <c r="L205" s="2" t="s">
        <v>179</v>
      </c>
      <c r="M205" s="2">
        <v>4</v>
      </c>
      <c r="N205" s="2">
        <v>8496.6</v>
      </c>
      <c r="O205" s="2">
        <v>6480</v>
      </c>
      <c r="P205" s="2">
        <v>15</v>
      </c>
      <c r="Q205" s="2" t="s">
        <v>103</v>
      </c>
      <c r="R205" s="2" t="s">
        <v>42</v>
      </c>
      <c r="S205" s="3">
        <v>45665</v>
      </c>
      <c r="T205" s="6">
        <v>4</v>
      </c>
    </row>
    <row r="206" spans="1:20" x14ac:dyDescent="0.3">
      <c r="A206" s="2" t="s">
        <v>589</v>
      </c>
      <c r="B206" s="3" t="s">
        <v>1604</v>
      </c>
      <c r="C206" s="2" t="s">
        <v>226</v>
      </c>
      <c r="D206" s="2" t="s">
        <v>227</v>
      </c>
      <c r="E206" s="2" t="s">
        <v>23</v>
      </c>
      <c r="F206" s="2">
        <v>32</v>
      </c>
      <c r="G206" s="2" t="s">
        <v>126</v>
      </c>
      <c r="H206" s="2" t="s">
        <v>127</v>
      </c>
      <c r="I206" s="2" t="s">
        <v>155</v>
      </c>
      <c r="J206" s="2" t="s">
        <v>156</v>
      </c>
      <c r="K206" s="2" t="s">
        <v>114</v>
      </c>
      <c r="L206" s="2" t="s">
        <v>157</v>
      </c>
      <c r="M206" s="2">
        <v>4</v>
      </c>
      <c r="N206" s="2">
        <v>2997</v>
      </c>
      <c r="O206" s="2">
        <v>2440</v>
      </c>
      <c r="P206" s="2">
        <v>25</v>
      </c>
      <c r="Q206" s="2" t="s">
        <v>103</v>
      </c>
      <c r="R206" s="2" t="s">
        <v>42</v>
      </c>
      <c r="S206" s="3">
        <v>45306</v>
      </c>
      <c r="T206" s="6">
        <v>3</v>
      </c>
    </row>
    <row r="207" spans="1:20" x14ac:dyDescent="0.3">
      <c r="A207" s="2" t="s">
        <v>590</v>
      </c>
      <c r="B207" s="3">
        <v>45599</v>
      </c>
      <c r="C207" s="2" t="s">
        <v>269</v>
      </c>
      <c r="D207" s="2" t="s">
        <v>270</v>
      </c>
      <c r="E207" s="2" t="s">
        <v>77</v>
      </c>
      <c r="F207" s="2">
        <v>43</v>
      </c>
      <c r="G207" s="2" t="s">
        <v>154</v>
      </c>
      <c r="H207" s="2" t="s">
        <v>91</v>
      </c>
      <c r="I207" s="2" t="s">
        <v>37</v>
      </c>
      <c r="J207" s="2" t="s">
        <v>38</v>
      </c>
      <c r="K207" s="2" t="s">
        <v>39</v>
      </c>
      <c r="L207" s="2" t="s">
        <v>40</v>
      </c>
      <c r="M207" s="2">
        <v>3</v>
      </c>
      <c r="N207" s="2">
        <v>2427.3000000000002</v>
      </c>
      <c r="O207" s="2">
        <v>1560</v>
      </c>
      <c r="P207" s="2">
        <v>10</v>
      </c>
      <c r="Q207" s="2" t="s">
        <v>103</v>
      </c>
      <c r="R207" s="2" t="s">
        <v>42</v>
      </c>
      <c r="S207" s="3">
        <v>45605</v>
      </c>
      <c r="T207" s="6">
        <v>5</v>
      </c>
    </row>
    <row r="208" spans="1:20" x14ac:dyDescent="0.3">
      <c r="A208" s="2" t="s">
        <v>591</v>
      </c>
      <c r="B208" s="3">
        <v>45881</v>
      </c>
      <c r="C208" s="2" t="s">
        <v>567</v>
      </c>
      <c r="D208" s="2" t="s">
        <v>568</v>
      </c>
      <c r="E208" s="2" t="s">
        <v>77</v>
      </c>
      <c r="F208" s="2">
        <v>50</v>
      </c>
      <c r="G208" s="2" t="s">
        <v>126</v>
      </c>
      <c r="H208" s="2" t="s">
        <v>127</v>
      </c>
      <c r="I208" s="2" t="s">
        <v>47</v>
      </c>
      <c r="J208" s="2" t="s">
        <v>48</v>
      </c>
      <c r="K208" s="2" t="s">
        <v>39</v>
      </c>
      <c r="L208" s="2" t="s">
        <v>49</v>
      </c>
      <c r="M208" s="2">
        <v>3</v>
      </c>
      <c r="N208" s="2">
        <v>837.9</v>
      </c>
      <c r="O208" s="2">
        <v>630</v>
      </c>
      <c r="P208" s="2">
        <v>30</v>
      </c>
      <c r="Q208" s="2" t="s">
        <v>41</v>
      </c>
      <c r="R208" s="2" t="s">
        <v>42</v>
      </c>
      <c r="S208" s="3">
        <v>45892</v>
      </c>
      <c r="T208" s="6">
        <v>4</v>
      </c>
    </row>
    <row r="209" spans="1:20" x14ac:dyDescent="0.3">
      <c r="A209" s="2" t="s">
        <v>592</v>
      </c>
      <c r="B209" s="3">
        <v>45898</v>
      </c>
      <c r="C209" s="2" t="s">
        <v>446</v>
      </c>
      <c r="D209" s="2" t="s">
        <v>447</v>
      </c>
      <c r="E209" s="2" t="s">
        <v>23</v>
      </c>
      <c r="F209" s="2">
        <v>30</v>
      </c>
      <c r="G209" s="2" t="s">
        <v>78</v>
      </c>
      <c r="H209" s="2" t="s">
        <v>79</v>
      </c>
      <c r="I209" s="2" t="s">
        <v>107</v>
      </c>
      <c r="J209" s="2" t="s">
        <v>108</v>
      </c>
      <c r="K209" s="2" t="s">
        <v>87</v>
      </c>
      <c r="L209" s="2" t="s">
        <v>88</v>
      </c>
      <c r="M209" s="2">
        <v>5</v>
      </c>
      <c r="N209" s="2">
        <v>3995</v>
      </c>
      <c r="O209" s="2">
        <v>2100</v>
      </c>
      <c r="P209" s="2">
        <v>0</v>
      </c>
      <c r="Q209" s="2" t="s">
        <v>103</v>
      </c>
      <c r="R209" s="2" t="s">
        <v>31</v>
      </c>
      <c r="S209" s="3">
        <v>45903</v>
      </c>
      <c r="T209" s="6">
        <v>5</v>
      </c>
    </row>
    <row r="210" spans="1:20" x14ac:dyDescent="0.3">
      <c r="A210" s="2" t="s">
        <v>593</v>
      </c>
      <c r="B210" s="3">
        <v>45590</v>
      </c>
      <c r="C210" s="2" t="s">
        <v>187</v>
      </c>
      <c r="D210" s="2" t="s">
        <v>188</v>
      </c>
      <c r="E210" s="2" t="s">
        <v>23</v>
      </c>
      <c r="F210" s="2">
        <v>54</v>
      </c>
      <c r="G210" s="2" t="s">
        <v>122</v>
      </c>
      <c r="H210" s="2" t="s">
        <v>123</v>
      </c>
      <c r="I210" s="2" t="s">
        <v>107</v>
      </c>
      <c r="J210" s="2" t="s">
        <v>108</v>
      </c>
      <c r="K210" s="2" t="s">
        <v>87</v>
      </c>
      <c r="L210" s="2" t="s">
        <v>88</v>
      </c>
      <c r="M210" s="2">
        <v>4</v>
      </c>
      <c r="N210" s="2">
        <v>2876.4</v>
      </c>
      <c r="O210" s="2">
        <v>1680</v>
      </c>
      <c r="P210" s="2">
        <v>10</v>
      </c>
      <c r="Q210" s="2" t="s">
        <v>41</v>
      </c>
      <c r="R210" s="2" t="s">
        <v>42</v>
      </c>
      <c r="S210" s="3">
        <v>45596</v>
      </c>
      <c r="T210" s="6">
        <v>3</v>
      </c>
    </row>
    <row r="211" spans="1:20" x14ac:dyDescent="0.3">
      <c r="A211" s="2" t="s">
        <v>594</v>
      </c>
      <c r="B211" s="3">
        <v>45725</v>
      </c>
      <c r="C211" s="2" t="s">
        <v>595</v>
      </c>
      <c r="D211" s="2" t="s">
        <v>596</v>
      </c>
      <c r="E211" s="2" t="s">
        <v>23</v>
      </c>
      <c r="F211" s="2">
        <v>23</v>
      </c>
      <c r="G211" s="2" t="s">
        <v>46</v>
      </c>
      <c r="H211" s="2" t="s">
        <v>25</v>
      </c>
      <c r="I211" s="2" t="s">
        <v>63</v>
      </c>
      <c r="J211" s="2" t="s">
        <v>64</v>
      </c>
      <c r="K211" s="2" t="s">
        <v>39</v>
      </c>
      <c r="L211" s="2" t="s">
        <v>40</v>
      </c>
      <c r="M211" s="2">
        <v>5</v>
      </c>
      <c r="N211" s="2">
        <v>1797</v>
      </c>
      <c r="O211" s="2">
        <v>1650</v>
      </c>
      <c r="P211" s="2">
        <v>40</v>
      </c>
      <c r="Q211" s="2" t="s">
        <v>50</v>
      </c>
      <c r="R211" s="2" t="s">
        <v>42</v>
      </c>
      <c r="S211" s="3">
        <v>45735</v>
      </c>
      <c r="T211" s="6">
        <v>5</v>
      </c>
    </row>
    <row r="212" spans="1:20" x14ac:dyDescent="0.3">
      <c r="A212" s="2" t="s">
        <v>597</v>
      </c>
      <c r="B212" s="3">
        <v>45848</v>
      </c>
      <c r="C212" s="2" t="s">
        <v>171</v>
      </c>
      <c r="D212" s="2" t="s">
        <v>172</v>
      </c>
      <c r="E212" s="2" t="s">
        <v>23</v>
      </c>
      <c r="F212" s="2">
        <v>36</v>
      </c>
      <c r="G212" s="2" t="s">
        <v>211</v>
      </c>
      <c r="H212" s="2" t="s">
        <v>127</v>
      </c>
      <c r="I212" s="2" t="s">
        <v>85</v>
      </c>
      <c r="J212" s="2" t="s">
        <v>86</v>
      </c>
      <c r="K212" s="2" t="s">
        <v>87</v>
      </c>
      <c r="L212" s="2" t="s">
        <v>88</v>
      </c>
      <c r="M212" s="2">
        <v>5</v>
      </c>
      <c r="N212" s="2">
        <v>6645.25</v>
      </c>
      <c r="O212" s="2">
        <v>3950</v>
      </c>
      <c r="P212" s="2">
        <v>5</v>
      </c>
      <c r="Q212" s="2" t="s">
        <v>73</v>
      </c>
      <c r="R212" s="2" t="s">
        <v>57</v>
      </c>
      <c r="S212" s="3">
        <v>45853</v>
      </c>
      <c r="T212" s="6">
        <v>4</v>
      </c>
    </row>
    <row r="213" spans="1:20" x14ac:dyDescent="0.3">
      <c r="A213" s="2" t="s">
        <v>598</v>
      </c>
      <c r="B213" s="3">
        <v>45462</v>
      </c>
      <c r="C213" s="2" t="s">
        <v>599</v>
      </c>
      <c r="D213" s="2" t="s">
        <v>600</v>
      </c>
      <c r="E213" s="2" t="s">
        <v>77</v>
      </c>
      <c r="F213" s="2">
        <v>32</v>
      </c>
      <c r="G213" s="2" t="s">
        <v>165</v>
      </c>
      <c r="H213" s="2" t="s">
        <v>166</v>
      </c>
      <c r="I213" s="2" t="s">
        <v>183</v>
      </c>
      <c r="J213" s="2" t="s">
        <v>184</v>
      </c>
      <c r="K213" s="2" t="s">
        <v>130</v>
      </c>
      <c r="L213" s="2" t="s">
        <v>185</v>
      </c>
      <c r="M213" s="2">
        <v>4</v>
      </c>
      <c r="N213" s="2">
        <v>15196.2</v>
      </c>
      <c r="O213" s="2">
        <v>12200</v>
      </c>
      <c r="P213" s="2">
        <v>5</v>
      </c>
      <c r="Q213" s="2" t="s">
        <v>73</v>
      </c>
      <c r="R213" s="2" t="s">
        <v>42</v>
      </c>
      <c r="S213" s="3">
        <v>45468</v>
      </c>
      <c r="T213" s="6">
        <v>4</v>
      </c>
    </row>
    <row r="214" spans="1:20" x14ac:dyDescent="0.3">
      <c r="A214" s="2" t="s">
        <v>601</v>
      </c>
      <c r="B214" s="3">
        <v>45814</v>
      </c>
      <c r="C214" s="2" t="s">
        <v>420</v>
      </c>
      <c r="D214" s="2" t="s">
        <v>76</v>
      </c>
      <c r="E214" s="2" t="s">
        <v>77</v>
      </c>
      <c r="F214" s="2">
        <v>27</v>
      </c>
      <c r="G214" s="2" t="s">
        <v>90</v>
      </c>
      <c r="H214" s="2" t="s">
        <v>91</v>
      </c>
      <c r="I214" s="2" t="s">
        <v>63</v>
      </c>
      <c r="J214" s="2" t="s">
        <v>64</v>
      </c>
      <c r="K214" s="2" t="s">
        <v>39</v>
      </c>
      <c r="L214" s="2" t="s">
        <v>40</v>
      </c>
      <c r="M214" s="2">
        <v>3</v>
      </c>
      <c r="N214" s="2">
        <v>1257.9000000000001</v>
      </c>
      <c r="O214" s="2">
        <v>990</v>
      </c>
      <c r="P214" s="2">
        <v>30</v>
      </c>
      <c r="Q214" s="2" t="s">
        <v>103</v>
      </c>
      <c r="R214" s="2" t="s">
        <v>57</v>
      </c>
      <c r="S214" s="3">
        <v>45826</v>
      </c>
      <c r="T214" s="6">
        <v>3</v>
      </c>
    </row>
    <row r="215" spans="1:20" x14ac:dyDescent="0.3">
      <c r="A215" s="2" t="s">
        <v>602</v>
      </c>
      <c r="B215" s="3">
        <v>45645</v>
      </c>
      <c r="C215" s="2" t="s">
        <v>603</v>
      </c>
      <c r="D215" s="2" t="s">
        <v>1604</v>
      </c>
      <c r="E215" s="2" t="s">
        <v>77</v>
      </c>
      <c r="F215" s="2">
        <v>27</v>
      </c>
      <c r="G215" s="2" t="s">
        <v>101</v>
      </c>
      <c r="H215" s="2" t="s">
        <v>102</v>
      </c>
      <c r="I215" s="2" t="s">
        <v>229</v>
      </c>
      <c r="J215" s="2" t="s">
        <v>230</v>
      </c>
      <c r="K215" s="2" t="s">
        <v>28</v>
      </c>
      <c r="L215" s="2" t="s">
        <v>231</v>
      </c>
      <c r="M215" s="2">
        <v>3</v>
      </c>
      <c r="N215" s="2">
        <v>4197.8999999999996</v>
      </c>
      <c r="O215" s="2">
        <v>3690</v>
      </c>
      <c r="P215" s="2">
        <v>30</v>
      </c>
      <c r="Q215" s="2" t="s">
        <v>73</v>
      </c>
      <c r="R215" s="2" t="s">
        <v>42</v>
      </c>
      <c r="S215" s="3">
        <v>45649</v>
      </c>
      <c r="T215" s="6">
        <v>4</v>
      </c>
    </row>
    <row r="216" spans="1:20" x14ac:dyDescent="0.3">
      <c r="A216" s="2" t="s">
        <v>604</v>
      </c>
      <c r="B216" s="3">
        <v>45611</v>
      </c>
      <c r="C216" s="2" t="s">
        <v>605</v>
      </c>
      <c r="D216" s="2" t="s">
        <v>442</v>
      </c>
      <c r="E216" s="2" t="s">
        <v>77</v>
      </c>
      <c r="F216" s="2">
        <v>22</v>
      </c>
      <c r="G216" s="2" t="s">
        <v>61</v>
      </c>
      <c r="H216" s="2" t="s">
        <v>62</v>
      </c>
      <c r="I216" s="2" t="s">
        <v>70</v>
      </c>
      <c r="J216" s="2" t="s">
        <v>71</v>
      </c>
      <c r="K216" s="2" t="s">
        <v>28</v>
      </c>
      <c r="L216" s="2" t="s">
        <v>72</v>
      </c>
      <c r="M216" s="2">
        <v>5</v>
      </c>
      <c r="N216" s="2">
        <v>4497</v>
      </c>
      <c r="O216" s="2">
        <v>4600</v>
      </c>
      <c r="P216" s="2">
        <v>40</v>
      </c>
      <c r="Q216" s="2" t="s">
        <v>41</v>
      </c>
      <c r="R216" s="2" t="s">
        <v>42</v>
      </c>
      <c r="S216" s="3">
        <v>45614</v>
      </c>
      <c r="T216" s="6">
        <v>5</v>
      </c>
    </row>
    <row r="217" spans="1:20" x14ac:dyDescent="0.3">
      <c r="A217" s="2" t="s">
        <v>606</v>
      </c>
      <c r="B217" s="3">
        <v>46005</v>
      </c>
      <c r="C217" s="2" t="s">
        <v>275</v>
      </c>
      <c r="D217" s="2" t="s">
        <v>276</v>
      </c>
      <c r="E217" s="2" t="s">
        <v>77</v>
      </c>
      <c r="F217" s="2">
        <v>43</v>
      </c>
      <c r="G217" s="2" t="s">
        <v>126</v>
      </c>
      <c r="H217" s="2" t="s">
        <v>127</v>
      </c>
      <c r="I217" s="2" t="s">
        <v>54</v>
      </c>
      <c r="J217" s="2" t="s">
        <v>55</v>
      </c>
      <c r="K217" s="2" t="s">
        <v>28</v>
      </c>
      <c r="L217" s="2" t="s">
        <v>56</v>
      </c>
      <c r="M217" s="2">
        <v>3</v>
      </c>
      <c r="N217" s="2">
        <v>2097</v>
      </c>
      <c r="O217" s="2">
        <v>1230</v>
      </c>
      <c r="P217" s="2">
        <v>0</v>
      </c>
      <c r="Q217" s="2" t="s">
        <v>73</v>
      </c>
      <c r="R217" s="2" t="s">
        <v>42</v>
      </c>
      <c r="S217" s="3">
        <v>46012</v>
      </c>
      <c r="T217" s="6">
        <v>3</v>
      </c>
    </row>
    <row r="218" spans="1:20" x14ac:dyDescent="0.3">
      <c r="A218" s="2" t="s">
        <v>607</v>
      </c>
      <c r="B218" s="3">
        <v>45985</v>
      </c>
      <c r="C218" s="2" t="s">
        <v>362</v>
      </c>
      <c r="D218" s="2" t="s">
        <v>363</v>
      </c>
      <c r="E218" s="2" t="s">
        <v>77</v>
      </c>
      <c r="F218" s="2">
        <v>30</v>
      </c>
      <c r="G218" s="2" t="s">
        <v>90</v>
      </c>
      <c r="H218" s="2" t="s">
        <v>91</v>
      </c>
      <c r="I218" s="2" t="s">
        <v>112</v>
      </c>
      <c r="J218" s="2" t="s">
        <v>113</v>
      </c>
      <c r="K218" s="2" t="s">
        <v>114</v>
      </c>
      <c r="L218" s="2" t="s">
        <v>115</v>
      </c>
      <c r="M218" s="2">
        <v>2</v>
      </c>
      <c r="N218" s="2">
        <v>1258.2</v>
      </c>
      <c r="O218" s="2">
        <v>740</v>
      </c>
      <c r="P218" s="2">
        <v>10</v>
      </c>
      <c r="Q218" s="2" t="s">
        <v>41</v>
      </c>
      <c r="R218" s="2" t="s">
        <v>65</v>
      </c>
      <c r="S218" s="3" t="s">
        <v>1604</v>
      </c>
      <c r="T218" s="6" t="s">
        <v>1604</v>
      </c>
    </row>
    <row r="219" spans="1:20" x14ac:dyDescent="0.3">
      <c r="A219" s="2" t="s">
        <v>608</v>
      </c>
      <c r="B219" s="3">
        <v>45728</v>
      </c>
      <c r="C219" s="2" t="s">
        <v>146</v>
      </c>
      <c r="D219" s="2" t="s">
        <v>147</v>
      </c>
      <c r="E219" s="2" t="s">
        <v>23</v>
      </c>
      <c r="F219" s="2">
        <v>45</v>
      </c>
      <c r="G219" s="2" t="s">
        <v>90</v>
      </c>
      <c r="H219" s="2" t="s">
        <v>91</v>
      </c>
      <c r="I219" s="2" t="s">
        <v>47</v>
      </c>
      <c r="J219" s="2" t="s">
        <v>48</v>
      </c>
      <c r="K219" s="2" t="s">
        <v>39</v>
      </c>
      <c r="L219" s="2" t="s">
        <v>49</v>
      </c>
      <c r="M219" s="2">
        <v>2</v>
      </c>
      <c r="N219" s="2">
        <v>718.2</v>
      </c>
      <c r="O219" s="2">
        <v>420</v>
      </c>
      <c r="P219" s="2">
        <v>10</v>
      </c>
      <c r="Q219" s="2" t="s">
        <v>103</v>
      </c>
      <c r="R219" s="2" t="s">
        <v>42</v>
      </c>
      <c r="S219" s="3">
        <v>45730</v>
      </c>
      <c r="T219" s="6">
        <v>4</v>
      </c>
    </row>
    <row r="220" spans="1:20" x14ac:dyDescent="0.3">
      <c r="A220" s="2" t="s">
        <v>609</v>
      </c>
      <c r="B220" s="3">
        <v>45752</v>
      </c>
      <c r="C220" s="2" t="s">
        <v>610</v>
      </c>
      <c r="D220" s="2" t="s">
        <v>34</v>
      </c>
      <c r="E220" s="2" t="s">
        <v>23</v>
      </c>
      <c r="F220" s="2">
        <v>31</v>
      </c>
      <c r="G220" s="2" t="s">
        <v>165</v>
      </c>
      <c r="H220" s="2" t="s">
        <v>166</v>
      </c>
      <c r="I220" s="2" t="s">
        <v>80</v>
      </c>
      <c r="J220" s="2" t="s">
        <v>81</v>
      </c>
      <c r="K220" s="2" t="s">
        <v>28</v>
      </c>
      <c r="L220" s="2" t="s">
        <v>29</v>
      </c>
      <c r="M220" s="2">
        <v>2</v>
      </c>
      <c r="N220" s="2">
        <v>1358.3</v>
      </c>
      <c r="O220" s="2">
        <v>940</v>
      </c>
      <c r="P220" s="2">
        <v>15</v>
      </c>
      <c r="Q220" s="2" t="s">
        <v>41</v>
      </c>
      <c r="R220" s="2" t="s">
        <v>57</v>
      </c>
      <c r="S220" s="3">
        <v>45755</v>
      </c>
      <c r="T220" s="6">
        <v>3</v>
      </c>
    </row>
    <row r="221" spans="1:20" x14ac:dyDescent="0.3">
      <c r="A221" s="2" t="s">
        <v>611</v>
      </c>
      <c r="B221" s="3">
        <v>45841</v>
      </c>
      <c r="C221" s="2" t="s">
        <v>390</v>
      </c>
      <c r="D221" s="2" t="s">
        <v>391</v>
      </c>
      <c r="E221" s="2" t="s">
        <v>23</v>
      </c>
      <c r="F221" s="2">
        <v>52</v>
      </c>
      <c r="G221" s="2" t="s">
        <v>211</v>
      </c>
      <c r="H221" s="2" t="s">
        <v>127</v>
      </c>
      <c r="I221" s="2" t="s">
        <v>183</v>
      </c>
      <c r="J221" s="2" t="s">
        <v>184</v>
      </c>
      <c r="K221" s="2" t="s">
        <v>130</v>
      </c>
      <c r="L221" s="2" t="s">
        <v>185</v>
      </c>
      <c r="M221" s="2">
        <v>2</v>
      </c>
      <c r="N221" s="2">
        <v>4798.8</v>
      </c>
      <c r="O221" s="2">
        <v>6100</v>
      </c>
      <c r="P221" s="2">
        <v>40</v>
      </c>
      <c r="Q221" s="2" t="s">
        <v>73</v>
      </c>
      <c r="R221" s="2" t="s">
        <v>42</v>
      </c>
      <c r="S221" s="3">
        <v>45853</v>
      </c>
      <c r="T221" s="6">
        <v>5</v>
      </c>
    </row>
    <row r="222" spans="1:20" x14ac:dyDescent="0.3">
      <c r="A222" s="2" t="s">
        <v>612</v>
      </c>
      <c r="B222" s="3">
        <v>45832</v>
      </c>
      <c r="C222" s="2" t="s">
        <v>278</v>
      </c>
      <c r="D222" s="2" t="s">
        <v>139</v>
      </c>
      <c r="E222" s="2" t="s">
        <v>77</v>
      </c>
      <c r="F222" s="2">
        <v>32</v>
      </c>
      <c r="G222" s="2" t="s">
        <v>165</v>
      </c>
      <c r="H222" s="2" t="s">
        <v>166</v>
      </c>
      <c r="I222" s="2" t="s">
        <v>155</v>
      </c>
      <c r="J222" s="2" t="s">
        <v>156</v>
      </c>
      <c r="K222" s="2" t="s">
        <v>114</v>
      </c>
      <c r="L222" s="2" t="s">
        <v>157</v>
      </c>
      <c r="M222" s="2">
        <v>4</v>
      </c>
      <c r="N222" s="2">
        <v>3796.2</v>
      </c>
      <c r="O222" s="2">
        <v>2440</v>
      </c>
      <c r="P222" s="2">
        <v>5</v>
      </c>
      <c r="Q222" s="2" t="s">
        <v>41</v>
      </c>
      <c r="R222" s="2" t="s">
        <v>42</v>
      </c>
      <c r="S222" s="3">
        <v>45841</v>
      </c>
      <c r="T222" s="6">
        <v>3</v>
      </c>
    </row>
    <row r="223" spans="1:20" x14ac:dyDescent="0.3">
      <c r="A223" s="2" t="s">
        <v>613</v>
      </c>
      <c r="B223" s="3">
        <v>45981</v>
      </c>
      <c r="C223" s="2" t="s">
        <v>487</v>
      </c>
      <c r="D223" s="2" t="s">
        <v>488</v>
      </c>
      <c r="E223" s="2" t="s">
        <v>77</v>
      </c>
      <c r="F223" s="2">
        <v>57</v>
      </c>
      <c r="G223" s="2" t="s">
        <v>46</v>
      </c>
      <c r="H223" s="2" t="s">
        <v>25</v>
      </c>
      <c r="I223" s="2" t="s">
        <v>107</v>
      </c>
      <c r="J223" s="2" t="s">
        <v>108</v>
      </c>
      <c r="K223" s="2" t="s">
        <v>87</v>
      </c>
      <c r="L223" s="2" t="s">
        <v>88</v>
      </c>
      <c r="M223" s="2">
        <v>2</v>
      </c>
      <c r="N223" s="2">
        <v>1198.5</v>
      </c>
      <c r="O223" s="2">
        <v>840</v>
      </c>
      <c r="P223" s="2">
        <v>25</v>
      </c>
      <c r="Q223" s="2" t="s">
        <v>73</v>
      </c>
      <c r="R223" s="2" t="s">
        <v>42</v>
      </c>
      <c r="S223" s="3">
        <v>45987</v>
      </c>
      <c r="T223" s="6">
        <v>3</v>
      </c>
    </row>
    <row r="224" spans="1:20" x14ac:dyDescent="0.3">
      <c r="A224" s="2" t="s">
        <v>614</v>
      </c>
      <c r="B224" s="3">
        <v>45479</v>
      </c>
      <c r="C224" s="2" t="s">
        <v>520</v>
      </c>
      <c r="D224" s="2" t="s">
        <v>506</v>
      </c>
      <c r="E224" s="2" t="s">
        <v>77</v>
      </c>
      <c r="F224" s="2">
        <v>36</v>
      </c>
      <c r="G224" s="2" t="s">
        <v>173</v>
      </c>
      <c r="H224" s="2" t="s">
        <v>79</v>
      </c>
      <c r="I224" s="2" t="s">
        <v>112</v>
      </c>
      <c r="J224" s="2" t="s">
        <v>113</v>
      </c>
      <c r="K224" s="2" t="s">
        <v>114</v>
      </c>
      <c r="L224" s="2" t="s">
        <v>115</v>
      </c>
      <c r="M224" s="2">
        <v>4</v>
      </c>
      <c r="N224" s="2">
        <v>1957.2</v>
      </c>
      <c r="O224" s="2">
        <v>1480</v>
      </c>
      <c r="P224" s="2">
        <v>30</v>
      </c>
      <c r="Q224" s="2" t="s">
        <v>50</v>
      </c>
      <c r="R224" s="2" t="s">
        <v>42</v>
      </c>
      <c r="S224" s="3">
        <v>45490</v>
      </c>
      <c r="T224" s="6">
        <v>5</v>
      </c>
    </row>
    <row r="225" spans="1:20" x14ac:dyDescent="0.3">
      <c r="A225" s="2" t="s">
        <v>615</v>
      </c>
      <c r="B225" s="3">
        <v>45725</v>
      </c>
      <c r="C225" s="2" t="s">
        <v>390</v>
      </c>
      <c r="D225" s="2" t="s">
        <v>391</v>
      </c>
      <c r="E225" s="2" t="s">
        <v>23</v>
      </c>
      <c r="F225" s="2">
        <v>52</v>
      </c>
      <c r="G225" s="2" t="s">
        <v>101</v>
      </c>
      <c r="H225" s="2" t="s">
        <v>102</v>
      </c>
      <c r="I225" s="2" t="s">
        <v>92</v>
      </c>
      <c r="J225" s="2" t="s">
        <v>93</v>
      </c>
      <c r="K225" s="2" t="s">
        <v>87</v>
      </c>
      <c r="L225" s="2" t="s">
        <v>94</v>
      </c>
      <c r="M225" s="2">
        <v>5</v>
      </c>
      <c r="N225" s="2">
        <v>7195.5</v>
      </c>
      <c r="O225" s="2">
        <v>4650</v>
      </c>
      <c r="P225" s="2">
        <v>10</v>
      </c>
      <c r="Q225" s="2" t="s">
        <v>50</v>
      </c>
      <c r="R225" s="2" t="s">
        <v>42</v>
      </c>
      <c r="S225" s="3">
        <v>45734</v>
      </c>
      <c r="T225" s="6">
        <v>4</v>
      </c>
    </row>
    <row r="226" spans="1:20" x14ac:dyDescent="0.3">
      <c r="A226" s="2" t="s">
        <v>616</v>
      </c>
      <c r="B226" s="3">
        <v>45435</v>
      </c>
      <c r="C226" s="2" t="s">
        <v>390</v>
      </c>
      <c r="D226" s="2" t="s">
        <v>391</v>
      </c>
      <c r="E226" s="2" t="s">
        <v>23</v>
      </c>
      <c r="F226" s="2">
        <v>52</v>
      </c>
      <c r="G226" s="2" t="s">
        <v>126</v>
      </c>
      <c r="H226" s="2" t="s">
        <v>127</v>
      </c>
      <c r="I226" s="2" t="s">
        <v>63</v>
      </c>
      <c r="J226" s="2" t="s">
        <v>64</v>
      </c>
      <c r="K226" s="2" t="s">
        <v>39</v>
      </c>
      <c r="L226" s="2" t="s">
        <v>40</v>
      </c>
      <c r="M226" s="2">
        <v>5</v>
      </c>
      <c r="N226" s="2">
        <v>2995</v>
      </c>
      <c r="O226" s="2">
        <v>1650</v>
      </c>
      <c r="P226" s="2">
        <v>0</v>
      </c>
      <c r="Q226" s="2" t="s">
        <v>41</v>
      </c>
      <c r="R226" s="2" t="s">
        <v>42</v>
      </c>
      <c r="S226" s="3">
        <v>45444</v>
      </c>
      <c r="T226" s="6">
        <v>3</v>
      </c>
    </row>
    <row r="227" spans="1:20" x14ac:dyDescent="0.3">
      <c r="A227" s="2" t="s">
        <v>617</v>
      </c>
      <c r="B227" s="3">
        <v>45491</v>
      </c>
      <c r="C227" s="2" t="s">
        <v>152</v>
      </c>
      <c r="D227" s="2" t="s">
        <v>153</v>
      </c>
      <c r="E227" s="2" t="s">
        <v>23</v>
      </c>
      <c r="F227" s="2">
        <v>33</v>
      </c>
      <c r="G227" s="2" t="s">
        <v>101</v>
      </c>
      <c r="H227" s="2" t="s">
        <v>102</v>
      </c>
      <c r="I227" s="2" t="s">
        <v>134</v>
      </c>
      <c r="J227" s="2" t="s">
        <v>135</v>
      </c>
      <c r="K227" s="2" t="s">
        <v>39</v>
      </c>
      <c r="L227" s="2" t="s">
        <v>136</v>
      </c>
      <c r="M227" s="2">
        <v>4</v>
      </c>
      <c r="N227" s="2">
        <v>557.20000000000005</v>
      </c>
      <c r="O227" s="2">
        <v>360</v>
      </c>
      <c r="P227" s="2">
        <v>30</v>
      </c>
      <c r="Q227" s="2" t="s">
        <v>103</v>
      </c>
      <c r="R227" s="2" t="s">
        <v>42</v>
      </c>
      <c r="S227" s="3">
        <v>45495</v>
      </c>
      <c r="T227" s="6">
        <v>3</v>
      </c>
    </row>
    <row r="228" spans="1:20" x14ac:dyDescent="0.3">
      <c r="A228" s="2" t="s">
        <v>618</v>
      </c>
      <c r="B228" s="3">
        <v>45870</v>
      </c>
      <c r="C228" s="2" t="s">
        <v>266</v>
      </c>
      <c r="D228" s="2" t="s">
        <v>267</v>
      </c>
      <c r="E228" s="2" t="s">
        <v>77</v>
      </c>
      <c r="F228" s="2">
        <v>56</v>
      </c>
      <c r="G228" s="2" t="s">
        <v>90</v>
      </c>
      <c r="H228" s="2" t="s">
        <v>91</v>
      </c>
      <c r="I228" s="2" t="s">
        <v>143</v>
      </c>
      <c r="J228" s="2" t="s">
        <v>144</v>
      </c>
      <c r="K228" s="2" t="s">
        <v>130</v>
      </c>
      <c r="L228" s="2" t="s">
        <v>131</v>
      </c>
      <c r="M228" s="2">
        <v>1</v>
      </c>
      <c r="N228" s="2">
        <v>4399.2</v>
      </c>
      <c r="O228" s="2">
        <v>4300</v>
      </c>
      <c r="P228" s="2">
        <v>20</v>
      </c>
      <c r="Q228" s="2" t="s">
        <v>30</v>
      </c>
      <c r="R228" s="2" t="s">
        <v>65</v>
      </c>
      <c r="S228" s="3" t="s">
        <v>1604</v>
      </c>
      <c r="T228" s="6" t="s">
        <v>1604</v>
      </c>
    </row>
    <row r="229" spans="1:20" x14ac:dyDescent="0.3">
      <c r="A229" s="2" t="s">
        <v>619</v>
      </c>
      <c r="B229" s="3">
        <v>45587</v>
      </c>
      <c r="C229" s="2" t="s">
        <v>441</v>
      </c>
      <c r="D229" s="2" t="s">
        <v>442</v>
      </c>
      <c r="E229" s="2" t="s">
        <v>77</v>
      </c>
      <c r="F229" s="2">
        <v>44</v>
      </c>
      <c r="G229" s="2" t="s">
        <v>61</v>
      </c>
      <c r="H229" s="2" t="s">
        <v>62</v>
      </c>
      <c r="I229" s="2" t="s">
        <v>198</v>
      </c>
      <c r="J229" s="2" t="s">
        <v>199</v>
      </c>
      <c r="K229" s="2" t="s">
        <v>114</v>
      </c>
      <c r="L229" s="2" t="s">
        <v>200</v>
      </c>
      <c r="M229" s="2">
        <v>4</v>
      </c>
      <c r="N229" s="2">
        <v>4936.2</v>
      </c>
      <c r="O229" s="2">
        <v>3040</v>
      </c>
      <c r="P229" s="2">
        <v>5</v>
      </c>
      <c r="Q229" s="2" t="s">
        <v>50</v>
      </c>
      <c r="R229" s="2" t="s">
        <v>42</v>
      </c>
      <c r="S229" s="3">
        <v>45593</v>
      </c>
      <c r="T229" s="6">
        <v>4</v>
      </c>
    </row>
    <row r="230" spans="1:20" x14ac:dyDescent="0.3">
      <c r="A230" s="2" t="s">
        <v>620</v>
      </c>
      <c r="B230" s="3">
        <v>45847</v>
      </c>
      <c r="C230" s="2" t="s">
        <v>621</v>
      </c>
      <c r="D230" s="2" t="s">
        <v>622</v>
      </c>
      <c r="E230" s="2" t="s">
        <v>23</v>
      </c>
      <c r="F230" s="2">
        <v>32</v>
      </c>
      <c r="G230" s="2" t="s">
        <v>61</v>
      </c>
      <c r="H230" s="2" t="s">
        <v>62</v>
      </c>
      <c r="I230" s="2" t="s">
        <v>222</v>
      </c>
      <c r="J230" s="2" t="s">
        <v>223</v>
      </c>
      <c r="K230" s="2" t="s">
        <v>114</v>
      </c>
      <c r="L230" s="2" t="s">
        <v>115</v>
      </c>
      <c r="M230" s="2">
        <v>2</v>
      </c>
      <c r="N230" s="2">
        <v>1258.5999999999999</v>
      </c>
      <c r="O230" s="2">
        <v>1020</v>
      </c>
      <c r="P230" s="2">
        <v>30</v>
      </c>
      <c r="Q230" s="2" t="s">
        <v>73</v>
      </c>
      <c r="R230" s="2" t="s">
        <v>31</v>
      </c>
      <c r="S230" s="3">
        <v>45859</v>
      </c>
      <c r="T230" s="6">
        <v>4</v>
      </c>
    </row>
    <row r="231" spans="1:20" x14ac:dyDescent="0.3">
      <c r="A231" s="2" t="s">
        <v>623</v>
      </c>
      <c r="B231" s="3">
        <v>45596</v>
      </c>
      <c r="C231" s="2" t="s">
        <v>624</v>
      </c>
      <c r="D231" s="2" t="s">
        <v>625</v>
      </c>
      <c r="E231" s="2" t="s">
        <v>77</v>
      </c>
      <c r="F231" s="2">
        <v>47</v>
      </c>
      <c r="G231" s="2" t="s">
        <v>61</v>
      </c>
      <c r="H231" s="2" t="s">
        <v>62</v>
      </c>
      <c r="I231" s="2" t="s">
        <v>128</v>
      </c>
      <c r="J231" s="2" t="s">
        <v>129</v>
      </c>
      <c r="K231" s="2" t="s">
        <v>130</v>
      </c>
      <c r="L231" s="2" t="s">
        <v>131</v>
      </c>
      <c r="M231" s="2">
        <v>3</v>
      </c>
      <c r="N231" s="2">
        <v>18522.150000000001</v>
      </c>
      <c r="O231" s="2">
        <v>15300</v>
      </c>
      <c r="P231" s="2">
        <v>5</v>
      </c>
      <c r="Q231" s="2" t="s">
        <v>103</v>
      </c>
      <c r="R231" s="2" t="s">
        <v>57</v>
      </c>
      <c r="S231" s="3">
        <v>45599</v>
      </c>
      <c r="T231" s="6">
        <v>4</v>
      </c>
    </row>
    <row r="232" spans="1:20" x14ac:dyDescent="0.3">
      <c r="A232" s="2" t="s">
        <v>626</v>
      </c>
      <c r="B232" s="3">
        <v>45506</v>
      </c>
      <c r="C232" s="2" t="s">
        <v>627</v>
      </c>
      <c r="D232" s="2" t="s">
        <v>628</v>
      </c>
      <c r="E232" s="2" t="s">
        <v>77</v>
      </c>
      <c r="F232" s="2">
        <v>44</v>
      </c>
      <c r="G232" s="2" t="s">
        <v>122</v>
      </c>
      <c r="H232" s="2" t="s">
        <v>123</v>
      </c>
      <c r="I232" s="2" t="s">
        <v>319</v>
      </c>
      <c r="J232" s="2" t="s">
        <v>320</v>
      </c>
      <c r="K232" s="2" t="s">
        <v>28</v>
      </c>
      <c r="L232" s="2" t="s">
        <v>29</v>
      </c>
      <c r="M232" s="2">
        <v>5</v>
      </c>
      <c r="N232" s="2">
        <v>5395.5</v>
      </c>
      <c r="O232" s="2">
        <v>3550</v>
      </c>
      <c r="P232" s="2">
        <v>10</v>
      </c>
      <c r="Q232" s="2" t="s">
        <v>30</v>
      </c>
      <c r="R232" s="2" t="s">
        <v>57</v>
      </c>
      <c r="S232" s="3">
        <v>45511</v>
      </c>
      <c r="T232" s="6">
        <v>2</v>
      </c>
    </row>
    <row r="233" spans="1:20" x14ac:dyDescent="0.3">
      <c r="A233" s="2" t="s">
        <v>629</v>
      </c>
      <c r="B233" s="3">
        <v>45875</v>
      </c>
      <c r="C233" s="2" t="s">
        <v>627</v>
      </c>
      <c r="D233" s="2" t="s">
        <v>628</v>
      </c>
      <c r="E233" s="2" t="s">
        <v>77</v>
      </c>
      <c r="F233" s="2">
        <v>44</v>
      </c>
      <c r="G233" s="2" t="s">
        <v>207</v>
      </c>
      <c r="H233" s="2" t="s">
        <v>36</v>
      </c>
      <c r="I233" s="2" t="s">
        <v>155</v>
      </c>
      <c r="J233" s="2" t="s">
        <v>156</v>
      </c>
      <c r="K233" s="2" t="s">
        <v>114</v>
      </c>
      <c r="L233" s="2" t="s">
        <v>157</v>
      </c>
      <c r="M233" s="2">
        <v>5</v>
      </c>
      <c r="N233" s="2">
        <v>4495.5</v>
      </c>
      <c r="O233" s="2">
        <v>3050</v>
      </c>
      <c r="P233" s="2">
        <v>10</v>
      </c>
      <c r="Q233" s="2" t="s">
        <v>41</v>
      </c>
      <c r="R233" s="2" t="s">
        <v>31</v>
      </c>
      <c r="S233" s="3">
        <v>45881</v>
      </c>
      <c r="T233" s="6">
        <v>4</v>
      </c>
    </row>
    <row r="234" spans="1:20" x14ac:dyDescent="0.3">
      <c r="A234" s="2" t="s">
        <v>630</v>
      </c>
      <c r="B234" s="3">
        <v>45878</v>
      </c>
      <c r="C234" s="2" t="s">
        <v>159</v>
      </c>
      <c r="D234" s="2" t="s">
        <v>160</v>
      </c>
      <c r="E234" s="2" t="s">
        <v>23</v>
      </c>
      <c r="F234" s="2">
        <v>58</v>
      </c>
      <c r="G234" s="2" t="s">
        <v>69</v>
      </c>
      <c r="H234" s="2" t="s">
        <v>69</v>
      </c>
      <c r="I234" s="2" t="s">
        <v>252</v>
      </c>
      <c r="J234" s="2" t="s">
        <v>253</v>
      </c>
      <c r="K234" s="2" t="s">
        <v>28</v>
      </c>
      <c r="L234" s="2" t="s">
        <v>254</v>
      </c>
      <c r="M234" s="2">
        <v>4</v>
      </c>
      <c r="N234" s="2">
        <v>11996</v>
      </c>
      <c r="O234" s="2">
        <v>7600</v>
      </c>
      <c r="P234" s="2">
        <v>0</v>
      </c>
      <c r="Q234" s="2" t="s">
        <v>41</v>
      </c>
      <c r="R234" s="2" t="s">
        <v>57</v>
      </c>
      <c r="S234" s="3">
        <v>45890</v>
      </c>
      <c r="T234" s="6">
        <v>3</v>
      </c>
    </row>
    <row r="235" spans="1:20" x14ac:dyDescent="0.3">
      <c r="A235" s="2" t="s">
        <v>631</v>
      </c>
      <c r="B235" s="3">
        <v>46010</v>
      </c>
      <c r="C235" s="2" t="s">
        <v>632</v>
      </c>
      <c r="D235" s="2" t="s">
        <v>372</v>
      </c>
      <c r="E235" s="2" t="s">
        <v>77</v>
      </c>
      <c r="F235" s="2">
        <v>34</v>
      </c>
      <c r="G235" s="2" t="s">
        <v>90</v>
      </c>
      <c r="H235" s="2" t="s">
        <v>91</v>
      </c>
      <c r="I235" s="2" t="s">
        <v>252</v>
      </c>
      <c r="J235" s="2" t="s">
        <v>253</v>
      </c>
      <c r="K235" s="2" t="s">
        <v>28</v>
      </c>
      <c r="L235" s="2" t="s">
        <v>254</v>
      </c>
      <c r="M235" s="2">
        <v>3</v>
      </c>
      <c r="N235" s="2">
        <v>7647.45</v>
      </c>
      <c r="O235" s="2">
        <v>5700</v>
      </c>
      <c r="P235" s="2">
        <v>15</v>
      </c>
      <c r="Q235" s="2" t="s">
        <v>103</v>
      </c>
      <c r="R235" s="2" t="s">
        <v>42</v>
      </c>
      <c r="S235" s="3">
        <v>46014</v>
      </c>
      <c r="T235" s="6">
        <v>4</v>
      </c>
    </row>
    <row r="236" spans="1:20" x14ac:dyDescent="0.3">
      <c r="A236" s="2" t="s">
        <v>633</v>
      </c>
      <c r="B236" s="3">
        <v>45934</v>
      </c>
      <c r="C236" s="2" t="s">
        <v>634</v>
      </c>
      <c r="D236" s="2" t="s">
        <v>635</v>
      </c>
      <c r="E236" s="2" t="s">
        <v>77</v>
      </c>
      <c r="F236" s="2">
        <v>51</v>
      </c>
      <c r="G236" s="2" t="s">
        <v>165</v>
      </c>
      <c r="H236" s="2" t="s">
        <v>166</v>
      </c>
      <c r="I236" s="2" t="s">
        <v>63</v>
      </c>
      <c r="J236" s="2" t="s">
        <v>64</v>
      </c>
      <c r="K236" s="2" t="s">
        <v>39</v>
      </c>
      <c r="L236" s="2" t="s">
        <v>40</v>
      </c>
      <c r="M236" s="2">
        <v>1</v>
      </c>
      <c r="N236" s="2">
        <v>569.04999999999995</v>
      </c>
      <c r="O236" s="2">
        <v>330</v>
      </c>
      <c r="P236" s="2">
        <v>5</v>
      </c>
      <c r="Q236" s="2" t="s">
        <v>103</v>
      </c>
      <c r="R236" s="2" t="s">
        <v>65</v>
      </c>
      <c r="S236" s="3" t="s">
        <v>1604</v>
      </c>
      <c r="T236" s="6" t="s">
        <v>1604</v>
      </c>
    </row>
    <row r="237" spans="1:20" x14ac:dyDescent="0.3">
      <c r="A237" s="2" t="s">
        <v>636</v>
      </c>
      <c r="B237" s="3">
        <v>45576</v>
      </c>
      <c r="C237" s="2" t="s">
        <v>637</v>
      </c>
      <c r="D237" s="2" t="s">
        <v>638</v>
      </c>
      <c r="E237" s="2" t="s">
        <v>77</v>
      </c>
      <c r="F237" s="2">
        <v>47</v>
      </c>
      <c r="G237" s="2" t="s">
        <v>61</v>
      </c>
      <c r="H237" s="2" t="s">
        <v>62</v>
      </c>
      <c r="I237" s="2" t="s">
        <v>37</v>
      </c>
      <c r="J237" s="2" t="s">
        <v>38</v>
      </c>
      <c r="K237" s="2" t="s">
        <v>39</v>
      </c>
      <c r="L237" s="2" t="s">
        <v>40</v>
      </c>
      <c r="M237" s="2">
        <v>3</v>
      </c>
      <c r="N237" s="2">
        <v>2697</v>
      </c>
      <c r="O237" s="2">
        <v>1560</v>
      </c>
      <c r="P237" s="2">
        <v>0</v>
      </c>
      <c r="Q237" s="2" t="s">
        <v>73</v>
      </c>
      <c r="R237" s="2" t="s">
        <v>31</v>
      </c>
      <c r="S237" s="3">
        <v>45585</v>
      </c>
      <c r="T237" s="6">
        <v>4</v>
      </c>
    </row>
    <row r="238" spans="1:20" x14ac:dyDescent="0.3">
      <c r="A238" s="2" t="s">
        <v>639</v>
      </c>
      <c r="B238" s="3">
        <v>45356</v>
      </c>
      <c r="C238" s="2" t="s">
        <v>640</v>
      </c>
      <c r="D238" s="2" t="s">
        <v>349</v>
      </c>
      <c r="E238" s="2" t="s">
        <v>23</v>
      </c>
      <c r="F238" s="2">
        <v>42</v>
      </c>
      <c r="G238" s="2" t="s">
        <v>165</v>
      </c>
      <c r="H238" s="2" t="s">
        <v>166</v>
      </c>
      <c r="I238" s="2" t="s">
        <v>70</v>
      </c>
      <c r="J238" s="2" t="s">
        <v>71</v>
      </c>
      <c r="K238" s="2" t="s">
        <v>28</v>
      </c>
      <c r="L238" s="2" t="s">
        <v>72</v>
      </c>
      <c r="M238" s="2">
        <v>4</v>
      </c>
      <c r="N238" s="2">
        <v>5096.6000000000004</v>
      </c>
      <c r="O238" s="2">
        <v>3680</v>
      </c>
      <c r="P238" s="2">
        <v>15</v>
      </c>
      <c r="Q238" s="2" t="s">
        <v>103</v>
      </c>
      <c r="R238" s="2" t="s">
        <v>42</v>
      </c>
      <c r="S238" s="3">
        <v>45363</v>
      </c>
      <c r="T238" s="6">
        <v>4</v>
      </c>
    </row>
    <row r="239" spans="1:20" x14ac:dyDescent="0.3">
      <c r="A239" s="2" t="s">
        <v>641</v>
      </c>
      <c r="B239" s="3">
        <v>45637</v>
      </c>
      <c r="C239" s="2" t="s">
        <v>382</v>
      </c>
      <c r="D239" s="2" t="s">
        <v>188</v>
      </c>
      <c r="E239" s="2" t="s">
        <v>23</v>
      </c>
      <c r="F239" s="2">
        <v>44</v>
      </c>
      <c r="G239" s="2" t="s">
        <v>173</v>
      </c>
      <c r="H239" s="2" t="s">
        <v>79</v>
      </c>
      <c r="I239" s="2" t="s">
        <v>198</v>
      </c>
      <c r="J239" s="2" t="s">
        <v>199</v>
      </c>
      <c r="K239" s="2" t="s">
        <v>114</v>
      </c>
      <c r="L239" s="2" t="s">
        <v>200</v>
      </c>
      <c r="M239" s="2">
        <v>4</v>
      </c>
      <c r="N239" s="2">
        <v>3897</v>
      </c>
      <c r="O239" s="2">
        <v>3040</v>
      </c>
      <c r="P239" s="2">
        <v>25</v>
      </c>
      <c r="Q239" s="2" t="s">
        <v>73</v>
      </c>
      <c r="R239" s="2" t="s">
        <v>42</v>
      </c>
      <c r="S239" s="3">
        <v>45640</v>
      </c>
      <c r="T239" s="6">
        <v>5</v>
      </c>
    </row>
    <row r="240" spans="1:20" x14ac:dyDescent="0.3">
      <c r="A240" s="2" t="s">
        <v>642</v>
      </c>
      <c r="B240" s="3">
        <v>45308</v>
      </c>
      <c r="C240" s="2" t="s">
        <v>404</v>
      </c>
      <c r="D240" s="2" t="s">
        <v>326</v>
      </c>
      <c r="E240" s="2" t="s">
        <v>23</v>
      </c>
      <c r="F240" s="2">
        <v>54</v>
      </c>
      <c r="G240" s="2" t="s">
        <v>78</v>
      </c>
      <c r="H240" s="2" t="s">
        <v>79</v>
      </c>
      <c r="I240" s="2" t="s">
        <v>63</v>
      </c>
      <c r="J240" s="2" t="s">
        <v>64</v>
      </c>
      <c r="K240" s="2" t="s">
        <v>39</v>
      </c>
      <c r="L240" s="2" t="s">
        <v>40</v>
      </c>
      <c r="M240" s="2">
        <v>4</v>
      </c>
      <c r="N240" s="2">
        <v>2396</v>
      </c>
      <c r="O240" s="2">
        <v>1320</v>
      </c>
      <c r="P240" s="2">
        <v>0</v>
      </c>
      <c r="Q240" s="2" t="s">
        <v>103</v>
      </c>
      <c r="R240" s="2" t="s">
        <v>42</v>
      </c>
      <c r="S240" s="3">
        <v>45312</v>
      </c>
      <c r="T240" s="6">
        <v>4</v>
      </c>
    </row>
    <row r="241" spans="1:20" x14ac:dyDescent="0.3">
      <c r="A241" s="2" t="s">
        <v>643</v>
      </c>
      <c r="B241" s="3">
        <v>45454</v>
      </c>
      <c r="C241" s="2" t="s">
        <v>21</v>
      </c>
      <c r="D241" s="2" t="s">
        <v>22</v>
      </c>
      <c r="E241" s="2" t="s">
        <v>23</v>
      </c>
      <c r="F241" s="2">
        <v>39</v>
      </c>
      <c r="G241" s="2" t="s">
        <v>46</v>
      </c>
      <c r="H241" s="2" t="s">
        <v>25</v>
      </c>
      <c r="I241" s="2" t="s">
        <v>92</v>
      </c>
      <c r="J241" s="2" t="s">
        <v>93</v>
      </c>
      <c r="K241" s="2" t="s">
        <v>87</v>
      </c>
      <c r="L241" s="2" t="s">
        <v>94</v>
      </c>
      <c r="M241" s="2">
        <v>3</v>
      </c>
      <c r="N241" s="2">
        <v>3837.6</v>
      </c>
      <c r="O241" s="2">
        <v>2790</v>
      </c>
      <c r="P241" s="2">
        <v>20</v>
      </c>
      <c r="Q241" s="2" t="s">
        <v>73</v>
      </c>
      <c r="R241" s="2" t="s">
        <v>42</v>
      </c>
      <c r="S241" s="3">
        <v>45466</v>
      </c>
      <c r="T241" s="6">
        <v>3</v>
      </c>
    </row>
    <row r="242" spans="1:20" x14ac:dyDescent="0.3">
      <c r="A242" s="2" t="s">
        <v>644</v>
      </c>
      <c r="B242" s="3">
        <v>45345</v>
      </c>
      <c r="C242" s="2" t="s">
        <v>226</v>
      </c>
      <c r="D242" s="2" t="s">
        <v>227</v>
      </c>
      <c r="E242" s="2" t="s">
        <v>23</v>
      </c>
      <c r="F242" s="2">
        <v>32</v>
      </c>
      <c r="G242" s="2" t="s">
        <v>35</v>
      </c>
      <c r="H242" s="2" t="s">
        <v>36</v>
      </c>
      <c r="I242" s="2" t="s">
        <v>177</v>
      </c>
      <c r="J242" s="2" t="s">
        <v>178</v>
      </c>
      <c r="K242" s="2" t="s">
        <v>87</v>
      </c>
      <c r="L242" s="2" t="s">
        <v>179</v>
      </c>
      <c r="M242" s="2">
        <v>2</v>
      </c>
      <c r="N242" s="2">
        <v>3498.6</v>
      </c>
      <c r="O242" s="2">
        <v>3240</v>
      </c>
      <c r="P242" s="2">
        <v>30</v>
      </c>
      <c r="Q242" s="2" t="s">
        <v>73</v>
      </c>
      <c r="R242" s="2" t="s">
        <v>31</v>
      </c>
      <c r="S242" s="3">
        <v>45348</v>
      </c>
      <c r="T242" s="6">
        <v>2</v>
      </c>
    </row>
    <row r="243" spans="1:20" x14ac:dyDescent="0.3">
      <c r="A243" s="2" t="s">
        <v>645</v>
      </c>
      <c r="B243" s="3">
        <v>45510</v>
      </c>
      <c r="C243" s="2" t="s">
        <v>646</v>
      </c>
      <c r="D243" s="2" t="s">
        <v>352</v>
      </c>
      <c r="E243" s="2" t="s">
        <v>77</v>
      </c>
      <c r="F243" s="2">
        <v>22</v>
      </c>
      <c r="G243" s="2" t="s">
        <v>46</v>
      </c>
      <c r="H243" s="2" t="s">
        <v>25</v>
      </c>
      <c r="I243" s="2" t="s">
        <v>252</v>
      </c>
      <c r="J243" s="2" t="s">
        <v>253</v>
      </c>
      <c r="K243" s="2" t="s">
        <v>28</v>
      </c>
      <c r="L243" s="2" t="s">
        <v>254</v>
      </c>
      <c r="M243" s="2">
        <v>5</v>
      </c>
      <c r="N243" s="2">
        <v>12745.75</v>
      </c>
      <c r="O243" s="2">
        <v>9500</v>
      </c>
      <c r="P243" s="2">
        <v>15</v>
      </c>
      <c r="Q243" s="2" t="s">
        <v>50</v>
      </c>
      <c r="R243" s="2" t="s">
        <v>31</v>
      </c>
      <c r="S243" s="3">
        <v>45519</v>
      </c>
      <c r="T243" s="6">
        <v>2</v>
      </c>
    </row>
    <row r="244" spans="1:20" x14ac:dyDescent="0.3">
      <c r="A244" s="2" t="s">
        <v>647</v>
      </c>
      <c r="B244" s="3">
        <v>45300</v>
      </c>
      <c r="C244" s="2" t="s">
        <v>605</v>
      </c>
      <c r="D244" s="2" t="s">
        <v>442</v>
      </c>
      <c r="E244" s="2" t="s">
        <v>77</v>
      </c>
      <c r="F244" s="2">
        <v>22</v>
      </c>
      <c r="G244" s="2" t="s">
        <v>69</v>
      </c>
      <c r="H244" s="2" t="s">
        <v>69</v>
      </c>
      <c r="I244" s="2" t="s">
        <v>134</v>
      </c>
      <c r="J244" s="2" t="s">
        <v>135</v>
      </c>
      <c r="K244" s="2" t="s">
        <v>39</v>
      </c>
      <c r="L244" s="2" t="s">
        <v>136</v>
      </c>
      <c r="M244" s="2">
        <v>2</v>
      </c>
      <c r="N244" s="2">
        <v>238.8</v>
      </c>
      <c r="O244" s="2">
        <v>180</v>
      </c>
      <c r="P244" s="2">
        <v>40</v>
      </c>
      <c r="Q244" s="2" t="s">
        <v>648</v>
      </c>
      <c r="R244" s="2" t="s">
        <v>42</v>
      </c>
      <c r="S244" s="3">
        <v>45308</v>
      </c>
      <c r="T244" s="6">
        <v>3</v>
      </c>
    </row>
    <row r="245" spans="1:20" x14ac:dyDescent="0.3">
      <c r="A245" s="2" t="s">
        <v>649</v>
      </c>
      <c r="B245" s="3">
        <v>45396</v>
      </c>
      <c r="C245" s="2" t="s">
        <v>650</v>
      </c>
      <c r="D245" s="2" t="s">
        <v>638</v>
      </c>
      <c r="E245" s="2" t="s">
        <v>77</v>
      </c>
      <c r="F245" s="2">
        <v>25</v>
      </c>
      <c r="G245" s="2" t="s">
        <v>126</v>
      </c>
      <c r="H245" s="2" t="s">
        <v>127</v>
      </c>
      <c r="I245" s="2" t="s">
        <v>245</v>
      </c>
      <c r="J245" s="2" t="s">
        <v>246</v>
      </c>
      <c r="K245" s="2" t="s">
        <v>130</v>
      </c>
      <c r="L245" s="2" t="s">
        <v>247</v>
      </c>
      <c r="M245" s="2">
        <v>3</v>
      </c>
      <c r="N245" s="2">
        <v>6747.3</v>
      </c>
      <c r="O245" s="2">
        <v>5610</v>
      </c>
      <c r="P245" s="2">
        <v>10</v>
      </c>
      <c r="Q245" s="2" t="s">
        <v>103</v>
      </c>
      <c r="R245" s="2" t="s">
        <v>57</v>
      </c>
      <c r="S245" s="3">
        <v>45400</v>
      </c>
      <c r="T245" s="6">
        <v>3</v>
      </c>
    </row>
    <row r="246" spans="1:20" x14ac:dyDescent="0.3">
      <c r="A246" s="2" t="s">
        <v>651</v>
      </c>
      <c r="B246" s="3">
        <v>45362</v>
      </c>
      <c r="C246" s="2" t="s">
        <v>272</v>
      </c>
      <c r="D246" s="2" t="s">
        <v>273</v>
      </c>
      <c r="E246" s="2" t="s">
        <v>23</v>
      </c>
      <c r="F246" s="2">
        <v>46</v>
      </c>
      <c r="G246" s="2" t="s">
        <v>161</v>
      </c>
      <c r="H246" s="2" t="s">
        <v>25</v>
      </c>
      <c r="I246" s="2" t="s">
        <v>155</v>
      </c>
      <c r="J246" s="2" t="s">
        <v>156</v>
      </c>
      <c r="K246" s="2" t="s">
        <v>114</v>
      </c>
      <c r="L246" s="2" t="s">
        <v>157</v>
      </c>
      <c r="M246" s="2">
        <v>2</v>
      </c>
      <c r="N246" s="2" t="s">
        <v>1604</v>
      </c>
      <c r="O246" s="2">
        <v>1220</v>
      </c>
      <c r="P246" s="2">
        <v>40</v>
      </c>
      <c r="Q246" s="2" t="s">
        <v>41</v>
      </c>
      <c r="R246" s="2" t="s">
        <v>31</v>
      </c>
      <c r="S246" s="3">
        <v>45367</v>
      </c>
      <c r="T246" s="6">
        <v>3</v>
      </c>
    </row>
    <row r="247" spans="1:20" x14ac:dyDescent="0.3">
      <c r="A247" s="2" t="s">
        <v>652</v>
      </c>
      <c r="B247" s="3">
        <v>45713</v>
      </c>
      <c r="C247" s="2" t="s">
        <v>138</v>
      </c>
      <c r="D247" s="2" t="s">
        <v>139</v>
      </c>
      <c r="E247" s="2" t="s">
        <v>77</v>
      </c>
      <c r="F247" s="2">
        <v>42</v>
      </c>
      <c r="G247" s="2" t="s">
        <v>154</v>
      </c>
      <c r="H247" s="2" t="s">
        <v>91</v>
      </c>
      <c r="I247" s="2" t="s">
        <v>54</v>
      </c>
      <c r="J247" s="2" t="s">
        <v>55</v>
      </c>
      <c r="K247" s="2" t="s">
        <v>28</v>
      </c>
      <c r="L247" s="2" t="s">
        <v>56</v>
      </c>
      <c r="M247" s="2">
        <v>1</v>
      </c>
      <c r="N247" s="2">
        <v>629.1</v>
      </c>
      <c r="O247" s="2">
        <v>410</v>
      </c>
      <c r="P247" s="2">
        <v>10</v>
      </c>
      <c r="Q247" s="2" t="s">
        <v>73</v>
      </c>
      <c r="R247" s="2" t="s">
        <v>65</v>
      </c>
      <c r="S247" s="3" t="s">
        <v>1604</v>
      </c>
      <c r="T247" s="6" t="s">
        <v>1604</v>
      </c>
    </row>
    <row r="248" spans="1:20" x14ac:dyDescent="0.3">
      <c r="A248" s="2" t="s">
        <v>653</v>
      </c>
      <c r="B248" s="3">
        <v>45685</v>
      </c>
      <c r="C248" s="2" t="s">
        <v>627</v>
      </c>
      <c r="D248" s="2" t="s">
        <v>628</v>
      </c>
      <c r="E248" s="2" t="s">
        <v>77</v>
      </c>
      <c r="F248" s="2">
        <v>44</v>
      </c>
      <c r="G248" s="2" t="s">
        <v>122</v>
      </c>
      <c r="H248" s="2" t="s">
        <v>123</v>
      </c>
      <c r="I248" s="2" t="s">
        <v>183</v>
      </c>
      <c r="J248" s="2" t="s">
        <v>184</v>
      </c>
      <c r="K248" s="2" t="s">
        <v>130</v>
      </c>
      <c r="L248" s="2" t="s">
        <v>185</v>
      </c>
      <c r="M248" s="2">
        <v>2</v>
      </c>
      <c r="N248" s="2">
        <v>6798.3</v>
      </c>
      <c r="O248" s="2">
        <v>6100</v>
      </c>
      <c r="P248" s="2">
        <v>15</v>
      </c>
      <c r="Q248" s="2" t="s">
        <v>41</v>
      </c>
      <c r="R248" s="2" t="s">
        <v>31</v>
      </c>
      <c r="S248" s="3">
        <v>45688</v>
      </c>
      <c r="T248" s="6">
        <v>4</v>
      </c>
    </row>
    <row r="249" spans="1:20" x14ac:dyDescent="0.3">
      <c r="A249" s="2" t="s">
        <v>654</v>
      </c>
      <c r="B249" s="3">
        <v>45858</v>
      </c>
      <c r="C249" s="2" t="s">
        <v>438</v>
      </c>
      <c r="D249" s="2" t="s">
        <v>439</v>
      </c>
      <c r="E249" s="2" t="s">
        <v>23</v>
      </c>
      <c r="F249" s="2">
        <v>27</v>
      </c>
      <c r="G249" s="2" t="s">
        <v>161</v>
      </c>
      <c r="H249" s="2" t="s">
        <v>25</v>
      </c>
      <c r="I249" s="2" t="s">
        <v>107</v>
      </c>
      <c r="J249" s="2" t="s">
        <v>108</v>
      </c>
      <c r="K249" s="2" t="s">
        <v>87</v>
      </c>
      <c r="L249" s="2" t="s">
        <v>88</v>
      </c>
      <c r="M249" s="2">
        <v>3</v>
      </c>
      <c r="N249" s="2">
        <v>2037.45</v>
      </c>
      <c r="O249" s="2">
        <v>1260</v>
      </c>
      <c r="P249" s="2">
        <v>15</v>
      </c>
      <c r="Q249" s="2" t="s">
        <v>50</v>
      </c>
      <c r="R249" s="2" t="s">
        <v>65</v>
      </c>
      <c r="S249" s="3" t="s">
        <v>1604</v>
      </c>
      <c r="T249" s="6" t="s">
        <v>1604</v>
      </c>
    </row>
    <row r="250" spans="1:20" x14ac:dyDescent="0.3">
      <c r="A250" s="2" t="s">
        <v>655</v>
      </c>
      <c r="B250" s="3">
        <v>45813</v>
      </c>
      <c r="C250" s="2" t="s">
        <v>550</v>
      </c>
      <c r="D250" s="2" t="s">
        <v>482</v>
      </c>
      <c r="E250" s="2" t="s">
        <v>23</v>
      </c>
      <c r="F250" s="2">
        <v>33</v>
      </c>
      <c r="G250" s="2" t="s">
        <v>165</v>
      </c>
      <c r="H250" s="2" t="s">
        <v>166</v>
      </c>
      <c r="I250" s="2" t="s">
        <v>143</v>
      </c>
      <c r="J250" s="2" t="s">
        <v>144</v>
      </c>
      <c r="K250" s="2" t="s">
        <v>130</v>
      </c>
      <c r="L250" s="2" t="s">
        <v>131</v>
      </c>
      <c r="M250" s="2">
        <v>1</v>
      </c>
      <c r="N250" s="2">
        <v>4674.1499999999996</v>
      </c>
      <c r="O250" s="2">
        <v>4300</v>
      </c>
      <c r="P250" s="2">
        <v>15</v>
      </c>
      <c r="Q250" s="2" t="s">
        <v>103</v>
      </c>
      <c r="R250" s="2" t="s">
        <v>42</v>
      </c>
      <c r="S250" s="3">
        <v>45816</v>
      </c>
      <c r="T250" s="6">
        <v>4</v>
      </c>
    </row>
    <row r="251" spans="1:20" x14ac:dyDescent="0.3">
      <c r="A251" s="2" t="s">
        <v>656</v>
      </c>
      <c r="B251" s="3">
        <v>45803</v>
      </c>
      <c r="C251" s="2" t="s">
        <v>657</v>
      </c>
      <c r="D251" s="2" t="s">
        <v>658</v>
      </c>
      <c r="E251" s="2" t="s">
        <v>23</v>
      </c>
      <c r="F251" s="2">
        <v>31</v>
      </c>
      <c r="G251" s="2" t="s">
        <v>161</v>
      </c>
      <c r="H251" s="2" t="s">
        <v>25</v>
      </c>
      <c r="I251" s="2" t="s">
        <v>245</v>
      </c>
      <c r="J251" s="2" t="s">
        <v>246</v>
      </c>
      <c r="K251" s="2" t="s">
        <v>130</v>
      </c>
      <c r="L251" s="2" t="s">
        <v>247</v>
      </c>
      <c r="M251" s="2">
        <v>3</v>
      </c>
      <c r="N251" s="2">
        <v>6747.3</v>
      </c>
      <c r="O251" s="2">
        <v>5610</v>
      </c>
      <c r="P251" s="2">
        <v>10</v>
      </c>
      <c r="Q251" s="2" t="s">
        <v>103</v>
      </c>
      <c r="R251" s="2" t="s">
        <v>57</v>
      </c>
      <c r="S251" s="3">
        <v>45814</v>
      </c>
      <c r="T251" s="6">
        <v>5</v>
      </c>
    </row>
    <row r="252" spans="1:20" x14ac:dyDescent="0.3">
      <c r="A252" s="2" t="s">
        <v>659</v>
      </c>
      <c r="B252" s="3">
        <v>45666</v>
      </c>
      <c r="C252" s="2" t="s">
        <v>446</v>
      </c>
      <c r="D252" s="2" t="s">
        <v>447</v>
      </c>
      <c r="E252" s="2" t="s">
        <v>23</v>
      </c>
      <c r="F252" s="2">
        <v>30</v>
      </c>
      <c r="G252" s="2" t="s">
        <v>78</v>
      </c>
      <c r="H252" s="2" t="s">
        <v>79</v>
      </c>
      <c r="I252" s="2" t="s">
        <v>37</v>
      </c>
      <c r="J252" s="2" t="s">
        <v>38</v>
      </c>
      <c r="K252" s="2" t="s">
        <v>39</v>
      </c>
      <c r="L252" s="2" t="s">
        <v>40</v>
      </c>
      <c r="M252" s="2">
        <v>1</v>
      </c>
      <c r="N252" s="2">
        <v>899</v>
      </c>
      <c r="O252" s="2">
        <v>520</v>
      </c>
      <c r="P252" s="2">
        <v>0</v>
      </c>
      <c r="Q252" s="2" t="s">
        <v>50</v>
      </c>
      <c r="R252" s="2" t="s">
        <v>42</v>
      </c>
      <c r="S252" s="3">
        <v>45668</v>
      </c>
      <c r="T252" s="6">
        <v>4</v>
      </c>
    </row>
    <row r="253" spans="1:20" x14ac:dyDescent="0.3">
      <c r="A253" s="2" t="s">
        <v>660</v>
      </c>
      <c r="B253" s="3">
        <v>45512</v>
      </c>
      <c r="C253" s="2" t="s">
        <v>465</v>
      </c>
      <c r="D253" s="2" t="s">
        <v>53</v>
      </c>
      <c r="E253" s="2" t="s">
        <v>23</v>
      </c>
      <c r="F253" s="2">
        <v>22</v>
      </c>
      <c r="G253" s="2" t="s">
        <v>24</v>
      </c>
      <c r="H253" s="2" t="s">
        <v>25</v>
      </c>
      <c r="I253" s="2" t="s">
        <v>47</v>
      </c>
      <c r="J253" s="2" t="s">
        <v>48</v>
      </c>
      <c r="K253" s="2" t="s">
        <v>39</v>
      </c>
      <c r="L253" s="2" t="s">
        <v>49</v>
      </c>
      <c r="M253" s="2">
        <v>5</v>
      </c>
      <c r="N253" s="2">
        <v>1596</v>
      </c>
      <c r="O253" s="2">
        <v>1050</v>
      </c>
      <c r="P253" s="2">
        <v>20</v>
      </c>
      <c r="Q253" s="2" t="s">
        <v>50</v>
      </c>
      <c r="R253" s="2" t="s">
        <v>57</v>
      </c>
      <c r="S253" s="3">
        <v>45520</v>
      </c>
      <c r="T253" s="6">
        <v>5</v>
      </c>
    </row>
    <row r="254" spans="1:20" x14ac:dyDescent="0.3">
      <c r="A254" s="2" t="s">
        <v>661</v>
      </c>
      <c r="B254" s="3">
        <v>46010</v>
      </c>
      <c r="C254" s="2" t="s">
        <v>662</v>
      </c>
      <c r="D254" s="2" t="s">
        <v>97</v>
      </c>
      <c r="E254" s="2" t="s">
        <v>23</v>
      </c>
      <c r="F254" s="2">
        <v>47</v>
      </c>
      <c r="G254" s="2" t="s">
        <v>46</v>
      </c>
      <c r="H254" s="2" t="s">
        <v>25</v>
      </c>
      <c r="I254" s="2" t="s">
        <v>92</v>
      </c>
      <c r="J254" s="2" t="s">
        <v>93</v>
      </c>
      <c r="K254" s="2" t="s">
        <v>87</v>
      </c>
      <c r="L254" s="2" t="s">
        <v>94</v>
      </c>
      <c r="M254" s="2">
        <v>5</v>
      </c>
      <c r="N254" s="2">
        <v>7195.5</v>
      </c>
      <c r="O254" s="2">
        <v>4650</v>
      </c>
      <c r="P254" s="2">
        <v>10</v>
      </c>
      <c r="Q254" s="2" t="s">
        <v>41</v>
      </c>
      <c r="R254" s="2" t="s">
        <v>42</v>
      </c>
      <c r="S254" s="3">
        <v>46016</v>
      </c>
      <c r="T254" s="6">
        <v>3</v>
      </c>
    </row>
    <row r="255" spans="1:20" x14ac:dyDescent="0.3">
      <c r="A255" s="2" t="s">
        <v>663</v>
      </c>
      <c r="B255" s="3">
        <v>45815</v>
      </c>
      <c r="C255" s="2" t="s">
        <v>478</v>
      </c>
      <c r="D255" s="2" t="s">
        <v>479</v>
      </c>
      <c r="E255" s="2" t="s">
        <v>23</v>
      </c>
      <c r="F255" s="2">
        <v>36</v>
      </c>
      <c r="G255" s="2" t="s">
        <v>173</v>
      </c>
      <c r="H255" s="2" t="s">
        <v>79</v>
      </c>
      <c r="I255" s="2" t="s">
        <v>222</v>
      </c>
      <c r="J255" s="2" t="s">
        <v>223</v>
      </c>
      <c r="K255" s="2" t="s">
        <v>114</v>
      </c>
      <c r="L255" s="2" t="s">
        <v>115</v>
      </c>
      <c r="M255" s="2">
        <v>3</v>
      </c>
      <c r="N255" s="2">
        <v>1887.9</v>
      </c>
      <c r="O255" s="2">
        <v>1530</v>
      </c>
      <c r="P255" s="2">
        <v>30</v>
      </c>
      <c r="Q255" s="2" t="s">
        <v>50</v>
      </c>
      <c r="R255" s="2" t="s">
        <v>31</v>
      </c>
      <c r="S255" s="3">
        <v>45827</v>
      </c>
      <c r="T255" s="6">
        <v>3</v>
      </c>
    </row>
    <row r="256" spans="1:20" x14ac:dyDescent="0.3">
      <c r="A256" s="2" t="s">
        <v>664</v>
      </c>
      <c r="B256" s="3">
        <v>45609</v>
      </c>
      <c r="C256" s="2" t="s">
        <v>665</v>
      </c>
      <c r="D256" s="2" t="s">
        <v>666</v>
      </c>
      <c r="E256" s="2" t="s">
        <v>77</v>
      </c>
      <c r="F256" s="2">
        <v>55</v>
      </c>
      <c r="G256" s="2" t="s">
        <v>90</v>
      </c>
      <c r="H256" s="2" t="s">
        <v>91</v>
      </c>
      <c r="I256" s="2" t="s">
        <v>26</v>
      </c>
      <c r="J256" s="2" t="s">
        <v>27</v>
      </c>
      <c r="K256" s="2" t="s">
        <v>28</v>
      </c>
      <c r="L256" s="2" t="s">
        <v>29</v>
      </c>
      <c r="M256" s="2">
        <v>2</v>
      </c>
      <c r="N256" s="2">
        <v>2468.1</v>
      </c>
      <c r="O256" s="2">
        <v>1580</v>
      </c>
      <c r="P256" s="2">
        <v>5</v>
      </c>
      <c r="Q256" s="2" t="s">
        <v>103</v>
      </c>
      <c r="R256" s="2" t="s">
        <v>42</v>
      </c>
      <c r="S256" s="3">
        <v>45618</v>
      </c>
      <c r="T256" s="6">
        <v>2</v>
      </c>
    </row>
    <row r="257" spans="1:20" x14ac:dyDescent="0.3">
      <c r="A257" s="2" t="s">
        <v>667</v>
      </c>
      <c r="B257" s="3">
        <v>45608</v>
      </c>
      <c r="C257" s="2" t="s">
        <v>110</v>
      </c>
      <c r="D257" s="2" t="s">
        <v>111</v>
      </c>
      <c r="E257" s="2" t="s">
        <v>23</v>
      </c>
      <c r="F257" s="2">
        <v>39</v>
      </c>
      <c r="G257" s="2" t="s">
        <v>69</v>
      </c>
      <c r="H257" s="2" t="s">
        <v>69</v>
      </c>
      <c r="I257" s="2" t="s">
        <v>80</v>
      </c>
      <c r="J257" s="2" t="s">
        <v>81</v>
      </c>
      <c r="K257" s="2" t="s">
        <v>28</v>
      </c>
      <c r="L257" s="2" t="s">
        <v>29</v>
      </c>
      <c r="M257" s="2">
        <v>2</v>
      </c>
      <c r="N257" s="2">
        <v>1598</v>
      </c>
      <c r="O257" s="2">
        <v>940</v>
      </c>
      <c r="P257" s="2">
        <v>0</v>
      </c>
      <c r="Q257" s="2" t="s">
        <v>30</v>
      </c>
      <c r="R257" s="2" t="s">
        <v>42</v>
      </c>
      <c r="S257" s="3">
        <v>45615</v>
      </c>
      <c r="T257" s="6">
        <v>4</v>
      </c>
    </row>
    <row r="258" spans="1:20" x14ac:dyDescent="0.3">
      <c r="A258" s="2" t="s">
        <v>668</v>
      </c>
      <c r="B258" s="3">
        <v>45462</v>
      </c>
      <c r="C258" s="2" t="s">
        <v>669</v>
      </c>
      <c r="D258" s="2" t="s">
        <v>509</v>
      </c>
      <c r="E258" s="2" t="s">
        <v>77</v>
      </c>
      <c r="F258" s="2">
        <v>28</v>
      </c>
      <c r="G258" s="2" t="s">
        <v>173</v>
      </c>
      <c r="H258" s="2" t="s">
        <v>79</v>
      </c>
      <c r="I258" s="2" t="s">
        <v>177</v>
      </c>
      <c r="J258" s="2" t="s">
        <v>178</v>
      </c>
      <c r="K258" s="2" t="s">
        <v>87</v>
      </c>
      <c r="L258" s="2" t="s">
        <v>179</v>
      </c>
      <c r="M258" s="2">
        <v>3</v>
      </c>
      <c r="N258" s="2">
        <v>7122.15</v>
      </c>
      <c r="O258" s="2">
        <v>4860</v>
      </c>
      <c r="P258" s="2">
        <v>5</v>
      </c>
      <c r="Q258" s="2" t="s">
        <v>73</v>
      </c>
      <c r="R258" s="2" t="s">
        <v>42</v>
      </c>
      <c r="S258" s="3">
        <v>45470</v>
      </c>
      <c r="T258" s="6">
        <v>4</v>
      </c>
    </row>
    <row r="259" spans="1:20" x14ac:dyDescent="0.3">
      <c r="A259" s="2" t="s">
        <v>670</v>
      </c>
      <c r="B259" s="3">
        <v>45828</v>
      </c>
      <c r="C259" s="2" t="s">
        <v>671</v>
      </c>
      <c r="D259" s="2" t="s">
        <v>60</v>
      </c>
      <c r="E259" s="2" t="s">
        <v>23</v>
      </c>
      <c r="F259" s="2">
        <v>38</v>
      </c>
      <c r="G259" s="2" t="s">
        <v>207</v>
      </c>
      <c r="H259" s="2" t="s">
        <v>36</v>
      </c>
      <c r="I259" s="2" t="s">
        <v>85</v>
      </c>
      <c r="J259" s="2" t="s">
        <v>86</v>
      </c>
      <c r="K259" s="2" t="s">
        <v>87</v>
      </c>
      <c r="L259" s="2" t="s">
        <v>88</v>
      </c>
      <c r="M259" s="2">
        <v>5</v>
      </c>
      <c r="N259" s="2">
        <v>6645.25</v>
      </c>
      <c r="O259" s="2">
        <v>3950</v>
      </c>
      <c r="P259" s="2">
        <v>5</v>
      </c>
      <c r="Q259" s="2" t="s">
        <v>103</v>
      </c>
      <c r="R259" s="2" t="s">
        <v>42</v>
      </c>
      <c r="S259" s="3">
        <v>45838</v>
      </c>
      <c r="T259" s="6">
        <v>4</v>
      </c>
    </row>
    <row r="260" spans="1:20" x14ac:dyDescent="0.3">
      <c r="A260" s="2" t="s">
        <v>672</v>
      </c>
      <c r="B260" s="3">
        <v>45348</v>
      </c>
      <c r="C260" s="2" t="s">
        <v>455</v>
      </c>
      <c r="D260" s="2" t="s">
        <v>311</v>
      </c>
      <c r="E260" s="2" t="s">
        <v>23</v>
      </c>
      <c r="F260" s="2">
        <v>42</v>
      </c>
      <c r="G260" s="2" t="s">
        <v>78</v>
      </c>
      <c r="H260" s="2" t="s">
        <v>79</v>
      </c>
      <c r="I260" s="2" t="s">
        <v>245</v>
      </c>
      <c r="J260" s="2" t="s">
        <v>246</v>
      </c>
      <c r="K260" s="2" t="s">
        <v>130</v>
      </c>
      <c r="L260" s="2" t="s">
        <v>247</v>
      </c>
      <c r="M260" s="2">
        <v>2</v>
      </c>
      <c r="N260" s="2">
        <v>3998.4</v>
      </c>
      <c r="O260" s="2">
        <v>3740</v>
      </c>
      <c r="P260" s="2">
        <v>20</v>
      </c>
      <c r="Q260" s="2" t="s">
        <v>73</v>
      </c>
      <c r="R260" s="2" t="s">
        <v>65</v>
      </c>
      <c r="S260" s="3" t="s">
        <v>1604</v>
      </c>
      <c r="T260" s="6" t="s">
        <v>1604</v>
      </c>
    </row>
    <row r="261" spans="1:20" x14ac:dyDescent="0.3">
      <c r="A261" s="2" t="s">
        <v>673</v>
      </c>
      <c r="B261" s="3">
        <v>45982</v>
      </c>
      <c r="C261" s="2" t="s">
        <v>674</v>
      </c>
      <c r="D261" s="2" t="s">
        <v>675</v>
      </c>
      <c r="E261" s="2" t="s">
        <v>23</v>
      </c>
      <c r="F261" s="2">
        <v>51</v>
      </c>
      <c r="G261" s="2" t="s">
        <v>90</v>
      </c>
      <c r="H261" s="2" t="s">
        <v>91</v>
      </c>
      <c r="I261" s="2" t="s">
        <v>177</v>
      </c>
      <c r="J261" s="2" t="s">
        <v>178</v>
      </c>
      <c r="K261" s="2" t="s">
        <v>87</v>
      </c>
      <c r="L261" s="2" t="s">
        <v>179</v>
      </c>
      <c r="M261" s="2">
        <v>5</v>
      </c>
      <c r="N261" s="2">
        <v>12495</v>
      </c>
      <c r="O261" s="2">
        <v>8100</v>
      </c>
      <c r="P261" s="2">
        <v>0</v>
      </c>
      <c r="Q261" s="2" t="s">
        <v>73</v>
      </c>
      <c r="R261" s="2" t="s">
        <v>57</v>
      </c>
      <c r="S261" s="3">
        <v>45984</v>
      </c>
      <c r="T261" s="6">
        <v>4</v>
      </c>
    </row>
    <row r="262" spans="1:20" x14ac:dyDescent="0.3">
      <c r="A262" s="2" t="s">
        <v>676</v>
      </c>
      <c r="B262" s="3">
        <v>45339</v>
      </c>
      <c r="C262" s="2" t="s">
        <v>677</v>
      </c>
      <c r="D262" s="2" t="s">
        <v>678</v>
      </c>
      <c r="E262" s="2" t="s">
        <v>77</v>
      </c>
      <c r="F262" s="2">
        <v>34</v>
      </c>
      <c r="G262" s="2" t="s">
        <v>211</v>
      </c>
      <c r="H262" s="2" t="s">
        <v>127</v>
      </c>
      <c r="I262" s="2" t="s">
        <v>47</v>
      </c>
      <c r="J262" s="2" t="s">
        <v>48</v>
      </c>
      <c r="K262" s="2" t="s">
        <v>39</v>
      </c>
      <c r="L262" s="2" t="s">
        <v>49</v>
      </c>
      <c r="M262" s="2">
        <v>2</v>
      </c>
      <c r="N262" s="2">
        <v>718.2</v>
      </c>
      <c r="O262" s="2">
        <v>420</v>
      </c>
      <c r="P262" s="2">
        <v>10</v>
      </c>
      <c r="Q262" s="2" t="s">
        <v>73</v>
      </c>
      <c r="R262" s="2" t="s">
        <v>65</v>
      </c>
      <c r="S262" s="3" t="s">
        <v>1604</v>
      </c>
      <c r="T262" s="6" t="s">
        <v>1604</v>
      </c>
    </row>
    <row r="263" spans="1:20" x14ac:dyDescent="0.3">
      <c r="A263" s="2" t="s">
        <v>679</v>
      </c>
      <c r="B263" s="3">
        <v>45963</v>
      </c>
      <c r="C263" s="2" t="s">
        <v>535</v>
      </c>
      <c r="D263" s="2" t="s">
        <v>536</v>
      </c>
      <c r="E263" s="2" t="s">
        <v>77</v>
      </c>
      <c r="F263" s="2">
        <v>22</v>
      </c>
      <c r="G263" s="2" t="s">
        <v>90</v>
      </c>
      <c r="H263" s="2" t="s">
        <v>91</v>
      </c>
      <c r="I263" s="2" t="s">
        <v>183</v>
      </c>
      <c r="J263" s="2" t="s">
        <v>184</v>
      </c>
      <c r="K263" s="2" t="s">
        <v>130</v>
      </c>
      <c r="L263" s="2" t="s">
        <v>185</v>
      </c>
      <c r="M263" s="2">
        <v>2</v>
      </c>
      <c r="N263" s="2">
        <v>5598.6</v>
      </c>
      <c r="O263" s="2">
        <v>6100</v>
      </c>
      <c r="P263" s="2">
        <v>30</v>
      </c>
      <c r="Q263" s="2" t="s">
        <v>41</v>
      </c>
      <c r="R263" s="2" t="s">
        <v>42</v>
      </c>
      <c r="S263" s="3">
        <v>45966</v>
      </c>
      <c r="T263" s="6">
        <v>4</v>
      </c>
    </row>
    <row r="264" spans="1:20" x14ac:dyDescent="0.3">
      <c r="A264" s="2" t="s">
        <v>680</v>
      </c>
      <c r="B264" s="3">
        <v>45414</v>
      </c>
      <c r="C264" s="2" t="s">
        <v>681</v>
      </c>
      <c r="D264" s="2" t="s">
        <v>203</v>
      </c>
      <c r="E264" s="2" t="s">
        <v>23</v>
      </c>
      <c r="F264" s="2">
        <v>58</v>
      </c>
      <c r="G264" s="2" t="s">
        <v>24</v>
      </c>
      <c r="H264" s="2" t="s">
        <v>25</v>
      </c>
      <c r="I264" s="2" t="s">
        <v>319</v>
      </c>
      <c r="J264" s="2" t="s">
        <v>320</v>
      </c>
      <c r="K264" s="2" t="s">
        <v>28</v>
      </c>
      <c r="L264" s="2" t="s">
        <v>29</v>
      </c>
      <c r="M264" s="2">
        <v>2</v>
      </c>
      <c r="N264" s="2">
        <v>2398</v>
      </c>
      <c r="O264" s="2">
        <v>1420</v>
      </c>
      <c r="P264" s="2">
        <v>0</v>
      </c>
      <c r="Q264" s="2" t="s">
        <v>103</v>
      </c>
      <c r="R264" s="2" t="s">
        <v>42</v>
      </c>
      <c r="S264" s="3">
        <v>45423</v>
      </c>
      <c r="T264" s="6">
        <v>4</v>
      </c>
    </row>
    <row r="265" spans="1:20" x14ac:dyDescent="0.3">
      <c r="A265" s="2" t="s">
        <v>682</v>
      </c>
      <c r="B265" s="3">
        <v>45610</v>
      </c>
      <c r="C265" s="2" t="s">
        <v>233</v>
      </c>
      <c r="D265" s="2" t="s">
        <v>118</v>
      </c>
      <c r="E265" s="2" t="s">
        <v>23</v>
      </c>
      <c r="F265" s="2">
        <v>34</v>
      </c>
      <c r="G265" s="2" t="s">
        <v>46</v>
      </c>
      <c r="H265" s="2" t="s">
        <v>25</v>
      </c>
      <c r="I265" s="2" t="s">
        <v>222</v>
      </c>
      <c r="J265" s="2" t="s">
        <v>223</v>
      </c>
      <c r="K265" s="2" t="s">
        <v>114</v>
      </c>
      <c r="L265" s="2" t="s">
        <v>115</v>
      </c>
      <c r="M265" s="2">
        <v>4</v>
      </c>
      <c r="N265" s="2">
        <v>3596</v>
      </c>
      <c r="O265" s="2">
        <v>2040</v>
      </c>
      <c r="P265" s="2">
        <v>0</v>
      </c>
      <c r="Q265" s="2" t="s">
        <v>41</v>
      </c>
      <c r="R265" s="2" t="s">
        <v>42</v>
      </c>
      <c r="S265" s="3">
        <v>45616</v>
      </c>
      <c r="T265" s="6">
        <v>4</v>
      </c>
    </row>
    <row r="266" spans="1:20" x14ac:dyDescent="0.3">
      <c r="A266" s="2" t="s">
        <v>683</v>
      </c>
      <c r="B266" s="3">
        <v>45929</v>
      </c>
      <c r="C266" s="2" t="s">
        <v>567</v>
      </c>
      <c r="D266" s="2" t="s">
        <v>568</v>
      </c>
      <c r="E266" s="2" t="s">
        <v>77</v>
      </c>
      <c r="F266" s="2">
        <v>50</v>
      </c>
      <c r="G266" s="2" t="s">
        <v>61</v>
      </c>
      <c r="H266" s="2" t="s">
        <v>62</v>
      </c>
      <c r="I266" s="2" t="s">
        <v>245</v>
      </c>
      <c r="J266" s="2" t="s">
        <v>246</v>
      </c>
      <c r="K266" s="2" t="s">
        <v>130</v>
      </c>
      <c r="L266" s="2" t="s">
        <v>247</v>
      </c>
      <c r="M266" s="2">
        <v>5</v>
      </c>
      <c r="N266" s="2">
        <v>7497</v>
      </c>
      <c r="O266" s="2">
        <v>9350</v>
      </c>
      <c r="P266" s="2">
        <v>40</v>
      </c>
      <c r="Q266" s="2" t="s">
        <v>30</v>
      </c>
      <c r="R266" s="2" t="s">
        <v>31</v>
      </c>
      <c r="S266" s="3">
        <v>45939</v>
      </c>
      <c r="T266" s="6">
        <v>4</v>
      </c>
    </row>
    <row r="267" spans="1:20" x14ac:dyDescent="0.3">
      <c r="A267" s="2" t="s">
        <v>684</v>
      </c>
      <c r="B267" s="3">
        <v>45446</v>
      </c>
      <c r="C267" s="2" t="s">
        <v>685</v>
      </c>
      <c r="D267" s="2" t="s">
        <v>399</v>
      </c>
      <c r="E267" s="2" t="s">
        <v>77</v>
      </c>
      <c r="F267" s="2">
        <v>52</v>
      </c>
      <c r="G267" s="2" t="s">
        <v>122</v>
      </c>
      <c r="H267" s="2" t="s">
        <v>123</v>
      </c>
      <c r="I267" s="2" t="s">
        <v>80</v>
      </c>
      <c r="J267" s="2" t="s">
        <v>81</v>
      </c>
      <c r="K267" s="2" t="s">
        <v>28</v>
      </c>
      <c r="L267" s="2" t="s">
        <v>29</v>
      </c>
      <c r="M267" s="2">
        <v>2</v>
      </c>
      <c r="N267" s="2">
        <v>1198.5</v>
      </c>
      <c r="O267" s="2">
        <v>940</v>
      </c>
      <c r="P267" s="2">
        <v>25</v>
      </c>
      <c r="Q267" s="2" t="s">
        <v>73</v>
      </c>
      <c r="R267" s="2" t="s">
        <v>42</v>
      </c>
      <c r="S267" s="3">
        <v>45448</v>
      </c>
      <c r="T267" s="6">
        <v>5</v>
      </c>
    </row>
    <row r="268" spans="1:20" x14ac:dyDescent="0.3">
      <c r="A268" s="2" t="s">
        <v>686</v>
      </c>
      <c r="B268" s="3">
        <v>45606</v>
      </c>
      <c r="C268" s="2" t="s">
        <v>284</v>
      </c>
      <c r="D268" s="2" t="s">
        <v>285</v>
      </c>
      <c r="E268" s="2" t="s">
        <v>77</v>
      </c>
      <c r="F268" s="2">
        <v>28</v>
      </c>
      <c r="G268" s="2" t="s">
        <v>154</v>
      </c>
      <c r="H268" s="2" t="s">
        <v>91</v>
      </c>
      <c r="I268" s="2" t="s">
        <v>112</v>
      </c>
      <c r="J268" s="2" t="s">
        <v>113</v>
      </c>
      <c r="K268" s="2" t="s">
        <v>114</v>
      </c>
      <c r="L268" s="2" t="s">
        <v>115</v>
      </c>
      <c r="M268" s="2">
        <v>2</v>
      </c>
      <c r="N268" s="2">
        <v>978.6</v>
      </c>
      <c r="O268" s="2">
        <v>740</v>
      </c>
      <c r="P268" s="2">
        <v>30</v>
      </c>
      <c r="Q268" s="2" t="s">
        <v>103</v>
      </c>
      <c r="R268" s="2" t="s">
        <v>42</v>
      </c>
      <c r="S268" s="3">
        <v>45610</v>
      </c>
      <c r="T268" s="6">
        <v>4</v>
      </c>
    </row>
    <row r="269" spans="1:20" x14ac:dyDescent="0.3">
      <c r="A269" s="2" t="s">
        <v>687</v>
      </c>
      <c r="B269" s="3">
        <v>45387</v>
      </c>
      <c r="C269" s="2" t="s">
        <v>599</v>
      </c>
      <c r="D269" s="2" t="s">
        <v>600</v>
      </c>
      <c r="E269" s="2" t="s">
        <v>77</v>
      </c>
      <c r="F269" s="2">
        <v>32</v>
      </c>
      <c r="G269" s="2" t="s">
        <v>90</v>
      </c>
      <c r="H269" s="2" t="s">
        <v>91</v>
      </c>
      <c r="I269" s="2" t="s">
        <v>112</v>
      </c>
      <c r="J269" s="2" t="s">
        <v>113</v>
      </c>
      <c r="K269" s="2" t="s">
        <v>114</v>
      </c>
      <c r="L269" s="2" t="s">
        <v>115</v>
      </c>
      <c r="M269" s="2">
        <v>4</v>
      </c>
      <c r="N269" s="2">
        <v>2097</v>
      </c>
      <c r="O269" s="2">
        <v>1480</v>
      </c>
      <c r="P269" s="2">
        <v>25</v>
      </c>
      <c r="Q269" s="2" t="s">
        <v>103</v>
      </c>
      <c r="R269" s="2" t="s">
        <v>31</v>
      </c>
      <c r="S269" s="3">
        <v>45390</v>
      </c>
      <c r="T269" s="6">
        <v>3</v>
      </c>
    </row>
    <row r="270" spans="1:20" x14ac:dyDescent="0.3">
      <c r="A270" s="2" t="s">
        <v>688</v>
      </c>
      <c r="B270" s="3">
        <v>45809</v>
      </c>
      <c r="C270" s="2" t="s">
        <v>689</v>
      </c>
      <c r="D270" s="2" t="s">
        <v>690</v>
      </c>
      <c r="E270" s="2" t="s">
        <v>77</v>
      </c>
      <c r="F270" s="2">
        <v>45</v>
      </c>
      <c r="G270" s="2" t="s">
        <v>165</v>
      </c>
      <c r="H270" s="2" t="s">
        <v>166</v>
      </c>
      <c r="I270" s="2" t="s">
        <v>54</v>
      </c>
      <c r="J270" s="2" t="s">
        <v>55</v>
      </c>
      <c r="K270" s="2" t="s">
        <v>28</v>
      </c>
      <c r="L270" s="2" t="s">
        <v>56</v>
      </c>
      <c r="M270" s="2">
        <v>5</v>
      </c>
      <c r="N270" s="2">
        <v>3495</v>
      </c>
      <c r="O270" s="2">
        <v>2050</v>
      </c>
      <c r="P270" s="2">
        <v>0</v>
      </c>
      <c r="Q270" s="2" t="s">
        <v>103</v>
      </c>
      <c r="R270" s="2" t="s">
        <v>31</v>
      </c>
      <c r="S270" s="3">
        <v>45813</v>
      </c>
      <c r="T270" s="6">
        <v>4</v>
      </c>
    </row>
    <row r="271" spans="1:20" x14ac:dyDescent="0.3">
      <c r="A271" s="2" t="s">
        <v>691</v>
      </c>
      <c r="B271" s="3">
        <v>45590</v>
      </c>
      <c r="C271" s="2" t="s">
        <v>511</v>
      </c>
      <c r="D271" s="2" t="s">
        <v>512</v>
      </c>
      <c r="E271" s="2" t="s">
        <v>23</v>
      </c>
      <c r="F271" s="2">
        <v>53</v>
      </c>
      <c r="G271" s="2" t="s">
        <v>126</v>
      </c>
      <c r="H271" s="2" t="s">
        <v>127</v>
      </c>
      <c r="I271" s="2" t="s">
        <v>47</v>
      </c>
      <c r="J271" s="2" t="s">
        <v>48</v>
      </c>
      <c r="K271" s="2" t="s">
        <v>39</v>
      </c>
      <c r="L271" s="2" t="s">
        <v>49</v>
      </c>
      <c r="M271" s="2">
        <v>3</v>
      </c>
      <c r="N271" s="2">
        <v>897.75</v>
      </c>
      <c r="O271" s="2">
        <v>630</v>
      </c>
      <c r="P271" s="2">
        <v>25</v>
      </c>
      <c r="Q271" s="2" t="s">
        <v>103</v>
      </c>
      <c r="R271" s="2" t="s">
        <v>42</v>
      </c>
      <c r="S271" s="3">
        <v>45595</v>
      </c>
      <c r="T271" s="6">
        <v>3</v>
      </c>
    </row>
    <row r="272" spans="1:20" x14ac:dyDescent="0.3">
      <c r="A272" s="2" t="s">
        <v>692</v>
      </c>
      <c r="B272" s="3">
        <v>45499</v>
      </c>
      <c r="C272" s="2" t="s">
        <v>693</v>
      </c>
      <c r="D272" s="2" t="s">
        <v>694</v>
      </c>
      <c r="E272" s="2" t="s">
        <v>23</v>
      </c>
      <c r="F272" s="2">
        <v>30</v>
      </c>
      <c r="G272" s="2" t="s">
        <v>69</v>
      </c>
      <c r="H272" s="2" t="s">
        <v>69</v>
      </c>
      <c r="I272" s="2" t="s">
        <v>252</v>
      </c>
      <c r="J272" s="2" t="s">
        <v>253</v>
      </c>
      <c r="K272" s="2" t="s">
        <v>28</v>
      </c>
      <c r="L272" s="2" t="s">
        <v>254</v>
      </c>
      <c r="M272" s="2">
        <v>1</v>
      </c>
      <c r="N272" s="2">
        <v>2699.1</v>
      </c>
      <c r="O272" s="2">
        <v>1900</v>
      </c>
      <c r="P272" s="2">
        <v>10</v>
      </c>
      <c r="Q272" s="2" t="s">
        <v>103</v>
      </c>
      <c r="R272" s="2" t="s">
        <v>42</v>
      </c>
      <c r="S272" s="3">
        <v>45506</v>
      </c>
      <c r="T272" s="6">
        <v>5</v>
      </c>
    </row>
    <row r="273" spans="1:20" x14ac:dyDescent="0.3">
      <c r="A273" s="2" t="s">
        <v>695</v>
      </c>
      <c r="B273" s="3">
        <v>45415</v>
      </c>
      <c r="C273" s="2" t="s">
        <v>523</v>
      </c>
      <c r="D273" s="2" t="s">
        <v>524</v>
      </c>
      <c r="E273" s="2" t="s">
        <v>77</v>
      </c>
      <c r="F273" s="2">
        <v>49</v>
      </c>
      <c r="G273" s="2" t="s">
        <v>211</v>
      </c>
      <c r="H273" s="2" t="s">
        <v>127</v>
      </c>
      <c r="I273" s="2" t="s">
        <v>70</v>
      </c>
      <c r="J273" s="2" t="s">
        <v>71</v>
      </c>
      <c r="K273" s="2" t="s">
        <v>28</v>
      </c>
      <c r="L273" s="2" t="s">
        <v>72</v>
      </c>
      <c r="M273" s="2">
        <v>4</v>
      </c>
      <c r="N273" s="2">
        <v>4796.8</v>
      </c>
      <c r="O273" s="2">
        <v>3680</v>
      </c>
      <c r="P273" s="2">
        <v>20</v>
      </c>
      <c r="Q273" s="2" t="s">
        <v>103</v>
      </c>
      <c r="R273" s="2" t="s">
        <v>42</v>
      </c>
      <c r="S273" s="3">
        <v>45418</v>
      </c>
      <c r="T273" s="6">
        <v>3</v>
      </c>
    </row>
    <row r="274" spans="1:20" x14ac:dyDescent="0.3">
      <c r="A274" s="2" t="s">
        <v>696</v>
      </c>
      <c r="B274" s="3">
        <v>45453</v>
      </c>
      <c r="C274" s="2" t="s">
        <v>331</v>
      </c>
      <c r="D274" s="2" t="s">
        <v>332</v>
      </c>
      <c r="E274" s="2" t="s">
        <v>23</v>
      </c>
      <c r="F274" s="2">
        <v>39</v>
      </c>
      <c r="G274" s="2" t="s">
        <v>24</v>
      </c>
      <c r="H274" s="2" t="s">
        <v>25</v>
      </c>
      <c r="I274" s="2" t="s">
        <v>70</v>
      </c>
      <c r="J274" s="2" t="s">
        <v>71</v>
      </c>
      <c r="K274" s="2" t="s">
        <v>28</v>
      </c>
      <c r="L274" s="2" t="s">
        <v>72</v>
      </c>
      <c r="M274" s="2">
        <v>3</v>
      </c>
      <c r="N274" s="2">
        <v>4047.3</v>
      </c>
      <c r="O274" s="2">
        <v>2760</v>
      </c>
      <c r="P274" s="2">
        <v>10</v>
      </c>
      <c r="Q274" s="2" t="s">
        <v>73</v>
      </c>
      <c r="R274" s="2" t="s">
        <v>31</v>
      </c>
      <c r="S274" s="3">
        <v>45458</v>
      </c>
      <c r="T274" s="6">
        <v>4</v>
      </c>
    </row>
    <row r="275" spans="1:20" x14ac:dyDescent="0.3">
      <c r="A275" s="2" t="s">
        <v>697</v>
      </c>
      <c r="B275" s="3">
        <v>45697</v>
      </c>
      <c r="C275" s="2" t="s">
        <v>300</v>
      </c>
      <c r="D275" s="2" t="s">
        <v>172</v>
      </c>
      <c r="E275" s="2" t="s">
        <v>23</v>
      </c>
      <c r="F275" s="2">
        <v>39</v>
      </c>
      <c r="G275" s="2" t="s">
        <v>24</v>
      </c>
      <c r="H275" s="2" t="s">
        <v>25</v>
      </c>
      <c r="I275" s="2" t="s">
        <v>107</v>
      </c>
      <c r="J275" s="2" t="s">
        <v>108</v>
      </c>
      <c r="K275" s="2" t="s">
        <v>87</v>
      </c>
      <c r="L275" s="2" t="s">
        <v>88</v>
      </c>
      <c r="M275" s="2">
        <v>3</v>
      </c>
      <c r="N275" s="2">
        <v>1917.6</v>
      </c>
      <c r="O275" s="2">
        <v>1260</v>
      </c>
      <c r="P275" s="2">
        <v>20</v>
      </c>
      <c r="Q275" s="2" t="s">
        <v>30</v>
      </c>
      <c r="R275" s="2" t="s">
        <v>42</v>
      </c>
      <c r="S275" s="3">
        <v>45705</v>
      </c>
      <c r="T275" s="6">
        <v>5</v>
      </c>
    </row>
    <row r="276" spans="1:20" x14ac:dyDescent="0.3">
      <c r="A276" s="2" t="s">
        <v>698</v>
      </c>
      <c r="B276" s="3">
        <v>45861</v>
      </c>
      <c r="C276" s="2" t="s">
        <v>495</v>
      </c>
      <c r="D276" s="2" t="s">
        <v>496</v>
      </c>
      <c r="E276" s="2" t="s">
        <v>77</v>
      </c>
      <c r="F276" s="2">
        <v>33</v>
      </c>
      <c r="G276" s="2" t="s">
        <v>90</v>
      </c>
      <c r="H276" s="2" t="s">
        <v>91</v>
      </c>
      <c r="I276" s="2" t="s">
        <v>229</v>
      </c>
      <c r="J276" s="2" t="s">
        <v>230</v>
      </c>
      <c r="K276" s="2" t="s">
        <v>28</v>
      </c>
      <c r="L276" s="2" t="s">
        <v>231</v>
      </c>
      <c r="M276" s="2">
        <v>4</v>
      </c>
      <c r="N276" s="2">
        <v>7596.2</v>
      </c>
      <c r="O276" s="2">
        <v>4920</v>
      </c>
      <c r="P276" s="2">
        <v>5</v>
      </c>
      <c r="Q276" s="2" t="s">
        <v>30</v>
      </c>
      <c r="R276" s="2" t="s">
        <v>42</v>
      </c>
      <c r="S276" s="3">
        <v>45863</v>
      </c>
      <c r="T276" s="6">
        <v>2</v>
      </c>
    </row>
    <row r="277" spans="1:20" x14ac:dyDescent="0.3">
      <c r="A277" s="2" t="s">
        <v>699</v>
      </c>
      <c r="B277" s="3">
        <v>45519</v>
      </c>
      <c r="C277" s="2" t="s">
        <v>700</v>
      </c>
      <c r="D277" s="2" t="s">
        <v>250</v>
      </c>
      <c r="E277" s="2" t="s">
        <v>23</v>
      </c>
      <c r="F277" s="2">
        <v>48</v>
      </c>
      <c r="G277" s="2" t="s">
        <v>154</v>
      </c>
      <c r="H277" s="2" t="s">
        <v>91</v>
      </c>
      <c r="I277" s="2" t="s">
        <v>47</v>
      </c>
      <c r="J277" s="2" t="s">
        <v>48</v>
      </c>
      <c r="K277" s="2" t="s">
        <v>39</v>
      </c>
      <c r="L277" s="2" t="s">
        <v>49</v>
      </c>
      <c r="M277" s="2">
        <v>3</v>
      </c>
      <c r="N277" s="2">
        <v>1137.1500000000001</v>
      </c>
      <c r="O277" s="2">
        <v>630</v>
      </c>
      <c r="P277" s="2">
        <v>5</v>
      </c>
      <c r="Q277" s="2" t="s">
        <v>50</v>
      </c>
      <c r="R277" s="2" t="s">
        <v>65</v>
      </c>
      <c r="S277" s="3" t="s">
        <v>1604</v>
      </c>
      <c r="T277" s="6" t="s">
        <v>1604</v>
      </c>
    </row>
    <row r="278" spans="1:20" x14ac:dyDescent="0.3">
      <c r="A278" s="2" t="s">
        <v>701</v>
      </c>
      <c r="B278" s="3">
        <v>45557</v>
      </c>
      <c r="C278" s="2" t="s">
        <v>75</v>
      </c>
      <c r="D278" s="2" t="s">
        <v>76</v>
      </c>
      <c r="E278" s="2" t="s">
        <v>77</v>
      </c>
      <c r="F278" s="2">
        <v>27</v>
      </c>
      <c r="G278" s="2" t="s">
        <v>161</v>
      </c>
      <c r="H278" s="2" t="s">
        <v>25</v>
      </c>
      <c r="I278" s="2" t="s">
        <v>54</v>
      </c>
      <c r="J278" s="2" t="s">
        <v>55</v>
      </c>
      <c r="K278" s="2" t="s">
        <v>28</v>
      </c>
      <c r="L278" s="2" t="s">
        <v>56</v>
      </c>
      <c r="M278" s="2">
        <v>2</v>
      </c>
      <c r="N278" s="2">
        <v>838.8</v>
      </c>
      <c r="O278" s="2">
        <v>820</v>
      </c>
      <c r="P278" s="2">
        <v>40</v>
      </c>
      <c r="Q278" s="2" t="s">
        <v>30</v>
      </c>
      <c r="R278" s="2" t="s">
        <v>42</v>
      </c>
      <c r="S278" s="3">
        <v>45564</v>
      </c>
      <c r="T278" s="6">
        <v>3</v>
      </c>
    </row>
    <row r="279" spans="1:20" x14ac:dyDescent="0.3">
      <c r="A279" s="2" t="s">
        <v>702</v>
      </c>
      <c r="B279" s="3">
        <v>45335</v>
      </c>
      <c r="C279" s="2" t="s">
        <v>146</v>
      </c>
      <c r="D279" s="2" t="s">
        <v>147</v>
      </c>
      <c r="E279" s="2" t="s">
        <v>23</v>
      </c>
      <c r="F279" s="2">
        <v>45</v>
      </c>
      <c r="G279" s="2" t="s">
        <v>24</v>
      </c>
      <c r="H279" s="2" t="s">
        <v>25</v>
      </c>
      <c r="I279" s="2" t="s">
        <v>319</v>
      </c>
      <c r="J279" s="2" t="s">
        <v>320</v>
      </c>
      <c r="K279" s="2" t="s">
        <v>28</v>
      </c>
      <c r="L279" s="2" t="s">
        <v>29</v>
      </c>
      <c r="M279" s="2">
        <v>5</v>
      </c>
      <c r="N279" s="2">
        <v>4196.5</v>
      </c>
      <c r="O279" s="2">
        <v>3550</v>
      </c>
      <c r="P279" s="2">
        <v>30</v>
      </c>
      <c r="Q279" s="2" t="s">
        <v>103</v>
      </c>
      <c r="R279" s="2" t="s">
        <v>42</v>
      </c>
      <c r="S279" s="3">
        <v>45337</v>
      </c>
      <c r="T279" s="6">
        <v>5</v>
      </c>
    </row>
    <row r="280" spans="1:20" x14ac:dyDescent="0.3">
      <c r="A280" s="2" t="s">
        <v>703</v>
      </c>
      <c r="B280" s="3">
        <v>45991</v>
      </c>
      <c r="C280" s="2" t="s">
        <v>704</v>
      </c>
      <c r="D280" s="2" t="s">
        <v>479</v>
      </c>
      <c r="E280" s="2" t="s">
        <v>23</v>
      </c>
      <c r="F280" s="2">
        <v>42</v>
      </c>
      <c r="G280" s="2" t="s">
        <v>78</v>
      </c>
      <c r="H280" s="2" t="s">
        <v>79</v>
      </c>
      <c r="I280" s="2" t="s">
        <v>245</v>
      </c>
      <c r="J280" s="2" t="s">
        <v>246</v>
      </c>
      <c r="K280" s="2" t="s">
        <v>130</v>
      </c>
      <c r="L280" s="2" t="s">
        <v>247</v>
      </c>
      <c r="M280" s="2">
        <v>2</v>
      </c>
      <c r="N280" s="2">
        <v>4498.2</v>
      </c>
      <c r="O280" s="2">
        <v>3740</v>
      </c>
      <c r="P280" s="2">
        <v>10</v>
      </c>
      <c r="Q280" s="2" t="s">
        <v>41</v>
      </c>
      <c r="R280" s="2" t="s">
        <v>42</v>
      </c>
      <c r="S280" s="3">
        <v>46000</v>
      </c>
      <c r="T280" s="6">
        <v>3</v>
      </c>
    </row>
    <row r="281" spans="1:20" x14ac:dyDescent="0.3">
      <c r="A281" s="2" t="s">
        <v>705</v>
      </c>
      <c r="B281" s="3">
        <v>45327</v>
      </c>
      <c r="C281" s="2" t="s">
        <v>706</v>
      </c>
      <c r="D281" s="2" t="s">
        <v>303</v>
      </c>
      <c r="E281" s="2" t="s">
        <v>77</v>
      </c>
      <c r="F281" s="2">
        <v>40</v>
      </c>
      <c r="G281" s="2" t="s">
        <v>35</v>
      </c>
      <c r="H281" s="2" t="s">
        <v>36</v>
      </c>
      <c r="I281" s="2" t="s">
        <v>37</v>
      </c>
      <c r="J281" s="2" t="s">
        <v>38</v>
      </c>
      <c r="K281" s="2" t="s">
        <v>39</v>
      </c>
      <c r="L281" s="2" t="s">
        <v>40</v>
      </c>
      <c r="M281" s="2">
        <v>4</v>
      </c>
      <c r="N281" s="2">
        <v>2157.6</v>
      </c>
      <c r="O281" s="2">
        <v>2080</v>
      </c>
      <c r="P281" s="2">
        <v>40</v>
      </c>
      <c r="Q281" s="2" t="s">
        <v>73</v>
      </c>
      <c r="R281" s="2" t="s">
        <v>42</v>
      </c>
      <c r="S281" s="3">
        <v>45333</v>
      </c>
      <c r="T281" s="6">
        <v>5</v>
      </c>
    </row>
    <row r="282" spans="1:20" x14ac:dyDescent="0.3">
      <c r="A282" s="2" t="s">
        <v>707</v>
      </c>
      <c r="B282" s="3">
        <v>45432</v>
      </c>
      <c r="C282" s="2" t="s">
        <v>535</v>
      </c>
      <c r="D282" s="2" t="s">
        <v>536</v>
      </c>
      <c r="E282" s="2" t="s">
        <v>77</v>
      </c>
      <c r="F282" s="2">
        <v>75</v>
      </c>
      <c r="G282" s="2" t="s">
        <v>154</v>
      </c>
      <c r="H282" s="2" t="s">
        <v>91</v>
      </c>
      <c r="I282" s="2" t="s">
        <v>92</v>
      </c>
      <c r="J282" s="2" t="s">
        <v>93</v>
      </c>
      <c r="K282" s="2" t="s">
        <v>87</v>
      </c>
      <c r="L282" s="2" t="s">
        <v>94</v>
      </c>
      <c r="M282" s="2">
        <v>5</v>
      </c>
      <c r="N282" s="2">
        <v>6795.75</v>
      </c>
      <c r="O282" s="2">
        <v>4650</v>
      </c>
      <c r="P282" s="2">
        <v>15</v>
      </c>
      <c r="Q282" s="2" t="s">
        <v>50</v>
      </c>
      <c r="R282" s="2" t="s">
        <v>57</v>
      </c>
      <c r="S282" s="3">
        <v>45434</v>
      </c>
      <c r="T282" s="6">
        <v>5</v>
      </c>
    </row>
    <row r="283" spans="1:20" x14ac:dyDescent="0.3">
      <c r="A283" s="2" t="s">
        <v>708</v>
      </c>
      <c r="B283" s="3">
        <v>46022</v>
      </c>
      <c r="C283" s="2" t="s">
        <v>709</v>
      </c>
      <c r="D283" s="2" t="s">
        <v>399</v>
      </c>
      <c r="E283" s="2" t="s">
        <v>77</v>
      </c>
      <c r="F283" s="2">
        <v>29</v>
      </c>
      <c r="G283" s="2" t="s">
        <v>101</v>
      </c>
      <c r="H283" s="2" t="s">
        <v>102</v>
      </c>
      <c r="I283" s="2" t="s">
        <v>222</v>
      </c>
      <c r="J283" s="2" t="s">
        <v>223</v>
      </c>
      <c r="K283" s="2" t="s">
        <v>114</v>
      </c>
      <c r="L283" s="2" t="s">
        <v>115</v>
      </c>
      <c r="M283" s="2">
        <v>4</v>
      </c>
      <c r="N283" s="2">
        <v>2697</v>
      </c>
      <c r="O283" s="2">
        <v>2040</v>
      </c>
      <c r="P283" s="2">
        <v>25</v>
      </c>
      <c r="Q283" s="2" t="s">
        <v>50</v>
      </c>
      <c r="R283" s="2" t="s">
        <v>65</v>
      </c>
      <c r="S283" s="3" t="s">
        <v>1604</v>
      </c>
      <c r="T283" s="6" t="s">
        <v>1604</v>
      </c>
    </row>
    <row r="284" spans="1:20" x14ac:dyDescent="0.3">
      <c r="A284" s="2" t="s">
        <v>710</v>
      </c>
      <c r="B284" s="3">
        <v>45621</v>
      </c>
      <c r="C284" s="2" t="s">
        <v>711</v>
      </c>
      <c r="D284" s="2" t="s">
        <v>712</v>
      </c>
      <c r="E284" s="2" t="s">
        <v>77</v>
      </c>
      <c r="F284" s="2">
        <v>58</v>
      </c>
      <c r="G284" s="2" t="s">
        <v>207</v>
      </c>
      <c r="H284" s="2" t="s">
        <v>36</v>
      </c>
      <c r="I284" s="2" t="s">
        <v>319</v>
      </c>
      <c r="J284" s="2" t="s">
        <v>320</v>
      </c>
      <c r="K284" s="2" t="s">
        <v>28</v>
      </c>
      <c r="L284" s="2" t="s">
        <v>29</v>
      </c>
      <c r="M284" s="2">
        <v>1</v>
      </c>
      <c r="N284" s="2">
        <v>899.25</v>
      </c>
      <c r="O284" s="2">
        <v>710</v>
      </c>
      <c r="P284" s="2">
        <v>25</v>
      </c>
      <c r="Q284" s="2" t="s">
        <v>50</v>
      </c>
      <c r="R284" s="2" t="s">
        <v>42</v>
      </c>
      <c r="S284" s="3">
        <v>45623</v>
      </c>
      <c r="T284" s="6">
        <v>4</v>
      </c>
    </row>
    <row r="285" spans="1:20" x14ac:dyDescent="0.3">
      <c r="A285" s="2" t="s">
        <v>713</v>
      </c>
      <c r="B285" s="3">
        <v>45351</v>
      </c>
      <c r="C285" s="2" t="s">
        <v>677</v>
      </c>
      <c r="D285" s="2" t="s">
        <v>678</v>
      </c>
      <c r="E285" s="2" t="s">
        <v>77</v>
      </c>
      <c r="F285" s="2">
        <v>34</v>
      </c>
      <c r="G285" s="2" t="s">
        <v>211</v>
      </c>
      <c r="H285" s="2" t="s">
        <v>127</v>
      </c>
      <c r="I285" s="2" t="s">
        <v>198</v>
      </c>
      <c r="J285" s="2" t="s">
        <v>199</v>
      </c>
      <c r="K285" s="2" t="s">
        <v>114</v>
      </c>
      <c r="L285" s="2" t="s">
        <v>200</v>
      </c>
      <c r="M285" s="2">
        <v>2</v>
      </c>
      <c r="N285" s="2">
        <v>2338.1999999999998</v>
      </c>
      <c r="O285" s="2">
        <v>1520</v>
      </c>
      <c r="P285" s="2">
        <v>10</v>
      </c>
      <c r="Q285" s="2" t="s">
        <v>73</v>
      </c>
      <c r="R285" s="2" t="s">
        <v>42</v>
      </c>
      <c r="S285" s="3">
        <v>45363</v>
      </c>
      <c r="T285" s="6">
        <v>4</v>
      </c>
    </row>
    <row r="286" spans="1:20" x14ac:dyDescent="0.3">
      <c r="A286" s="2" t="s">
        <v>714</v>
      </c>
      <c r="B286" s="3">
        <v>45564</v>
      </c>
      <c r="C286" s="2" t="s">
        <v>640</v>
      </c>
      <c r="D286" s="2" t="s">
        <v>349</v>
      </c>
      <c r="E286" s="2" t="s">
        <v>23</v>
      </c>
      <c r="F286" s="2">
        <v>42</v>
      </c>
      <c r="G286" s="2" t="s">
        <v>24</v>
      </c>
      <c r="H286" s="2" t="s">
        <v>25</v>
      </c>
      <c r="I286" s="2" t="s">
        <v>304</v>
      </c>
      <c r="J286" s="2" t="s">
        <v>305</v>
      </c>
      <c r="K286" s="2" t="s">
        <v>28</v>
      </c>
      <c r="L286" s="2" t="s">
        <v>231</v>
      </c>
      <c r="M286" s="2">
        <v>5</v>
      </c>
      <c r="N286" s="2">
        <v>6296.5</v>
      </c>
      <c r="O286" s="2">
        <v>5400</v>
      </c>
      <c r="P286" s="2">
        <v>30</v>
      </c>
      <c r="Q286" s="2" t="s">
        <v>41</v>
      </c>
      <c r="R286" s="2" t="s">
        <v>57</v>
      </c>
      <c r="S286" s="3">
        <v>45568</v>
      </c>
      <c r="T286" s="6">
        <v>3</v>
      </c>
    </row>
    <row r="287" spans="1:20" x14ac:dyDescent="0.3">
      <c r="A287" s="2" t="s">
        <v>715</v>
      </c>
      <c r="B287" s="3">
        <v>45534</v>
      </c>
      <c r="C287" s="2" t="s">
        <v>716</v>
      </c>
      <c r="D287" s="2" t="s">
        <v>717</v>
      </c>
      <c r="E287" s="2" t="s">
        <v>77</v>
      </c>
      <c r="F287" s="2">
        <v>35</v>
      </c>
      <c r="G287" s="2" t="s">
        <v>211</v>
      </c>
      <c r="H287" s="2" t="s">
        <v>127</v>
      </c>
      <c r="I287" s="2" t="s">
        <v>198</v>
      </c>
      <c r="J287" s="2" t="s">
        <v>199</v>
      </c>
      <c r="K287" s="2" t="s">
        <v>114</v>
      </c>
      <c r="L287" s="2" t="s">
        <v>200</v>
      </c>
      <c r="M287" s="2">
        <v>1</v>
      </c>
      <c r="N287" s="2">
        <v>974.25</v>
      </c>
      <c r="O287" s="2">
        <v>760</v>
      </c>
      <c r="P287" s="2">
        <v>25</v>
      </c>
      <c r="Q287" s="2" t="s">
        <v>50</v>
      </c>
      <c r="R287" s="2" t="s">
        <v>65</v>
      </c>
      <c r="S287" s="3" t="s">
        <v>1604</v>
      </c>
      <c r="T287" s="6" t="s">
        <v>1604</v>
      </c>
    </row>
    <row r="288" spans="1:20" x14ac:dyDescent="0.3">
      <c r="A288" s="2" t="s">
        <v>718</v>
      </c>
      <c r="B288" s="3">
        <v>45437</v>
      </c>
      <c r="C288" s="2" t="s">
        <v>574</v>
      </c>
      <c r="D288" s="2" t="s">
        <v>442</v>
      </c>
      <c r="E288" s="2" t="s">
        <v>77</v>
      </c>
      <c r="F288" s="2">
        <v>53</v>
      </c>
      <c r="G288" s="2" t="s">
        <v>154</v>
      </c>
      <c r="H288" s="2" t="s">
        <v>91</v>
      </c>
      <c r="I288" s="2" t="s">
        <v>37</v>
      </c>
      <c r="J288" s="2" t="s">
        <v>38</v>
      </c>
      <c r="K288" s="2" t="s">
        <v>39</v>
      </c>
      <c r="L288" s="2" t="s">
        <v>40</v>
      </c>
      <c r="M288" s="2">
        <v>5</v>
      </c>
      <c r="N288" s="2">
        <v>3596</v>
      </c>
      <c r="O288" s="2">
        <v>2600</v>
      </c>
      <c r="P288" s="2">
        <v>20</v>
      </c>
      <c r="Q288" s="2" t="s">
        <v>30</v>
      </c>
      <c r="R288" s="2" t="s">
        <v>42</v>
      </c>
      <c r="S288" s="3">
        <v>45439</v>
      </c>
      <c r="T288" s="6">
        <v>3</v>
      </c>
    </row>
    <row r="289" spans="1:20" x14ac:dyDescent="0.3">
      <c r="A289" s="2" t="s">
        <v>719</v>
      </c>
      <c r="B289" s="3">
        <v>45349</v>
      </c>
      <c r="C289" s="2" t="s">
        <v>168</v>
      </c>
      <c r="D289" s="2" t="s">
        <v>169</v>
      </c>
      <c r="E289" s="2" t="s">
        <v>23</v>
      </c>
      <c r="F289" s="2">
        <v>43</v>
      </c>
      <c r="G289" s="2" t="s">
        <v>1604</v>
      </c>
      <c r="H289" s="2" t="s">
        <v>91</v>
      </c>
      <c r="I289" s="2" t="s">
        <v>80</v>
      </c>
      <c r="J289" s="2" t="s">
        <v>81</v>
      </c>
      <c r="K289" s="2" t="s">
        <v>28</v>
      </c>
      <c r="L289" s="2" t="s">
        <v>29</v>
      </c>
      <c r="M289" s="2">
        <v>5</v>
      </c>
      <c r="N289" s="2">
        <v>2397</v>
      </c>
      <c r="O289" s="2">
        <v>2350</v>
      </c>
      <c r="P289" s="2">
        <v>40</v>
      </c>
      <c r="Q289" s="2" t="s">
        <v>73</v>
      </c>
      <c r="R289" s="2" t="s">
        <v>42</v>
      </c>
      <c r="S289" s="3">
        <v>45360</v>
      </c>
      <c r="T289" s="6">
        <v>4</v>
      </c>
    </row>
    <row r="290" spans="1:20" x14ac:dyDescent="0.3">
      <c r="A290" s="2" t="s">
        <v>720</v>
      </c>
      <c r="B290" s="3">
        <v>45425</v>
      </c>
      <c r="C290" s="2" t="s">
        <v>450</v>
      </c>
      <c r="D290" s="2" t="s">
        <v>451</v>
      </c>
      <c r="E290" s="2" t="s">
        <v>77</v>
      </c>
      <c r="F290" s="2">
        <v>30</v>
      </c>
      <c r="G290" s="2" t="s">
        <v>78</v>
      </c>
      <c r="H290" s="2" t="s">
        <v>79</v>
      </c>
      <c r="I290" s="2" t="s">
        <v>183</v>
      </c>
      <c r="J290" s="2" t="s">
        <v>184</v>
      </c>
      <c r="K290" s="2" t="s">
        <v>130</v>
      </c>
      <c r="L290" s="2" t="s">
        <v>185</v>
      </c>
      <c r="M290" s="2">
        <v>1</v>
      </c>
      <c r="N290" s="2">
        <v>3999</v>
      </c>
      <c r="O290" s="2">
        <v>3050</v>
      </c>
      <c r="P290" s="2">
        <v>0</v>
      </c>
      <c r="Q290" s="2" t="s">
        <v>30</v>
      </c>
      <c r="R290" s="2" t="s">
        <v>65</v>
      </c>
      <c r="S290" s="3" t="s">
        <v>1604</v>
      </c>
      <c r="T290" s="6" t="s">
        <v>1604</v>
      </c>
    </row>
    <row r="291" spans="1:20" x14ac:dyDescent="0.3">
      <c r="A291" s="2" t="s">
        <v>721</v>
      </c>
      <c r="B291" s="3">
        <v>46013</v>
      </c>
      <c r="C291" s="2" t="s">
        <v>291</v>
      </c>
      <c r="D291" s="2" t="s">
        <v>292</v>
      </c>
      <c r="E291" s="2" t="s">
        <v>77</v>
      </c>
      <c r="F291" s="2">
        <v>46</v>
      </c>
      <c r="G291" s="2" t="s">
        <v>69</v>
      </c>
      <c r="H291" s="2" t="s">
        <v>69</v>
      </c>
      <c r="I291" s="2" t="s">
        <v>112</v>
      </c>
      <c r="J291" s="2" t="s">
        <v>113</v>
      </c>
      <c r="K291" s="2" t="s">
        <v>114</v>
      </c>
      <c r="L291" s="2" t="s">
        <v>115</v>
      </c>
      <c r="M291" s="2">
        <v>3</v>
      </c>
      <c r="N291" s="2">
        <v>1992.15</v>
      </c>
      <c r="O291" s="2">
        <v>1110</v>
      </c>
      <c r="P291" s="2">
        <v>5</v>
      </c>
      <c r="Q291" s="2" t="s">
        <v>41</v>
      </c>
      <c r="R291" s="2" t="s">
        <v>31</v>
      </c>
      <c r="S291" s="3">
        <v>46025</v>
      </c>
      <c r="T291" s="6">
        <v>5</v>
      </c>
    </row>
    <row r="292" spans="1:20" x14ac:dyDescent="0.3">
      <c r="A292" s="2" t="s">
        <v>722</v>
      </c>
      <c r="B292" s="3">
        <v>45892</v>
      </c>
      <c r="C292" s="2" t="s">
        <v>723</v>
      </c>
      <c r="D292" s="2" t="s">
        <v>724</v>
      </c>
      <c r="E292" s="2" t="s">
        <v>77</v>
      </c>
      <c r="F292" s="2">
        <v>35</v>
      </c>
      <c r="G292" s="2" t="s">
        <v>126</v>
      </c>
      <c r="H292" s="2" t="s">
        <v>127</v>
      </c>
      <c r="I292" s="2" t="s">
        <v>143</v>
      </c>
      <c r="J292" s="2" t="s">
        <v>144</v>
      </c>
      <c r="K292" s="2" t="s">
        <v>130</v>
      </c>
      <c r="L292" s="2" t="s">
        <v>131</v>
      </c>
      <c r="M292" s="2">
        <v>3</v>
      </c>
      <c r="N292" s="2">
        <v>14847.3</v>
      </c>
      <c r="O292" s="2">
        <v>12900</v>
      </c>
      <c r="P292" s="2">
        <v>10</v>
      </c>
      <c r="Q292" s="2" t="s">
        <v>30</v>
      </c>
      <c r="R292" s="2" t="s">
        <v>31</v>
      </c>
      <c r="S292" s="3">
        <v>45900</v>
      </c>
      <c r="T292" s="6">
        <v>5</v>
      </c>
    </row>
    <row r="293" spans="1:20" x14ac:dyDescent="0.3">
      <c r="A293" s="2" t="s">
        <v>725</v>
      </c>
      <c r="B293" s="3">
        <v>45956</v>
      </c>
      <c r="C293" s="2" t="s">
        <v>716</v>
      </c>
      <c r="D293" s="2" t="s">
        <v>717</v>
      </c>
      <c r="E293" s="2" t="s">
        <v>77</v>
      </c>
      <c r="F293" s="2">
        <v>35</v>
      </c>
      <c r="G293" s="2" t="s">
        <v>78</v>
      </c>
      <c r="H293" s="2" t="s">
        <v>79</v>
      </c>
      <c r="I293" s="2" t="s">
        <v>85</v>
      </c>
      <c r="J293" s="2" t="s">
        <v>86</v>
      </c>
      <c r="K293" s="2" t="s">
        <v>87</v>
      </c>
      <c r="L293" s="2" t="s">
        <v>88</v>
      </c>
      <c r="M293" s="2">
        <v>5</v>
      </c>
      <c r="N293" s="2">
        <v>5246.25</v>
      </c>
      <c r="O293" s="2">
        <v>3950</v>
      </c>
      <c r="P293" s="2">
        <v>25</v>
      </c>
      <c r="Q293" s="2" t="s">
        <v>30</v>
      </c>
      <c r="R293" s="2" t="s">
        <v>31</v>
      </c>
      <c r="S293" s="3">
        <v>45967</v>
      </c>
      <c r="T293" s="6">
        <v>3</v>
      </c>
    </row>
    <row r="294" spans="1:20" x14ac:dyDescent="0.3">
      <c r="A294" s="2" t="s">
        <v>726</v>
      </c>
      <c r="B294" s="3">
        <v>45679</v>
      </c>
      <c r="C294" s="2" t="s">
        <v>302</v>
      </c>
      <c r="D294" s="2" t="s">
        <v>303</v>
      </c>
      <c r="E294" s="2" t="s">
        <v>77</v>
      </c>
      <c r="F294" s="2">
        <v>24</v>
      </c>
      <c r="G294" s="2" t="s">
        <v>35</v>
      </c>
      <c r="H294" s="2" t="s">
        <v>36</v>
      </c>
      <c r="I294" s="2" t="s">
        <v>252</v>
      </c>
      <c r="J294" s="2" t="s">
        <v>253</v>
      </c>
      <c r="K294" s="2" t="s">
        <v>28</v>
      </c>
      <c r="L294" s="2" t="s">
        <v>254</v>
      </c>
      <c r="M294" s="2">
        <v>2</v>
      </c>
      <c r="N294" s="2">
        <v>5998</v>
      </c>
      <c r="O294" s="2">
        <v>3800</v>
      </c>
      <c r="P294" s="2">
        <v>0</v>
      </c>
      <c r="Q294" s="2" t="s">
        <v>50</v>
      </c>
      <c r="R294" s="2" t="s">
        <v>42</v>
      </c>
      <c r="S294" s="3">
        <v>45690</v>
      </c>
      <c r="T294" s="6">
        <v>2</v>
      </c>
    </row>
    <row r="295" spans="1:20" x14ac:dyDescent="0.3">
      <c r="A295" s="2" t="s">
        <v>727</v>
      </c>
      <c r="B295" s="3">
        <v>45478</v>
      </c>
      <c r="C295" s="2" t="s">
        <v>716</v>
      </c>
      <c r="D295" s="2" t="s">
        <v>717</v>
      </c>
      <c r="E295" s="2" t="s">
        <v>77</v>
      </c>
      <c r="F295" s="2">
        <v>35</v>
      </c>
      <c r="G295" s="2" t="s">
        <v>90</v>
      </c>
      <c r="H295" s="2" t="s">
        <v>91</v>
      </c>
      <c r="I295" s="2" t="s">
        <v>92</v>
      </c>
      <c r="J295" s="2" t="s">
        <v>93</v>
      </c>
      <c r="K295" s="2" t="s">
        <v>87</v>
      </c>
      <c r="L295" s="2" t="s">
        <v>94</v>
      </c>
      <c r="M295" s="2">
        <v>5</v>
      </c>
      <c r="N295" s="2">
        <v>7595.25</v>
      </c>
      <c r="O295" s="2">
        <v>4650</v>
      </c>
      <c r="P295" s="2">
        <v>5</v>
      </c>
      <c r="Q295" s="2" t="s">
        <v>103</v>
      </c>
      <c r="R295" s="2" t="s">
        <v>42</v>
      </c>
      <c r="S295" s="3">
        <v>45485</v>
      </c>
      <c r="T295" s="6">
        <v>3</v>
      </c>
    </row>
    <row r="296" spans="1:20" x14ac:dyDescent="0.3">
      <c r="A296" s="2" t="s">
        <v>728</v>
      </c>
      <c r="B296" s="3">
        <v>45535</v>
      </c>
      <c r="C296" s="2" t="s">
        <v>729</v>
      </c>
      <c r="D296" s="2" t="s">
        <v>276</v>
      </c>
      <c r="E296" s="2" t="s">
        <v>77</v>
      </c>
      <c r="F296" s="2">
        <v>25</v>
      </c>
      <c r="G296" s="2" t="s">
        <v>126</v>
      </c>
      <c r="H296" s="2" t="s">
        <v>127</v>
      </c>
      <c r="I296" s="2" t="s">
        <v>319</v>
      </c>
      <c r="J296" s="2" t="s">
        <v>320</v>
      </c>
      <c r="K296" s="2" t="s">
        <v>28</v>
      </c>
      <c r="L296" s="2" t="s">
        <v>29</v>
      </c>
      <c r="M296" s="2">
        <v>1</v>
      </c>
      <c r="N296" s="2">
        <v>899.25</v>
      </c>
      <c r="O296" s="2">
        <v>710</v>
      </c>
      <c r="P296" s="2">
        <v>25</v>
      </c>
      <c r="Q296" s="2" t="s">
        <v>103</v>
      </c>
      <c r="R296" s="2" t="s">
        <v>42</v>
      </c>
      <c r="S296" s="3">
        <v>45541</v>
      </c>
      <c r="T296" s="6">
        <v>4</v>
      </c>
    </row>
    <row r="297" spans="1:20" x14ac:dyDescent="0.3">
      <c r="A297" s="2" t="s">
        <v>730</v>
      </c>
      <c r="B297" s="3">
        <v>45547</v>
      </c>
      <c r="C297" s="2" t="s">
        <v>394</v>
      </c>
      <c r="D297" s="2" t="s">
        <v>395</v>
      </c>
      <c r="E297" s="2" t="s">
        <v>77</v>
      </c>
      <c r="F297" s="2">
        <v>35</v>
      </c>
      <c r="G297" s="2" t="s">
        <v>211</v>
      </c>
      <c r="H297" s="2" t="s">
        <v>127</v>
      </c>
      <c r="I297" s="2" t="s">
        <v>128</v>
      </c>
      <c r="J297" s="2" t="s">
        <v>129</v>
      </c>
      <c r="K297" s="2" t="s">
        <v>130</v>
      </c>
      <c r="L297" s="2" t="s">
        <v>131</v>
      </c>
      <c r="M297" s="2">
        <v>1</v>
      </c>
      <c r="N297" s="2">
        <v>6499</v>
      </c>
      <c r="O297" s="2">
        <v>5100</v>
      </c>
      <c r="P297" s="2">
        <v>0</v>
      </c>
      <c r="Q297" s="2" t="s">
        <v>73</v>
      </c>
      <c r="R297" s="2" t="s">
        <v>42</v>
      </c>
      <c r="S297" s="3">
        <v>45556</v>
      </c>
      <c r="T297" s="6">
        <v>5</v>
      </c>
    </row>
    <row r="298" spans="1:20" x14ac:dyDescent="0.3">
      <c r="A298" s="2" t="s">
        <v>731</v>
      </c>
      <c r="B298" s="3">
        <v>45462</v>
      </c>
      <c r="C298" s="2" t="s">
        <v>732</v>
      </c>
      <c r="D298" s="2" t="s">
        <v>733</v>
      </c>
      <c r="E298" s="2" t="s">
        <v>77</v>
      </c>
      <c r="F298" s="2">
        <v>33</v>
      </c>
      <c r="G298" s="2" t="s">
        <v>101</v>
      </c>
      <c r="H298" s="2" t="s">
        <v>102</v>
      </c>
      <c r="I298" s="2" t="s">
        <v>47</v>
      </c>
      <c r="J298" s="2" t="s">
        <v>48</v>
      </c>
      <c r="K298" s="2" t="s">
        <v>39</v>
      </c>
      <c r="L298" s="2" t="s">
        <v>49</v>
      </c>
      <c r="M298" s="2">
        <v>3</v>
      </c>
      <c r="N298" s="2">
        <v>837.9</v>
      </c>
      <c r="O298" s="2">
        <v>630</v>
      </c>
      <c r="P298" s="2">
        <v>30</v>
      </c>
      <c r="Q298" s="2" t="s">
        <v>73</v>
      </c>
      <c r="R298" s="2" t="s">
        <v>57</v>
      </c>
      <c r="S298" s="3">
        <v>45471</v>
      </c>
      <c r="T298" s="6">
        <v>4</v>
      </c>
    </row>
    <row r="299" spans="1:20" x14ac:dyDescent="0.3">
      <c r="A299" s="2" t="s">
        <v>734</v>
      </c>
      <c r="B299" s="3">
        <v>45458</v>
      </c>
      <c r="C299" s="2" t="s">
        <v>275</v>
      </c>
      <c r="D299" s="2" t="s">
        <v>276</v>
      </c>
      <c r="E299" s="2" t="s">
        <v>77</v>
      </c>
      <c r="F299" s="2">
        <v>43</v>
      </c>
      <c r="G299" s="2" t="s">
        <v>46</v>
      </c>
      <c r="H299" s="2" t="s">
        <v>25</v>
      </c>
      <c r="I299" s="2" t="s">
        <v>26</v>
      </c>
      <c r="J299" s="2" t="s">
        <v>27</v>
      </c>
      <c r="K299" s="2" t="s">
        <v>28</v>
      </c>
      <c r="L299" s="2" t="s">
        <v>29</v>
      </c>
      <c r="M299" s="2">
        <v>3</v>
      </c>
      <c r="N299" s="2">
        <v>3897</v>
      </c>
      <c r="O299" s="2">
        <v>2370</v>
      </c>
      <c r="P299" s="2">
        <v>0</v>
      </c>
      <c r="Q299" s="2" t="s">
        <v>41</v>
      </c>
      <c r="R299" s="2" t="s">
        <v>42</v>
      </c>
      <c r="S299" s="3">
        <v>45461</v>
      </c>
      <c r="T299" s="6">
        <v>3</v>
      </c>
    </row>
    <row r="300" spans="1:20" x14ac:dyDescent="0.3">
      <c r="A300" s="2" t="s">
        <v>735</v>
      </c>
      <c r="B300" s="3">
        <v>45642</v>
      </c>
      <c r="C300" s="2" t="s">
        <v>736</v>
      </c>
      <c r="D300" s="2" t="s">
        <v>737</v>
      </c>
      <c r="E300" s="2" t="s">
        <v>77</v>
      </c>
      <c r="F300" s="2">
        <v>21</v>
      </c>
      <c r="G300" s="2" t="s">
        <v>165</v>
      </c>
      <c r="H300" s="2" t="s">
        <v>166</v>
      </c>
      <c r="I300" s="2" t="s">
        <v>319</v>
      </c>
      <c r="J300" s="2" t="s">
        <v>320</v>
      </c>
      <c r="K300" s="2" t="s">
        <v>28</v>
      </c>
      <c r="L300" s="2" t="s">
        <v>29</v>
      </c>
      <c r="M300" s="2">
        <v>1</v>
      </c>
      <c r="N300" s="2">
        <v>1139.05</v>
      </c>
      <c r="O300" s="2">
        <v>710</v>
      </c>
      <c r="P300" s="2">
        <v>5</v>
      </c>
      <c r="Q300" s="2" t="s">
        <v>41</v>
      </c>
      <c r="R300" s="2" t="s">
        <v>65</v>
      </c>
      <c r="S300" s="3" t="s">
        <v>1604</v>
      </c>
      <c r="T300" s="6" t="s">
        <v>1604</v>
      </c>
    </row>
    <row r="301" spans="1:20" x14ac:dyDescent="0.3">
      <c r="A301" s="2" t="s">
        <v>738</v>
      </c>
      <c r="B301" s="3">
        <v>45920</v>
      </c>
      <c r="C301" s="2" t="s">
        <v>739</v>
      </c>
      <c r="D301" s="2" t="s">
        <v>740</v>
      </c>
      <c r="E301" s="2" t="s">
        <v>23</v>
      </c>
      <c r="F301" s="2">
        <v>33</v>
      </c>
      <c r="G301" s="2" t="s">
        <v>161</v>
      </c>
      <c r="H301" s="2" t="s">
        <v>25</v>
      </c>
      <c r="I301" s="2" t="s">
        <v>134</v>
      </c>
      <c r="J301" s="2" t="s">
        <v>135</v>
      </c>
      <c r="K301" s="2" t="s">
        <v>39</v>
      </c>
      <c r="L301" s="2" t="s">
        <v>136</v>
      </c>
      <c r="M301" s="2">
        <v>2</v>
      </c>
      <c r="N301" s="2">
        <v>278.60000000000002</v>
      </c>
      <c r="O301" s="2">
        <v>180</v>
      </c>
      <c r="P301" s="2">
        <v>30</v>
      </c>
      <c r="Q301" s="2" t="s">
        <v>30</v>
      </c>
      <c r="R301" s="2" t="s">
        <v>42</v>
      </c>
      <c r="S301" s="3">
        <v>45923</v>
      </c>
      <c r="T301" s="6">
        <v>4</v>
      </c>
    </row>
    <row r="302" spans="1:20" x14ac:dyDescent="0.3">
      <c r="A302" s="2" t="s">
        <v>741</v>
      </c>
      <c r="B302" s="3">
        <v>45502</v>
      </c>
      <c r="C302" s="2" t="s">
        <v>742</v>
      </c>
      <c r="D302" s="2" t="s">
        <v>743</v>
      </c>
      <c r="E302" s="2" t="s">
        <v>23</v>
      </c>
      <c r="F302" s="2">
        <v>49</v>
      </c>
      <c r="G302" s="2" t="s">
        <v>122</v>
      </c>
      <c r="H302" s="2" t="s">
        <v>123</v>
      </c>
      <c r="I302" s="2" t="s">
        <v>85</v>
      </c>
      <c r="J302" s="2" t="s">
        <v>86</v>
      </c>
      <c r="K302" s="2" t="s">
        <v>87</v>
      </c>
      <c r="L302" s="2" t="s">
        <v>88</v>
      </c>
      <c r="M302" s="2">
        <v>5</v>
      </c>
      <c r="N302" s="2">
        <v>5596</v>
      </c>
      <c r="O302" s="2">
        <v>3950</v>
      </c>
      <c r="P302" s="2">
        <v>20</v>
      </c>
      <c r="Q302" s="2" t="s">
        <v>41</v>
      </c>
      <c r="R302" s="2" t="s">
        <v>42</v>
      </c>
      <c r="S302" s="3">
        <v>45507</v>
      </c>
      <c r="T302" s="6">
        <v>3</v>
      </c>
    </row>
    <row r="303" spans="1:20" x14ac:dyDescent="0.3">
      <c r="A303" s="2" t="s">
        <v>744</v>
      </c>
      <c r="B303" s="3">
        <v>45342</v>
      </c>
      <c r="C303" s="2" t="s">
        <v>745</v>
      </c>
      <c r="D303" s="2" t="s">
        <v>250</v>
      </c>
      <c r="E303" s="2" t="s">
        <v>23</v>
      </c>
      <c r="F303" s="2">
        <v>18</v>
      </c>
      <c r="G303" s="2" t="s">
        <v>101</v>
      </c>
      <c r="H303" s="2" t="s">
        <v>102</v>
      </c>
      <c r="I303" s="2" t="s">
        <v>252</v>
      </c>
      <c r="J303" s="2" t="s">
        <v>253</v>
      </c>
      <c r="K303" s="2" t="s">
        <v>28</v>
      </c>
      <c r="L303" s="2" t="s">
        <v>254</v>
      </c>
      <c r="M303" s="2">
        <v>1</v>
      </c>
      <c r="N303" s="2">
        <v>2249.25</v>
      </c>
      <c r="O303" s="2">
        <v>1900</v>
      </c>
      <c r="P303" s="2">
        <v>25</v>
      </c>
      <c r="Q303" s="2" t="s">
        <v>73</v>
      </c>
      <c r="R303" s="2" t="s">
        <v>42</v>
      </c>
      <c r="S303" s="3">
        <v>45345</v>
      </c>
      <c r="T303" s="6">
        <v>4</v>
      </c>
    </row>
    <row r="304" spans="1:20" x14ac:dyDescent="0.3">
      <c r="A304" s="2" t="s">
        <v>746</v>
      </c>
      <c r="B304" s="3">
        <v>45969</v>
      </c>
      <c r="C304" s="2" t="s">
        <v>431</v>
      </c>
      <c r="D304" s="2" t="s">
        <v>432</v>
      </c>
      <c r="E304" s="2" t="s">
        <v>77</v>
      </c>
      <c r="F304" s="2">
        <v>19</v>
      </c>
      <c r="G304" s="2" t="s">
        <v>154</v>
      </c>
      <c r="H304" s="2" t="s">
        <v>91</v>
      </c>
      <c r="I304" s="2" t="s">
        <v>229</v>
      </c>
      <c r="J304" s="2" t="s">
        <v>230</v>
      </c>
      <c r="K304" s="2" t="s">
        <v>28</v>
      </c>
      <c r="L304" s="2" t="s">
        <v>231</v>
      </c>
      <c r="M304" s="2">
        <v>1</v>
      </c>
      <c r="N304" s="2">
        <v>1699.15</v>
      </c>
      <c r="O304" s="2">
        <v>1230</v>
      </c>
      <c r="P304" s="2">
        <v>15</v>
      </c>
      <c r="Q304" s="2" t="s">
        <v>30</v>
      </c>
      <c r="R304" s="2" t="s">
        <v>31</v>
      </c>
      <c r="S304" s="3">
        <v>45975</v>
      </c>
      <c r="T304" s="6">
        <v>3</v>
      </c>
    </row>
    <row r="305" spans="1:20" x14ac:dyDescent="0.3">
      <c r="A305" s="2" t="s">
        <v>747</v>
      </c>
      <c r="B305" s="3">
        <v>45776</v>
      </c>
      <c r="C305" s="2" t="s">
        <v>674</v>
      </c>
      <c r="D305" s="2" t="s">
        <v>675</v>
      </c>
      <c r="E305" s="2" t="s">
        <v>23</v>
      </c>
      <c r="F305" s="2">
        <v>51</v>
      </c>
      <c r="G305" s="2" t="s">
        <v>35</v>
      </c>
      <c r="H305" s="2" t="s">
        <v>36</v>
      </c>
      <c r="I305" s="2" t="s">
        <v>47</v>
      </c>
      <c r="J305" s="2" t="s">
        <v>48</v>
      </c>
      <c r="K305" s="2" t="s">
        <v>39</v>
      </c>
      <c r="L305" s="2" t="s">
        <v>49</v>
      </c>
      <c r="M305" s="2">
        <v>4</v>
      </c>
      <c r="N305" s="2">
        <v>957.6</v>
      </c>
      <c r="O305" s="2">
        <v>840</v>
      </c>
      <c r="P305" s="2">
        <v>40</v>
      </c>
      <c r="Q305" s="2" t="s">
        <v>41</v>
      </c>
      <c r="R305" s="2" t="s">
        <v>42</v>
      </c>
      <c r="S305" s="3">
        <v>45788</v>
      </c>
      <c r="T305" s="6">
        <v>5</v>
      </c>
    </row>
    <row r="306" spans="1:20" x14ac:dyDescent="0.3">
      <c r="A306" s="2" t="s">
        <v>748</v>
      </c>
      <c r="B306" s="3">
        <v>45481</v>
      </c>
      <c r="C306" s="2" t="s">
        <v>294</v>
      </c>
      <c r="D306" s="2" t="s">
        <v>295</v>
      </c>
      <c r="E306" s="2" t="s">
        <v>77</v>
      </c>
      <c r="F306" s="2">
        <v>31</v>
      </c>
      <c r="G306" s="2" t="s">
        <v>165</v>
      </c>
      <c r="H306" s="2" t="s">
        <v>166</v>
      </c>
      <c r="I306" s="2" t="s">
        <v>245</v>
      </c>
      <c r="J306" s="2" t="s">
        <v>246</v>
      </c>
      <c r="K306" s="2" t="s">
        <v>130</v>
      </c>
      <c r="L306" s="2" t="s">
        <v>247</v>
      </c>
      <c r="M306" s="2">
        <v>2</v>
      </c>
      <c r="N306" s="2">
        <v>2998.8</v>
      </c>
      <c r="O306" s="2">
        <v>3740</v>
      </c>
      <c r="P306" s="2">
        <v>40</v>
      </c>
      <c r="Q306" s="2" t="s">
        <v>73</v>
      </c>
      <c r="R306" s="2" t="s">
        <v>42</v>
      </c>
      <c r="S306" s="3">
        <v>45490</v>
      </c>
      <c r="T306" s="6">
        <v>5</v>
      </c>
    </row>
    <row r="307" spans="1:20" x14ac:dyDescent="0.3">
      <c r="A307" s="2" t="s">
        <v>749</v>
      </c>
      <c r="B307" s="3">
        <v>45561</v>
      </c>
      <c r="C307" s="2" t="s">
        <v>357</v>
      </c>
      <c r="D307" s="2" t="s">
        <v>358</v>
      </c>
      <c r="E307" s="2" t="s">
        <v>23</v>
      </c>
      <c r="F307" s="2">
        <v>23</v>
      </c>
      <c r="G307" s="2" t="s">
        <v>207</v>
      </c>
      <c r="H307" s="2" t="s">
        <v>36</v>
      </c>
      <c r="I307" s="2" t="s">
        <v>198</v>
      </c>
      <c r="J307" s="2" t="s">
        <v>199</v>
      </c>
      <c r="K307" s="2" t="s">
        <v>114</v>
      </c>
      <c r="L307" s="2" t="s">
        <v>200</v>
      </c>
      <c r="M307" s="2">
        <v>1</v>
      </c>
      <c r="N307" s="2">
        <v>1169.0999999999999</v>
      </c>
      <c r="O307" s="2">
        <v>760</v>
      </c>
      <c r="P307" s="2">
        <v>10</v>
      </c>
      <c r="Q307" s="2" t="s">
        <v>73</v>
      </c>
      <c r="R307" s="2" t="s">
        <v>42</v>
      </c>
      <c r="S307" s="3">
        <v>45573</v>
      </c>
      <c r="T307" s="6">
        <v>4</v>
      </c>
    </row>
    <row r="308" spans="1:20" x14ac:dyDescent="0.3">
      <c r="A308" s="2" t="s">
        <v>750</v>
      </c>
      <c r="B308" s="3">
        <v>45846</v>
      </c>
      <c r="C308" s="2" t="s">
        <v>732</v>
      </c>
      <c r="D308" s="2" t="s">
        <v>733</v>
      </c>
      <c r="E308" s="2" t="s">
        <v>77</v>
      </c>
      <c r="F308" s="2">
        <v>33</v>
      </c>
      <c r="G308" s="2" t="s">
        <v>90</v>
      </c>
      <c r="H308" s="2" t="s">
        <v>91</v>
      </c>
      <c r="I308" s="2" t="s">
        <v>222</v>
      </c>
      <c r="J308" s="2" t="s">
        <v>223</v>
      </c>
      <c r="K308" s="2" t="s">
        <v>114</v>
      </c>
      <c r="L308" s="2" t="s">
        <v>115</v>
      </c>
      <c r="M308" s="2">
        <v>1</v>
      </c>
      <c r="N308" s="2">
        <v>629.29999999999995</v>
      </c>
      <c r="O308" s="2">
        <v>510</v>
      </c>
      <c r="P308" s="2">
        <v>30</v>
      </c>
      <c r="Q308" s="2" t="s">
        <v>50</v>
      </c>
      <c r="R308" s="2" t="s">
        <v>42</v>
      </c>
      <c r="S308" s="3">
        <v>45856</v>
      </c>
      <c r="T308" s="6">
        <v>5</v>
      </c>
    </row>
    <row r="309" spans="1:20" x14ac:dyDescent="0.3">
      <c r="A309" s="2" t="s">
        <v>751</v>
      </c>
      <c r="B309" s="3">
        <v>45878</v>
      </c>
      <c r="C309" s="2" t="s">
        <v>752</v>
      </c>
      <c r="D309" s="2" t="s">
        <v>250</v>
      </c>
      <c r="E309" s="2" t="s">
        <v>23</v>
      </c>
      <c r="F309" s="2">
        <v>37</v>
      </c>
      <c r="G309" s="2" t="s">
        <v>101</v>
      </c>
      <c r="H309" s="2" t="s">
        <v>102</v>
      </c>
      <c r="I309" s="2" t="s">
        <v>143</v>
      </c>
      <c r="J309" s="2" t="s">
        <v>144</v>
      </c>
      <c r="K309" s="2" t="s">
        <v>130</v>
      </c>
      <c r="L309" s="2" t="s">
        <v>131</v>
      </c>
      <c r="M309" s="2">
        <v>1</v>
      </c>
      <c r="N309" s="2">
        <v>3849.3</v>
      </c>
      <c r="O309" s="2">
        <v>4300</v>
      </c>
      <c r="P309" s="2">
        <v>30</v>
      </c>
      <c r="Q309" s="2" t="s">
        <v>73</v>
      </c>
      <c r="R309" s="2" t="s">
        <v>65</v>
      </c>
      <c r="S309" s="3" t="s">
        <v>1604</v>
      </c>
      <c r="T309" s="6" t="s">
        <v>1604</v>
      </c>
    </row>
    <row r="310" spans="1:20" x14ac:dyDescent="0.3">
      <c r="A310" s="2" t="s">
        <v>753</v>
      </c>
      <c r="B310" s="3">
        <v>45876</v>
      </c>
      <c r="C310" s="2" t="s">
        <v>754</v>
      </c>
      <c r="D310" s="2" t="s">
        <v>227</v>
      </c>
      <c r="E310" s="2" t="s">
        <v>23</v>
      </c>
      <c r="F310" s="2">
        <v>41</v>
      </c>
      <c r="G310" s="2" t="s">
        <v>173</v>
      </c>
      <c r="H310" s="2" t="s">
        <v>79</v>
      </c>
      <c r="I310" s="2" t="s">
        <v>229</v>
      </c>
      <c r="J310" s="2" t="s">
        <v>230</v>
      </c>
      <c r="K310" s="2" t="s">
        <v>28</v>
      </c>
      <c r="L310" s="2" t="s">
        <v>231</v>
      </c>
      <c r="M310" s="2">
        <v>4</v>
      </c>
      <c r="N310" s="2">
        <v>7196.4</v>
      </c>
      <c r="O310" s="2">
        <v>4920</v>
      </c>
      <c r="P310" s="2">
        <v>10</v>
      </c>
      <c r="Q310" s="2" t="s">
        <v>30</v>
      </c>
      <c r="R310" s="2" t="s">
        <v>42</v>
      </c>
      <c r="S310" s="3">
        <v>45881</v>
      </c>
      <c r="T310" s="6">
        <v>3</v>
      </c>
    </row>
    <row r="311" spans="1:20" x14ac:dyDescent="0.3">
      <c r="A311" s="2" t="s">
        <v>755</v>
      </c>
      <c r="B311" s="3">
        <v>45335</v>
      </c>
      <c r="C311" s="2" t="s">
        <v>354</v>
      </c>
      <c r="D311" s="2" t="s">
        <v>355</v>
      </c>
      <c r="E311" s="2" t="s">
        <v>77</v>
      </c>
      <c r="F311" s="2">
        <v>38</v>
      </c>
      <c r="G311" s="2" t="s">
        <v>46</v>
      </c>
      <c r="H311" s="2" t="s">
        <v>25</v>
      </c>
      <c r="I311" s="2" t="s">
        <v>107</v>
      </c>
      <c r="J311" s="2" t="s">
        <v>108</v>
      </c>
      <c r="K311" s="2" t="s">
        <v>87</v>
      </c>
      <c r="L311" s="2" t="s">
        <v>88</v>
      </c>
      <c r="M311" s="2">
        <v>4</v>
      </c>
      <c r="N311" s="2">
        <v>2716.6</v>
      </c>
      <c r="O311" s="2">
        <v>1680</v>
      </c>
      <c r="P311" s="2">
        <v>15</v>
      </c>
      <c r="Q311" s="2" t="s">
        <v>30</v>
      </c>
      <c r="R311" s="2" t="s">
        <v>57</v>
      </c>
      <c r="S311" s="3">
        <v>45346</v>
      </c>
      <c r="T311" s="6">
        <v>4</v>
      </c>
    </row>
    <row r="312" spans="1:20" x14ac:dyDescent="0.3">
      <c r="A312" s="2" t="s">
        <v>756</v>
      </c>
      <c r="B312" s="3">
        <v>45619</v>
      </c>
      <c r="C312" s="2" t="s">
        <v>394</v>
      </c>
      <c r="D312" s="2" t="s">
        <v>395</v>
      </c>
      <c r="E312" s="2" t="s">
        <v>77</v>
      </c>
      <c r="F312" s="2">
        <v>35</v>
      </c>
      <c r="G312" s="2" t="s">
        <v>46</v>
      </c>
      <c r="H312" s="2" t="s">
        <v>25</v>
      </c>
      <c r="I312" s="2" t="s">
        <v>47</v>
      </c>
      <c r="J312" s="2" t="s">
        <v>48</v>
      </c>
      <c r="K312" s="2" t="s">
        <v>39</v>
      </c>
      <c r="L312" s="2" t="s">
        <v>49</v>
      </c>
      <c r="M312" s="2">
        <v>5</v>
      </c>
      <c r="N312" s="2">
        <v>1396.5</v>
      </c>
      <c r="O312" s="2">
        <v>1050</v>
      </c>
      <c r="P312" s="2">
        <v>30</v>
      </c>
      <c r="Q312" s="2" t="s">
        <v>50</v>
      </c>
      <c r="R312" s="2" t="s">
        <v>42</v>
      </c>
      <c r="S312" s="3">
        <v>45625</v>
      </c>
      <c r="T312" s="6">
        <v>5</v>
      </c>
    </row>
    <row r="313" spans="1:20" x14ac:dyDescent="0.3">
      <c r="A313" s="2" t="s">
        <v>757</v>
      </c>
      <c r="B313" s="3">
        <v>45304</v>
      </c>
      <c r="C313" s="2" t="s">
        <v>758</v>
      </c>
      <c r="D313" s="2" t="s">
        <v>635</v>
      </c>
      <c r="E313" s="2" t="s">
        <v>77</v>
      </c>
      <c r="F313" s="2">
        <v>57</v>
      </c>
      <c r="G313" s="2" t="s">
        <v>122</v>
      </c>
      <c r="H313" s="2" t="s">
        <v>123</v>
      </c>
      <c r="I313" s="2" t="s">
        <v>229</v>
      </c>
      <c r="J313" s="2" t="s">
        <v>230</v>
      </c>
      <c r="K313" s="2" t="s">
        <v>28</v>
      </c>
      <c r="L313" s="2" t="s">
        <v>231</v>
      </c>
      <c r="M313" s="2">
        <v>4</v>
      </c>
      <c r="N313" s="2">
        <v>7196.4</v>
      </c>
      <c r="O313" s="2">
        <v>4920</v>
      </c>
      <c r="P313" s="2">
        <v>10</v>
      </c>
      <c r="Q313" s="2" t="s">
        <v>30</v>
      </c>
      <c r="R313" s="2" t="s">
        <v>65</v>
      </c>
      <c r="S313" s="3" t="s">
        <v>1604</v>
      </c>
      <c r="T313" s="6" t="s">
        <v>1604</v>
      </c>
    </row>
    <row r="314" spans="1:20" x14ac:dyDescent="0.3">
      <c r="A314" s="2" t="s">
        <v>759</v>
      </c>
      <c r="B314" s="3">
        <v>45894</v>
      </c>
      <c r="C314" s="2" t="s">
        <v>474</v>
      </c>
      <c r="D314" s="2" t="s">
        <v>475</v>
      </c>
      <c r="E314" s="2" t="s">
        <v>23</v>
      </c>
      <c r="F314" s="2">
        <v>29</v>
      </c>
      <c r="G314" s="2" t="s">
        <v>69</v>
      </c>
      <c r="H314" s="2" t="s">
        <v>69</v>
      </c>
      <c r="I314" s="2" t="s">
        <v>229</v>
      </c>
      <c r="J314" s="2" t="s">
        <v>230</v>
      </c>
      <c r="K314" s="2" t="s">
        <v>28</v>
      </c>
      <c r="L314" s="2" t="s">
        <v>231</v>
      </c>
      <c r="M314" s="2">
        <v>5</v>
      </c>
      <c r="N314" s="2">
        <v>9495.25</v>
      </c>
      <c r="O314" s="2">
        <v>6150</v>
      </c>
      <c r="P314" s="2">
        <v>5</v>
      </c>
      <c r="Q314" s="2" t="s">
        <v>41</v>
      </c>
      <c r="R314" s="2" t="s">
        <v>57</v>
      </c>
      <c r="S314" s="3">
        <v>45904</v>
      </c>
      <c r="T314" s="6">
        <v>4</v>
      </c>
    </row>
    <row r="315" spans="1:20" x14ac:dyDescent="0.3">
      <c r="A315" s="2" t="s">
        <v>760</v>
      </c>
      <c r="B315" s="3">
        <v>45712</v>
      </c>
      <c r="C315" s="2" t="s">
        <v>761</v>
      </c>
      <c r="D315" s="2" t="s">
        <v>539</v>
      </c>
      <c r="E315" s="2" t="s">
        <v>23</v>
      </c>
      <c r="F315" s="2">
        <v>39</v>
      </c>
      <c r="G315" s="2" t="s">
        <v>165</v>
      </c>
      <c r="H315" s="2" t="s">
        <v>166</v>
      </c>
      <c r="I315" s="2" t="s">
        <v>92</v>
      </c>
      <c r="J315" s="2" t="s">
        <v>93</v>
      </c>
      <c r="K315" s="2" t="s">
        <v>87</v>
      </c>
      <c r="L315" s="2" t="s">
        <v>94</v>
      </c>
      <c r="M315" s="2">
        <v>4</v>
      </c>
      <c r="N315" s="2">
        <v>3837.6</v>
      </c>
      <c r="O315" s="2">
        <v>3720</v>
      </c>
      <c r="P315" s="2">
        <v>40</v>
      </c>
      <c r="Q315" s="2" t="s">
        <v>73</v>
      </c>
      <c r="R315" s="2" t="s">
        <v>42</v>
      </c>
      <c r="S315" s="3">
        <v>45718</v>
      </c>
      <c r="T315" s="6">
        <v>5</v>
      </c>
    </row>
    <row r="316" spans="1:20" x14ac:dyDescent="0.3">
      <c r="A316" s="2" t="s">
        <v>762</v>
      </c>
      <c r="B316" s="3">
        <v>45439</v>
      </c>
      <c r="C316" s="2" t="s">
        <v>662</v>
      </c>
      <c r="D316" s="2" t="s">
        <v>97</v>
      </c>
      <c r="E316" s="2" t="s">
        <v>23</v>
      </c>
      <c r="F316" s="2">
        <v>47</v>
      </c>
      <c r="G316" s="2" t="s">
        <v>24</v>
      </c>
      <c r="H316" s="2" t="s">
        <v>25</v>
      </c>
      <c r="I316" s="2" t="s">
        <v>47</v>
      </c>
      <c r="J316" s="2" t="s">
        <v>48</v>
      </c>
      <c r="K316" s="2" t="s">
        <v>39</v>
      </c>
      <c r="L316" s="2" t="s">
        <v>49</v>
      </c>
      <c r="M316" s="2">
        <v>3</v>
      </c>
      <c r="N316" s="2">
        <v>1017.45</v>
      </c>
      <c r="O316" s="2">
        <v>630</v>
      </c>
      <c r="P316" s="2">
        <v>15</v>
      </c>
      <c r="Q316" s="2" t="s">
        <v>73</v>
      </c>
      <c r="R316" s="2" t="s">
        <v>31</v>
      </c>
      <c r="S316" s="3">
        <v>45448</v>
      </c>
      <c r="T316" s="6">
        <v>4</v>
      </c>
    </row>
    <row r="317" spans="1:20" x14ac:dyDescent="0.3">
      <c r="A317" s="2" t="s">
        <v>763</v>
      </c>
      <c r="B317" s="3">
        <v>45673</v>
      </c>
      <c r="C317" s="2" t="s">
        <v>764</v>
      </c>
      <c r="D317" s="2" t="s">
        <v>765</v>
      </c>
      <c r="E317" s="2" t="s">
        <v>23</v>
      </c>
      <c r="F317" s="2">
        <v>18</v>
      </c>
      <c r="G317" s="2" t="s">
        <v>126</v>
      </c>
      <c r="H317" s="2" t="s">
        <v>127</v>
      </c>
      <c r="I317" s="2" t="s">
        <v>143</v>
      </c>
      <c r="J317" s="2" t="s">
        <v>144</v>
      </c>
      <c r="K317" s="2" t="s">
        <v>130</v>
      </c>
      <c r="L317" s="2" t="s">
        <v>131</v>
      </c>
      <c r="M317" s="2">
        <v>3</v>
      </c>
      <c r="N317" s="2">
        <v>13197.6</v>
      </c>
      <c r="O317" s="2">
        <v>12900</v>
      </c>
      <c r="P317" s="2">
        <v>20</v>
      </c>
      <c r="Q317" s="2" t="s">
        <v>103</v>
      </c>
      <c r="R317" s="2" t="s">
        <v>57</v>
      </c>
      <c r="S317" s="3">
        <v>45685</v>
      </c>
      <c r="T317" s="6">
        <v>3</v>
      </c>
    </row>
    <row r="318" spans="1:20" x14ac:dyDescent="0.3">
      <c r="A318" s="2" t="s">
        <v>766</v>
      </c>
      <c r="B318" s="3">
        <v>45525</v>
      </c>
      <c r="C318" s="2" t="s">
        <v>689</v>
      </c>
      <c r="D318" s="2" t="s">
        <v>690</v>
      </c>
      <c r="E318" s="2" t="s">
        <v>77</v>
      </c>
      <c r="F318" s="2">
        <v>45</v>
      </c>
      <c r="G318" s="2" t="s">
        <v>35</v>
      </c>
      <c r="H318" s="2" t="s">
        <v>36</v>
      </c>
      <c r="I318" s="2" t="s">
        <v>177</v>
      </c>
      <c r="J318" s="2" t="s">
        <v>178</v>
      </c>
      <c r="K318" s="2" t="s">
        <v>87</v>
      </c>
      <c r="L318" s="2" t="s">
        <v>179</v>
      </c>
      <c r="M318" s="2">
        <v>4</v>
      </c>
      <c r="N318" s="2">
        <v>7497</v>
      </c>
      <c r="O318" s="2">
        <v>6480</v>
      </c>
      <c r="P318" s="2">
        <v>25</v>
      </c>
      <c r="Q318" s="2" t="s">
        <v>41</v>
      </c>
      <c r="R318" s="2" t="s">
        <v>31</v>
      </c>
      <c r="S318" s="3">
        <v>45533</v>
      </c>
      <c r="T318" s="6">
        <v>3</v>
      </c>
    </row>
    <row r="319" spans="1:20" x14ac:dyDescent="0.3">
      <c r="A319" s="2" t="s">
        <v>767</v>
      </c>
      <c r="B319" s="3">
        <v>45484</v>
      </c>
      <c r="C319" s="2" t="s">
        <v>138</v>
      </c>
      <c r="D319" s="2" t="s">
        <v>139</v>
      </c>
      <c r="E319" s="2" t="s">
        <v>77</v>
      </c>
      <c r="F319" s="2">
        <v>42</v>
      </c>
      <c r="G319" s="2" t="s">
        <v>154</v>
      </c>
      <c r="H319" s="2" t="s">
        <v>91</v>
      </c>
      <c r="I319" s="2" t="s">
        <v>134</v>
      </c>
      <c r="J319" s="2" t="s">
        <v>135</v>
      </c>
      <c r="K319" s="2" t="s">
        <v>39</v>
      </c>
      <c r="L319" s="2" t="s">
        <v>136</v>
      </c>
      <c r="M319" s="2">
        <v>4</v>
      </c>
      <c r="N319" s="2">
        <v>597</v>
      </c>
      <c r="O319" s="2">
        <v>360</v>
      </c>
      <c r="P319" s="2">
        <v>25</v>
      </c>
      <c r="Q319" s="2" t="s">
        <v>73</v>
      </c>
      <c r="R319" s="2" t="s">
        <v>65</v>
      </c>
      <c r="S319" s="3" t="s">
        <v>1604</v>
      </c>
      <c r="T319" s="6" t="s">
        <v>1604</v>
      </c>
    </row>
    <row r="320" spans="1:20" x14ac:dyDescent="0.3">
      <c r="A320" s="2" t="s">
        <v>768</v>
      </c>
      <c r="B320" s="3">
        <v>45454</v>
      </c>
      <c r="C320" s="2" t="s">
        <v>769</v>
      </c>
      <c r="D320" s="2" t="s">
        <v>326</v>
      </c>
      <c r="E320" s="2" t="s">
        <v>23</v>
      </c>
      <c r="F320" s="2">
        <v>20</v>
      </c>
      <c r="G320" s="2" t="s">
        <v>35</v>
      </c>
      <c r="H320" s="2" t="s">
        <v>36</v>
      </c>
      <c r="I320" s="2" t="s">
        <v>85</v>
      </c>
      <c r="J320" s="2" t="s">
        <v>86</v>
      </c>
      <c r="K320" s="2" t="s">
        <v>87</v>
      </c>
      <c r="L320" s="2" t="s">
        <v>88</v>
      </c>
      <c r="M320" s="2">
        <v>5</v>
      </c>
      <c r="N320" s="2">
        <v>4896.5</v>
      </c>
      <c r="O320" s="2">
        <v>3950</v>
      </c>
      <c r="P320" s="2">
        <v>30</v>
      </c>
      <c r="Q320" s="2" t="s">
        <v>30</v>
      </c>
      <c r="R320" s="2" t="s">
        <v>57</v>
      </c>
      <c r="S320" s="3">
        <v>45464</v>
      </c>
      <c r="T320" s="6">
        <v>2</v>
      </c>
    </row>
    <row r="321" spans="1:20" x14ac:dyDescent="0.3">
      <c r="A321" s="2" t="s">
        <v>770</v>
      </c>
      <c r="B321" s="3">
        <v>45469</v>
      </c>
      <c r="C321" s="2" t="s">
        <v>502</v>
      </c>
      <c r="D321" s="2" t="s">
        <v>503</v>
      </c>
      <c r="E321" s="2" t="s">
        <v>77</v>
      </c>
      <c r="F321" s="2">
        <v>43</v>
      </c>
      <c r="G321" s="2" t="s">
        <v>154</v>
      </c>
      <c r="H321" s="2" t="s">
        <v>91</v>
      </c>
      <c r="I321" s="2" t="s">
        <v>26</v>
      </c>
      <c r="J321" s="2" t="s">
        <v>27</v>
      </c>
      <c r="K321" s="2" t="s">
        <v>28</v>
      </c>
      <c r="L321" s="2" t="s">
        <v>29</v>
      </c>
      <c r="M321" s="2">
        <v>2</v>
      </c>
      <c r="N321" s="2">
        <v>2598</v>
      </c>
      <c r="O321" s="2">
        <v>1580</v>
      </c>
      <c r="P321" s="2">
        <v>0</v>
      </c>
      <c r="Q321" s="2" t="s">
        <v>103</v>
      </c>
      <c r="R321" s="2" t="s">
        <v>42</v>
      </c>
      <c r="S321" s="3">
        <v>45476</v>
      </c>
      <c r="T321" s="6">
        <v>4</v>
      </c>
    </row>
    <row r="322" spans="1:20" x14ac:dyDescent="0.3">
      <c r="A322" s="2" t="s">
        <v>771</v>
      </c>
      <c r="B322" s="3">
        <v>45572</v>
      </c>
      <c r="C322" s="2" t="s">
        <v>637</v>
      </c>
      <c r="D322" s="2" t="s">
        <v>638</v>
      </c>
      <c r="E322" s="2" t="s">
        <v>77</v>
      </c>
      <c r="F322" s="2">
        <v>47</v>
      </c>
      <c r="G322" s="2" t="s">
        <v>61</v>
      </c>
      <c r="H322" s="2" t="s">
        <v>62</v>
      </c>
      <c r="I322" s="2" t="s">
        <v>112</v>
      </c>
      <c r="J322" s="2" t="s">
        <v>113</v>
      </c>
      <c r="K322" s="2" t="s">
        <v>114</v>
      </c>
      <c r="L322" s="2" t="s">
        <v>115</v>
      </c>
      <c r="M322" s="2">
        <v>4</v>
      </c>
      <c r="N322" s="2">
        <v>2656.2</v>
      </c>
      <c r="O322" s="2">
        <v>1480</v>
      </c>
      <c r="P322" s="2">
        <v>5</v>
      </c>
      <c r="Q322" s="2" t="s">
        <v>73</v>
      </c>
      <c r="R322" s="2" t="s">
        <v>42</v>
      </c>
      <c r="S322" s="3">
        <v>45579</v>
      </c>
      <c r="T322" s="6">
        <v>5</v>
      </c>
    </row>
    <row r="323" spans="1:20" x14ac:dyDescent="0.3">
      <c r="A323" s="2" t="s">
        <v>772</v>
      </c>
      <c r="B323" s="3">
        <v>45900</v>
      </c>
      <c r="C323" s="2" t="s">
        <v>538</v>
      </c>
      <c r="D323" s="2" t="s">
        <v>539</v>
      </c>
      <c r="E323" s="2" t="s">
        <v>23</v>
      </c>
      <c r="F323" s="2">
        <v>49</v>
      </c>
      <c r="G323" s="2" t="s">
        <v>78</v>
      </c>
      <c r="H323" s="2" t="s">
        <v>79</v>
      </c>
      <c r="I323" s="2" t="s">
        <v>37</v>
      </c>
      <c r="J323" s="2" t="s">
        <v>38</v>
      </c>
      <c r="K323" s="2" t="s">
        <v>39</v>
      </c>
      <c r="L323" s="2" t="s">
        <v>40</v>
      </c>
      <c r="M323" s="2">
        <v>5</v>
      </c>
      <c r="N323" s="2">
        <v>3371.25</v>
      </c>
      <c r="O323" s="2">
        <v>2600</v>
      </c>
      <c r="P323" s="2">
        <v>25</v>
      </c>
      <c r="Q323" s="2" t="s">
        <v>41</v>
      </c>
      <c r="R323" s="2" t="s">
        <v>42</v>
      </c>
      <c r="S323" s="3">
        <v>45906</v>
      </c>
      <c r="T323" s="6">
        <v>3</v>
      </c>
    </row>
    <row r="324" spans="1:20" x14ac:dyDescent="0.3">
      <c r="A324" s="2" t="s">
        <v>773</v>
      </c>
      <c r="B324" s="3">
        <v>45583</v>
      </c>
      <c r="C324" s="2" t="s">
        <v>376</v>
      </c>
      <c r="D324" s="2" t="s">
        <v>377</v>
      </c>
      <c r="E324" s="2" t="s">
        <v>23</v>
      </c>
      <c r="F324" s="2">
        <v>24</v>
      </c>
      <c r="G324" s="2" t="s">
        <v>165</v>
      </c>
      <c r="H324" s="2" t="s">
        <v>166</v>
      </c>
      <c r="I324" s="2" t="s">
        <v>26</v>
      </c>
      <c r="J324" s="2" t="s">
        <v>27</v>
      </c>
      <c r="K324" s="2" t="s">
        <v>28</v>
      </c>
      <c r="L324" s="2" t="s">
        <v>29</v>
      </c>
      <c r="M324" s="2">
        <v>2</v>
      </c>
      <c r="N324" s="2">
        <v>2208.3000000000002</v>
      </c>
      <c r="O324" s="2">
        <v>1580</v>
      </c>
      <c r="P324" s="2">
        <v>15</v>
      </c>
      <c r="Q324" s="2" t="s">
        <v>30</v>
      </c>
      <c r="R324" s="2" t="s">
        <v>31</v>
      </c>
      <c r="S324" s="3">
        <v>45588</v>
      </c>
      <c r="T324" s="6">
        <v>4</v>
      </c>
    </row>
    <row r="325" spans="1:20" x14ac:dyDescent="0.3">
      <c r="A325" s="2" t="s">
        <v>774</v>
      </c>
      <c r="B325" s="3">
        <v>45567</v>
      </c>
      <c r="C325" s="2" t="s">
        <v>775</v>
      </c>
      <c r="D325" s="2" t="s">
        <v>244</v>
      </c>
      <c r="E325" s="2" t="s">
        <v>77</v>
      </c>
      <c r="F325" s="2">
        <v>46</v>
      </c>
      <c r="G325" s="2" t="s">
        <v>161</v>
      </c>
      <c r="H325" s="2" t="s">
        <v>25</v>
      </c>
      <c r="I325" s="2" t="s">
        <v>107</v>
      </c>
      <c r="J325" s="2" t="s">
        <v>108</v>
      </c>
      <c r="K325" s="2" t="s">
        <v>87</v>
      </c>
      <c r="L325" s="2" t="s">
        <v>88</v>
      </c>
      <c r="M325" s="2">
        <v>1</v>
      </c>
      <c r="N325" s="2">
        <v>479.4</v>
      </c>
      <c r="O325" s="2">
        <v>420</v>
      </c>
      <c r="P325" s="2">
        <v>40</v>
      </c>
      <c r="Q325" s="2" t="s">
        <v>30</v>
      </c>
      <c r="R325" s="2" t="s">
        <v>31</v>
      </c>
      <c r="S325" s="3">
        <v>45571</v>
      </c>
      <c r="T325" s="6">
        <v>2</v>
      </c>
    </row>
    <row r="326" spans="1:20" x14ac:dyDescent="0.3">
      <c r="A326" s="2" t="s">
        <v>776</v>
      </c>
      <c r="B326" s="3">
        <v>45521</v>
      </c>
      <c r="C326" s="2" t="s">
        <v>348</v>
      </c>
      <c r="D326" s="2" t="s">
        <v>349</v>
      </c>
      <c r="E326" s="2" t="s">
        <v>23</v>
      </c>
      <c r="F326" s="2">
        <v>51</v>
      </c>
      <c r="G326" s="2" t="s">
        <v>35</v>
      </c>
      <c r="H326" s="2" t="s">
        <v>36</v>
      </c>
      <c r="I326" s="2" t="s">
        <v>85</v>
      </c>
      <c r="J326" s="2" t="s">
        <v>86</v>
      </c>
      <c r="K326" s="2" t="s">
        <v>87</v>
      </c>
      <c r="L326" s="2" t="s">
        <v>88</v>
      </c>
      <c r="M326" s="2">
        <v>3</v>
      </c>
      <c r="N326" s="2">
        <v>2937.9</v>
      </c>
      <c r="O326" s="2">
        <v>2370</v>
      </c>
      <c r="P326" s="2">
        <v>30</v>
      </c>
      <c r="Q326" s="2" t="s">
        <v>103</v>
      </c>
      <c r="R326" s="2" t="s">
        <v>57</v>
      </c>
      <c r="S326" s="3">
        <v>45528</v>
      </c>
      <c r="T326" s="6">
        <v>5</v>
      </c>
    </row>
    <row r="327" spans="1:20" x14ac:dyDescent="0.3">
      <c r="A327" s="2" t="s">
        <v>777</v>
      </c>
      <c r="B327" s="3">
        <v>45550</v>
      </c>
      <c r="C327" s="2" t="s">
        <v>778</v>
      </c>
      <c r="D327" s="2" t="s">
        <v>779</v>
      </c>
      <c r="E327" s="2" t="s">
        <v>23</v>
      </c>
      <c r="F327" s="2">
        <v>56</v>
      </c>
      <c r="G327" s="2" t="s">
        <v>61</v>
      </c>
      <c r="H327" s="2" t="s">
        <v>62</v>
      </c>
      <c r="I327" s="2" t="s">
        <v>143</v>
      </c>
      <c r="J327" s="2" t="s">
        <v>144</v>
      </c>
      <c r="K327" s="2" t="s">
        <v>130</v>
      </c>
      <c r="L327" s="2" t="s">
        <v>131</v>
      </c>
      <c r="M327" s="2">
        <v>5</v>
      </c>
      <c r="N327" s="2">
        <v>19246.5</v>
      </c>
      <c r="O327" s="2">
        <v>21500</v>
      </c>
      <c r="P327" s="2">
        <v>30</v>
      </c>
      <c r="Q327" s="2" t="s">
        <v>50</v>
      </c>
      <c r="R327" s="2" t="s">
        <v>42</v>
      </c>
      <c r="S327" s="3">
        <v>45552</v>
      </c>
      <c r="T327" s="6">
        <v>4</v>
      </c>
    </row>
    <row r="328" spans="1:20" x14ac:dyDescent="0.3">
      <c r="A328" s="2" t="s">
        <v>780</v>
      </c>
      <c r="B328" s="3">
        <v>45866</v>
      </c>
      <c r="C328" s="2" t="s">
        <v>366</v>
      </c>
      <c r="D328" s="2" t="s">
        <v>367</v>
      </c>
      <c r="E328" s="2" t="s">
        <v>77</v>
      </c>
      <c r="F328" s="2">
        <v>25</v>
      </c>
      <c r="G328" s="2" t="s">
        <v>35</v>
      </c>
      <c r="H328" s="2" t="s">
        <v>36</v>
      </c>
      <c r="I328" s="2" t="s">
        <v>107</v>
      </c>
      <c r="J328" s="2" t="s">
        <v>108</v>
      </c>
      <c r="K328" s="2" t="s">
        <v>87</v>
      </c>
      <c r="L328" s="2" t="s">
        <v>88</v>
      </c>
      <c r="M328" s="2">
        <v>1</v>
      </c>
      <c r="N328" s="2">
        <v>479.4</v>
      </c>
      <c r="O328" s="2">
        <v>420</v>
      </c>
      <c r="P328" s="2">
        <v>40</v>
      </c>
      <c r="Q328" s="2" t="s">
        <v>73</v>
      </c>
      <c r="R328" s="2" t="s">
        <v>42</v>
      </c>
      <c r="S328" s="3">
        <v>45872</v>
      </c>
      <c r="T328" s="6">
        <v>4</v>
      </c>
    </row>
    <row r="329" spans="1:20" x14ac:dyDescent="0.3">
      <c r="A329" s="2" t="s">
        <v>781</v>
      </c>
      <c r="B329" s="3">
        <v>45575</v>
      </c>
      <c r="C329" s="2" t="s">
        <v>511</v>
      </c>
      <c r="D329" s="2" t="s">
        <v>512</v>
      </c>
      <c r="E329" s="2" t="s">
        <v>23</v>
      </c>
      <c r="F329" s="2">
        <v>53</v>
      </c>
      <c r="G329" s="2" t="s">
        <v>35</v>
      </c>
      <c r="H329" s="2" t="s">
        <v>36</v>
      </c>
      <c r="I329" s="2" t="s">
        <v>70</v>
      </c>
      <c r="J329" s="2" t="s">
        <v>71</v>
      </c>
      <c r="K329" s="2" t="s">
        <v>28</v>
      </c>
      <c r="L329" s="2" t="s">
        <v>72</v>
      </c>
      <c r="M329" s="2">
        <v>2</v>
      </c>
      <c r="N329" s="2">
        <v>2548.3000000000002</v>
      </c>
      <c r="O329" s="2">
        <v>1840</v>
      </c>
      <c r="P329" s="2">
        <v>15</v>
      </c>
      <c r="Q329" s="2" t="s">
        <v>73</v>
      </c>
      <c r="R329" s="2" t="s">
        <v>57</v>
      </c>
      <c r="S329" s="3">
        <v>45586</v>
      </c>
      <c r="T329" s="6">
        <v>5</v>
      </c>
    </row>
    <row r="330" spans="1:20" x14ac:dyDescent="0.3">
      <c r="A330" s="2" t="s">
        <v>782</v>
      </c>
      <c r="B330" s="3">
        <v>45968</v>
      </c>
      <c r="C330" s="2" t="s">
        <v>424</v>
      </c>
      <c r="D330" s="2" t="s">
        <v>273</v>
      </c>
      <c r="E330" s="2" t="s">
        <v>23</v>
      </c>
      <c r="F330" s="2">
        <v>40</v>
      </c>
      <c r="G330" s="2" t="s">
        <v>173</v>
      </c>
      <c r="H330" s="2" t="s">
        <v>79</v>
      </c>
      <c r="I330" s="2" t="s">
        <v>177</v>
      </c>
      <c r="J330" s="2" t="s">
        <v>178</v>
      </c>
      <c r="K330" s="2" t="s">
        <v>87</v>
      </c>
      <c r="L330" s="2" t="s">
        <v>179</v>
      </c>
      <c r="M330" s="2">
        <v>1</v>
      </c>
      <c r="N330" s="2">
        <v>1499.4</v>
      </c>
      <c r="O330" s="2">
        <v>1620</v>
      </c>
      <c r="P330" s="2">
        <v>40</v>
      </c>
      <c r="Q330" s="2" t="s">
        <v>41</v>
      </c>
      <c r="R330" s="2" t="s">
        <v>42</v>
      </c>
      <c r="S330" s="3">
        <v>45976</v>
      </c>
      <c r="T330" s="6">
        <v>5</v>
      </c>
    </row>
    <row r="331" spans="1:20" x14ac:dyDescent="0.3">
      <c r="A331" s="2" t="s">
        <v>783</v>
      </c>
      <c r="B331" s="3">
        <v>45689</v>
      </c>
      <c r="C331" s="2" t="s">
        <v>171</v>
      </c>
      <c r="D331" s="2" t="s">
        <v>172</v>
      </c>
      <c r="E331" s="2" t="s">
        <v>23</v>
      </c>
      <c r="F331" s="2">
        <v>36</v>
      </c>
      <c r="G331" s="2" t="s">
        <v>154</v>
      </c>
      <c r="H331" s="2" t="s">
        <v>91</v>
      </c>
      <c r="I331" s="2" t="s">
        <v>183</v>
      </c>
      <c r="J331" s="2" t="s">
        <v>184</v>
      </c>
      <c r="K331" s="2" t="s">
        <v>130</v>
      </c>
      <c r="L331" s="2" t="s">
        <v>185</v>
      </c>
      <c r="M331" s="2">
        <v>2</v>
      </c>
      <c r="N331" s="2">
        <v>4798.8</v>
      </c>
      <c r="O331" s="2">
        <v>6100</v>
      </c>
      <c r="P331" s="2">
        <v>40</v>
      </c>
      <c r="Q331" s="2" t="s">
        <v>41</v>
      </c>
      <c r="R331" s="2" t="s">
        <v>65</v>
      </c>
      <c r="S331" s="3" t="s">
        <v>1604</v>
      </c>
      <c r="T331" s="6" t="s">
        <v>1604</v>
      </c>
    </row>
    <row r="332" spans="1:20" x14ac:dyDescent="0.3">
      <c r="A332" s="2" t="s">
        <v>784</v>
      </c>
      <c r="B332" s="3">
        <v>45599</v>
      </c>
      <c r="C332" s="2" t="s">
        <v>736</v>
      </c>
      <c r="D332" s="2" t="s">
        <v>737</v>
      </c>
      <c r="E332" s="2" t="s">
        <v>77</v>
      </c>
      <c r="F332" s="2">
        <v>21</v>
      </c>
      <c r="G332" s="2" t="s">
        <v>78</v>
      </c>
      <c r="H332" s="2" t="s">
        <v>79</v>
      </c>
      <c r="I332" s="2" t="s">
        <v>143</v>
      </c>
      <c r="J332" s="2" t="s">
        <v>144</v>
      </c>
      <c r="K332" s="2" t="s">
        <v>130</v>
      </c>
      <c r="L332" s="2" t="s">
        <v>131</v>
      </c>
      <c r="M332" s="2">
        <v>1</v>
      </c>
      <c r="N332" s="2">
        <v>3299.4</v>
      </c>
      <c r="O332" s="2">
        <v>4300</v>
      </c>
      <c r="P332" s="2">
        <v>40</v>
      </c>
      <c r="Q332" s="2" t="s">
        <v>30</v>
      </c>
      <c r="R332" s="2" t="s">
        <v>31</v>
      </c>
      <c r="S332" s="3">
        <v>45605</v>
      </c>
      <c r="T332" s="6">
        <v>3</v>
      </c>
    </row>
    <row r="333" spans="1:20" x14ac:dyDescent="0.3">
      <c r="A333" s="2" t="s">
        <v>785</v>
      </c>
      <c r="B333" s="3">
        <v>45988</v>
      </c>
      <c r="C333" s="2" t="s">
        <v>786</v>
      </c>
      <c r="D333" s="2" t="s">
        <v>227</v>
      </c>
      <c r="E333" s="2" t="s">
        <v>23</v>
      </c>
      <c r="F333" s="2">
        <v>54</v>
      </c>
      <c r="G333" s="2" t="s">
        <v>46</v>
      </c>
      <c r="H333" s="2" t="s">
        <v>25</v>
      </c>
      <c r="I333" s="2" t="s">
        <v>304</v>
      </c>
      <c r="J333" s="2" t="s">
        <v>305</v>
      </c>
      <c r="K333" s="2" t="s">
        <v>28</v>
      </c>
      <c r="L333" s="2" t="s">
        <v>231</v>
      </c>
      <c r="M333" s="2">
        <v>3</v>
      </c>
      <c r="N333" s="2">
        <v>4587.45</v>
      </c>
      <c r="O333" s="2">
        <v>3240</v>
      </c>
      <c r="P333" s="2">
        <v>15</v>
      </c>
      <c r="Q333" s="2" t="s">
        <v>41</v>
      </c>
      <c r="R333" s="2" t="s">
        <v>42</v>
      </c>
      <c r="S333" s="3">
        <v>45995</v>
      </c>
      <c r="T333" s="6">
        <v>4</v>
      </c>
    </row>
    <row r="334" spans="1:20" x14ac:dyDescent="0.3">
      <c r="A334" s="2" t="s">
        <v>787</v>
      </c>
      <c r="B334" s="3">
        <v>45558</v>
      </c>
      <c r="C334" s="2" t="s">
        <v>788</v>
      </c>
      <c r="D334" s="2" t="s">
        <v>789</v>
      </c>
      <c r="E334" s="2" t="s">
        <v>77</v>
      </c>
      <c r="F334" s="2">
        <v>52</v>
      </c>
      <c r="G334" s="2" t="s">
        <v>35</v>
      </c>
      <c r="H334" s="2" t="s">
        <v>36</v>
      </c>
      <c r="I334" s="2" t="s">
        <v>63</v>
      </c>
      <c r="J334" s="2" t="s">
        <v>64</v>
      </c>
      <c r="K334" s="2" t="s">
        <v>39</v>
      </c>
      <c r="L334" s="2" t="s">
        <v>40</v>
      </c>
      <c r="M334" s="2">
        <v>1</v>
      </c>
      <c r="N334" s="2">
        <v>359.4</v>
      </c>
      <c r="O334" s="2">
        <v>330</v>
      </c>
      <c r="P334" s="2">
        <v>40</v>
      </c>
      <c r="Q334" s="2" t="s">
        <v>73</v>
      </c>
      <c r="R334" s="2" t="s">
        <v>57</v>
      </c>
      <c r="S334" s="3">
        <v>45570</v>
      </c>
      <c r="T334" s="6">
        <v>3</v>
      </c>
    </row>
    <row r="335" spans="1:20" x14ac:dyDescent="0.3">
      <c r="A335" s="2" t="s">
        <v>790</v>
      </c>
      <c r="B335" s="3">
        <v>45775</v>
      </c>
      <c r="C335" s="2" t="s">
        <v>791</v>
      </c>
      <c r="D335" s="2" t="s">
        <v>792</v>
      </c>
      <c r="E335" s="2" t="s">
        <v>23</v>
      </c>
      <c r="F335" s="2">
        <v>42</v>
      </c>
      <c r="G335" s="2" t="s">
        <v>69</v>
      </c>
      <c r="H335" s="2" t="s">
        <v>69</v>
      </c>
      <c r="I335" s="2" t="s">
        <v>107</v>
      </c>
      <c r="J335" s="2" t="s">
        <v>108</v>
      </c>
      <c r="K335" s="2" t="s">
        <v>87</v>
      </c>
      <c r="L335" s="2" t="s">
        <v>88</v>
      </c>
      <c r="M335" s="2">
        <v>4</v>
      </c>
      <c r="N335" s="2">
        <v>2556.8000000000002</v>
      </c>
      <c r="O335" s="2">
        <v>1680</v>
      </c>
      <c r="P335" s="2">
        <v>20</v>
      </c>
      <c r="Q335" s="2" t="s">
        <v>103</v>
      </c>
      <c r="R335" s="2" t="s">
        <v>42</v>
      </c>
      <c r="S335" s="3">
        <v>45779</v>
      </c>
      <c r="T335" s="6">
        <v>3</v>
      </c>
    </row>
    <row r="336" spans="1:20" x14ac:dyDescent="0.3">
      <c r="A336" s="2" t="s">
        <v>793</v>
      </c>
      <c r="B336" s="3">
        <v>45497</v>
      </c>
      <c r="C336" s="2" t="s">
        <v>605</v>
      </c>
      <c r="D336" s="2" t="s">
        <v>442</v>
      </c>
      <c r="E336" s="2" t="s">
        <v>77</v>
      </c>
      <c r="F336" s="2">
        <v>22</v>
      </c>
      <c r="G336" s="2" t="s">
        <v>122</v>
      </c>
      <c r="H336" s="2" t="s">
        <v>123</v>
      </c>
      <c r="I336" s="2" t="s">
        <v>198</v>
      </c>
      <c r="J336" s="2" t="s">
        <v>199</v>
      </c>
      <c r="K336" s="2" t="s">
        <v>114</v>
      </c>
      <c r="L336" s="2" t="s">
        <v>200</v>
      </c>
      <c r="M336" s="2">
        <v>4</v>
      </c>
      <c r="N336" s="2">
        <v>4676.3999999999996</v>
      </c>
      <c r="O336" s="2">
        <v>3040</v>
      </c>
      <c r="P336" s="2">
        <v>10</v>
      </c>
      <c r="Q336" s="2" t="s">
        <v>41</v>
      </c>
      <c r="R336" s="2" t="s">
        <v>57</v>
      </c>
      <c r="S336" s="3">
        <v>45501</v>
      </c>
      <c r="T336" s="6">
        <v>3</v>
      </c>
    </row>
    <row r="337" spans="1:20" x14ac:dyDescent="0.3">
      <c r="A337" s="2" t="s">
        <v>794</v>
      </c>
      <c r="B337" s="3">
        <v>45791</v>
      </c>
      <c r="C337" s="2" t="s">
        <v>163</v>
      </c>
      <c r="D337" s="2" t="s">
        <v>164</v>
      </c>
      <c r="E337" s="2" t="s">
        <v>77</v>
      </c>
      <c r="F337" s="2">
        <v>50</v>
      </c>
      <c r="G337" s="2" t="s">
        <v>78</v>
      </c>
      <c r="H337" s="2" t="s">
        <v>79</v>
      </c>
      <c r="I337" s="2" t="s">
        <v>183</v>
      </c>
      <c r="J337" s="2" t="s">
        <v>184</v>
      </c>
      <c r="K337" s="2" t="s">
        <v>130</v>
      </c>
      <c r="L337" s="2" t="s">
        <v>185</v>
      </c>
      <c r="M337" s="2">
        <v>1</v>
      </c>
      <c r="N337" s="2">
        <v>3999</v>
      </c>
      <c r="O337" s="2">
        <v>3050</v>
      </c>
      <c r="P337" s="2">
        <v>0</v>
      </c>
      <c r="Q337" s="2" t="s">
        <v>103</v>
      </c>
      <c r="R337" s="2" t="s">
        <v>42</v>
      </c>
      <c r="S337" s="3">
        <v>45796</v>
      </c>
      <c r="T337" s="6">
        <v>3</v>
      </c>
    </row>
    <row r="338" spans="1:20" x14ac:dyDescent="0.3">
      <c r="A338" s="2" t="s">
        <v>795</v>
      </c>
      <c r="B338" s="3">
        <v>45882</v>
      </c>
      <c r="C338" s="2" t="s">
        <v>796</v>
      </c>
      <c r="D338" s="2" t="s">
        <v>797</v>
      </c>
      <c r="E338" s="2" t="s">
        <v>77</v>
      </c>
      <c r="F338" s="2">
        <v>31</v>
      </c>
      <c r="G338" s="2" t="s">
        <v>101</v>
      </c>
      <c r="H338" s="2" t="s">
        <v>102</v>
      </c>
      <c r="I338" s="2" t="s">
        <v>54</v>
      </c>
      <c r="J338" s="2" t="s">
        <v>55</v>
      </c>
      <c r="K338" s="2" t="s">
        <v>28</v>
      </c>
      <c r="L338" s="2" t="s">
        <v>56</v>
      </c>
      <c r="M338" s="2">
        <v>2</v>
      </c>
      <c r="N338" s="2">
        <v>978.6</v>
      </c>
      <c r="O338" s="2">
        <v>820</v>
      </c>
      <c r="P338" s="2">
        <v>30</v>
      </c>
      <c r="Q338" s="2" t="s">
        <v>103</v>
      </c>
      <c r="R338" s="2" t="s">
        <v>42</v>
      </c>
      <c r="S338" s="3">
        <v>45890</v>
      </c>
      <c r="T338" s="6">
        <v>5</v>
      </c>
    </row>
    <row r="339" spans="1:20" x14ac:dyDescent="0.3">
      <c r="A339" s="2" t="s">
        <v>798</v>
      </c>
      <c r="B339" s="3">
        <v>45684</v>
      </c>
      <c r="C339" s="2" t="s">
        <v>799</v>
      </c>
      <c r="D339" s="2" t="s">
        <v>800</v>
      </c>
      <c r="E339" s="2" t="s">
        <v>23</v>
      </c>
      <c r="F339" s="2">
        <v>24</v>
      </c>
      <c r="G339" s="2" t="s">
        <v>24</v>
      </c>
      <c r="H339" s="2" t="s">
        <v>25</v>
      </c>
      <c r="I339" s="2" t="s">
        <v>222</v>
      </c>
      <c r="J339" s="2" t="s">
        <v>223</v>
      </c>
      <c r="K339" s="2" t="s">
        <v>114</v>
      </c>
      <c r="L339" s="2" t="s">
        <v>115</v>
      </c>
      <c r="M339" s="2">
        <v>2</v>
      </c>
      <c r="N339" s="2">
        <v>1348.5</v>
      </c>
      <c r="O339" s="2">
        <v>1020</v>
      </c>
      <c r="P339" s="2">
        <v>25</v>
      </c>
      <c r="Q339" s="2" t="s">
        <v>73</v>
      </c>
      <c r="R339" s="2" t="s">
        <v>42</v>
      </c>
      <c r="S339" s="3">
        <v>45694</v>
      </c>
      <c r="T339" s="6">
        <v>4</v>
      </c>
    </row>
    <row r="340" spans="1:20" x14ac:dyDescent="0.3">
      <c r="A340" s="2" t="s">
        <v>801</v>
      </c>
      <c r="B340" s="3">
        <v>45310</v>
      </c>
      <c r="C340" s="2" t="s">
        <v>799</v>
      </c>
      <c r="D340" s="2" t="s">
        <v>800</v>
      </c>
      <c r="E340" s="2" t="s">
        <v>23</v>
      </c>
      <c r="F340" s="2">
        <v>24</v>
      </c>
      <c r="G340" s="2" t="s">
        <v>90</v>
      </c>
      <c r="H340" s="2" t="s">
        <v>91</v>
      </c>
      <c r="I340" s="2" t="s">
        <v>304</v>
      </c>
      <c r="J340" s="2" t="s">
        <v>305</v>
      </c>
      <c r="K340" s="2" t="s">
        <v>28</v>
      </c>
      <c r="L340" s="2" t="s">
        <v>231</v>
      </c>
      <c r="M340" s="2">
        <v>3</v>
      </c>
      <c r="N340" s="2">
        <v>4317.6000000000004</v>
      </c>
      <c r="O340" s="2">
        <v>3240</v>
      </c>
      <c r="P340" s="2">
        <v>20</v>
      </c>
      <c r="Q340" s="2" t="s">
        <v>30</v>
      </c>
      <c r="R340" s="2" t="s">
        <v>42</v>
      </c>
      <c r="S340" s="3">
        <v>45318</v>
      </c>
      <c r="T340" s="6">
        <v>4</v>
      </c>
    </row>
    <row r="341" spans="1:20" x14ac:dyDescent="0.3">
      <c r="A341" s="2" t="s">
        <v>802</v>
      </c>
      <c r="B341" s="3">
        <v>45463</v>
      </c>
      <c r="C341" s="2" t="s">
        <v>769</v>
      </c>
      <c r="D341" s="2" t="s">
        <v>326</v>
      </c>
      <c r="E341" s="2" t="s">
        <v>23</v>
      </c>
      <c r="F341" s="2">
        <v>20</v>
      </c>
      <c r="G341" s="2" t="s">
        <v>24</v>
      </c>
      <c r="H341" s="2" t="s">
        <v>25</v>
      </c>
      <c r="I341" s="2" t="s">
        <v>143</v>
      </c>
      <c r="J341" s="2" t="s">
        <v>144</v>
      </c>
      <c r="K341" s="2" t="s">
        <v>130</v>
      </c>
      <c r="L341" s="2" t="s">
        <v>131</v>
      </c>
      <c r="M341" s="2">
        <v>3</v>
      </c>
      <c r="N341" s="2">
        <v>9898.2000000000007</v>
      </c>
      <c r="O341" s="2">
        <v>12900</v>
      </c>
      <c r="P341" s="2">
        <v>40</v>
      </c>
      <c r="Q341" s="2" t="s">
        <v>50</v>
      </c>
      <c r="R341" s="2" t="s">
        <v>65</v>
      </c>
      <c r="S341" s="3" t="s">
        <v>1604</v>
      </c>
      <c r="T341" s="6" t="s">
        <v>1604</v>
      </c>
    </row>
    <row r="342" spans="1:20" x14ac:dyDescent="0.3">
      <c r="A342" s="2" t="s">
        <v>803</v>
      </c>
      <c r="B342" s="3">
        <v>45828</v>
      </c>
      <c r="C342" s="2" t="s">
        <v>468</v>
      </c>
      <c r="D342" s="2" t="s">
        <v>469</v>
      </c>
      <c r="E342" s="2" t="s">
        <v>23</v>
      </c>
      <c r="F342" s="2">
        <v>20</v>
      </c>
      <c r="G342" s="2" t="s">
        <v>122</v>
      </c>
      <c r="H342" s="2" t="s">
        <v>123</v>
      </c>
      <c r="I342" s="2" t="s">
        <v>107</v>
      </c>
      <c r="J342" s="2" t="s">
        <v>108</v>
      </c>
      <c r="K342" s="2" t="s">
        <v>87</v>
      </c>
      <c r="L342" s="2" t="s">
        <v>88</v>
      </c>
      <c r="M342" s="2">
        <v>2</v>
      </c>
      <c r="N342" s="2">
        <v>1198.5</v>
      </c>
      <c r="O342" s="2">
        <v>840</v>
      </c>
      <c r="P342" s="2">
        <v>25</v>
      </c>
      <c r="Q342" s="2" t="s">
        <v>103</v>
      </c>
      <c r="R342" s="2" t="s">
        <v>42</v>
      </c>
      <c r="S342" s="3">
        <v>45833</v>
      </c>
      <c r="T342" s="6">
        <v>3</v>
      </c>
    </row>
    <row r="343" spans="1:20" x14ac:dyDescent="0.3">
      <c r="A343" s="2" t="s">
        <v>804</v>
      </c>
      <c r="B343" s="3">
        <v>45705</v>
      </c>
      <c r="C343" s="2" t="s">
        <v>805</v>
      </c>
      <c r="D343" s="2" t="s">
        <v>806</v>
      </c>
      <c r="E343" s="2" t="s">
        <v>77</v>
      </c>
      <c r="F343" s="2">
        <v>46</v>
      </c>
      <c r="G343" s="2" t="s">
        <v>90</v>
      </c>
      <c r="H343" s="2" t="s">
        <v>91</v>
      </c>
      <c r="I343" s="2" t="s">
        <v>304</v>
      </c>
      <c r="J343" s="2" t="s">
        <v>305</v>
      </c>
      <c r="K343" s="2" t="s">
        <v>28</v>
      </c>
      <c r="L343" s="2" t="s">
        <v>231</v>
      </c>
      <c r="M343" s="2">
        <v>2</v>
      </c>
      <c r="N343" s="2">
        <v>3058.3</v>
      </c>
      <c r="O343" s="2">
        <v>2160</v>
      </c>
      <c r="P343" s="2">
        <v>15</v>
      </c>
      <c r="Q343" s="2" t="s">
        <v>73</v>
      </c>
      <c r="R343" s="2" t="s">
        <v>65</v>
      </c>
      <c r="S343" s="3" t="s">
        <v>1604</v>
      </c>
      <c r="T343" s="6" t="s">
        <v>1604</v>
      </c>
    </row>
    <row r="344" spans="1:20" x14ac:dyDescent="0.3">
      <c r="A344" s="2" t="s">
        <v>807</v>
      </c>
      <c r="B344" s="3">
        <v>45808</v>
      </c>
      <c r="C344" s="2" t="s">
        <v>441</v>
      </c>
      <c r="D344" s="2" t="s">
        <v>442</v>
      </c>
      <c r="E344" s="2" t="s">
        <v>77</v>
      </c>
      <c r="F344" s="2">
        <v>44</v>
      </c>
      <c r="G344" s="2" t="s">
        <v>69</v>
      </c>
      <c r="H344" s="2" t="s">
        <v>69</v>
      </c>
      <c r="I344" s="2" t="s">
        <v>245</v>
      </c>
      <c r="J344" s="2" t="s">
        <v>246</v>
      </c>
      <c r="K344" s="2" t="s">
        <v>130</v>
      </c>
      <c r="L344" s="2" t="s">
        <v>247</v>
      </c>
      <c r="M344" s="2">
        <v>1</v>
      </c>
      <c r="N344" s="2">
        <v>1749.3</v>
      </c>
      <c r="O344" s="2">
        <v>1870</v>
      </c>
      <c r="P344" s="2">
        <v>30</v>
      </c>
      <c r="Q344" s="2" t="s">
        <v>41</v>
      </c>
      <c r="R344" s="2" t="s">
        <v>57</v>
      </c>
      <c r="S344" s="3">
        <v>45818</v>
      </c>
      <c r="T344" s="6">
        <v>2</v>
      </c>
    </row>
    <row r="345" spans="1:20" x14ac:dyDescent="0.3">
      <c r="A345" s="2" t="s">
        <v>808</v>
      </c>
      <c r="B345" s="3">
        <v>45900</v>
      </c>
      <c r="C345" s="2" t="s">
        <v>809</v>
      </c>
      <c r="D345" s="2" t="s">
        <v>810</v>
      </c>
      <c r="E345" s="2" t="s">
        <v>77</v>
      </c>
      <c r="F345" s="2">
        <v>41</v>
      </c>
      <c r="G345" s="2" t="s">
        <v>69</v>
      </c>
      <c r="H345" s="2" t="s">
        <v>69</v>
      </c>
      <c r="I345" s="2" t="s">
        <v>92</v>
      </c>
      <c r="J345" s="2" t="s">
        <v>93</v>
      </c>
      <c r="K345" s="2" t="s">
        <v>87</v>
      </c>
      <c r="L345" s="2" t="s">
        <v>94</v>
      </c>
      <c r="M345" s="2">
        <v>1</v>
      </c>
      <c r="N345" s="2">
        <v>1599</v>
      </c>
      <c r="O345" s="2">
        <v>930</v>
      </c>
      <c r="P345" s="2">
        <v>0</v>
      </c>
      <c r="Q345" s="2" t="s">
        <v>811</v>
      </c>
      <c r="R345" s="2" t="s">
        <v>42</v>
      </c>
      <c r="S345" s="3">
        <v>45909</v>
      </c>
      <c r="T345" s="6">
        <v>5</v>
      </c>
    </row>
    <row r="346" spans="1:20" x14ac:dyDescent="0.3">
      <c r="A346" s="2" t="s">
        <v>812</v>
      </c>
      <c r="B346" s="3">
        <v>45418</v>
      </c>
      <c r="C346" s="2" t="s">
        <v>382</v>
      </c>
      <c r="D346" s="2" t="s">
        <v>188</v>
      </c>
      <c r="E346" s="2" t="s">
        <v>23</v>
      </c>
      <c r="F346" s="2">
        <v>44</v>
      </c>
      <c r="G346" s="2" t="s">
        <v>207</v>
      </c>
      <c r="H346" s="2" t="s">
        <v>36</v>
      </c>
      <c r="I346" s="2" t="s">
        <v>37</v>
      </c>
      <c r="J346" s="2" t="s">
        <v>38</v>
      </c>
      <c r="K346" s="2" t="s">
        <v>39</v>
      </c>
      <c r="L346" s="2" t="s">
        <v>40</v>
      </c>
      <c r="M346" s="2">
        <v>2</v>
      </c>
      <c r="N346" s="2">
        <v>1528.3</v>
      </c>
      <c r="O346" s="2">
        <v>1040</v>
      </c>
      <c r="P346" s="2">
        <v>15</v>
      </c>
      <c r="Q346" s="2" t="s">
        <v>73</v>
      </c>
      <c r="R346" s="2" t="s">
        <v>42</v>
      </c>
      <c r="S346" s="3">
        <v>45426</v>
      </c>
      <c r="T346" s="6">
        <v>3</v>
      </c>
    </row>
    <row r="347" spans="1:20" x14ac:dyDescent="0.3">
      <c r="A347" s="2" t="s">
        <v>813</v>
      </c>
      <c r="B347" s="3">
        <v>45970</v>
      </c>
      <c r="C347" s="2" t="s">
        <v>585</v>
      </c>
      <c r="D347" s="2" t="s">
        <v>586</v>
      </c>
      <c r="E347" s="2" t="s">
        <v>77</v>
      </c>
      <c r="F347" s="2">
        <v>51</v>
      </c>
      <c r="G347" s="2" t="s">
        <v>207</v>
      </c>
      <c r="H347" s="2" t="s">
        <v>36</v>
      </c>
      <c r="I347" s="2" t="s">
        <v>155</v>
      </c>
      <c r="J347" s="2" t="s">
        <v>156</v>
      </c>
      <c r="K347" s="2" t="s">
        <v>114</v>
      </c>
      <c r="L347" s="2" t="s">
        <v>157</v>
      </c>
      <c r="M347" s="2">
        <v>5</v>
      </c>
      <c r="N347" s="2">
        <v>4495.5</v>
      </c>
      <c r="O347" s="2">
        <v>3050</v>
      </c>
      <c r="P347" s="2">
        <v>10</v>
      </c>
      <c r="Q347" s="2" t="s">
        <v>103</v>
      </c>
      <c r="R347" s="2" t="s">
        <v>57</v>
      </c>
      <c r="S347" s="3">
        <v>45973</v>
      </c>
      <c r="T347" s="6">
        <v>3</v>
      </c>
    </row>
    <row r="348" spans="1:20" x14ac:dyDescent="0.3">
      <c r="A348" s="2" t="s">
        <v>814</v>
      </c>
      <c r="B348" s="3">
        <v>45581</v>
      </c>
      <c r="C348" s="2" t="s">
        <v>44</v>
      </c>
      <c r="D348" s="2" t="s">
        <v>45</v>
      </c>
      <c r="E348" s="2" t="s">
        <v>23</v>
      </c>
      <c r="F348" s="2">
        <v>41</v>
      </c>
      <c r="G348" s="2" t="s">
        <v>69</v>
      </c>
      <c r="H348" s="2" t="s">
        <v>69</v>
      </c>
      <c r="I348" s="2" t="s">
        <v>37</v>
      </c>
      <c r="J348" s="2" t="s">
        <v>38</v>
      </c>
      <c r="K348" s="2" t="s">
        <v>39</v>
      </c>
      <c r="L348" s="2" t="s">
        <v>40</v>
      </c>
      <c r="M348" s="2">
        <v>2</v>
      </c>
      <c r="N348" s="2">
        <v>1528.3</v>
      </c>
      <c r="O348" s="2">
        <v>1040</v>
      </c>
      <c r="P348" s="2">
        <v>15</v>
      </c>
      <c r="Q348" s="2" t="s">
        <v>41</v>
      </c>
      <c r="R348" s="2" t="s">
        <v>57</v>
      </c>
      <c r="S348" s="3">
        <v>45591</v>
      </c>
      <c r="T348" s="6">
        <v>4</v>
      </c>
    </row>
    <row r="349" spans="1:20" x14ac:dyDescent="0.3">
      <c r="A349" s="2" t="s">
        <v>815</v>
      </c>
      <c r="B349" s="3">
        <v>45658</v>
      </c>
      <c r="C349" s="2" t="s">
        <v>775</v>
      </c>
      <c r="D349" s="2" t="s">
        <v>244</v>
      </c>
      <c r="E349" s="2" t="s">
        <v>77</v>
      </c>
      <c r="F349" s="2">
        <v>46</v>
      </c>
      <c r="G349" s="2" t="s">
        <v>35</v>
      </c>
      <c r="H349" s="2" t="s">
        <v>36</v>
      </c>
      <c r="I349" s="2" t="s">
        <v>319</v>
      </c>
      <c r="J349" s="2" t="s">
        <v>320</v>
      </c>
      <c r="K349" s="2" t="s">
        <v>28</v>
      </c>
      <c r="L349" s="2" t="s">
        <v>29</v>
      </c>
      <c r="M349" s="2">
        <v>1</v>
      </c>
      <c r="N349" s="2">
        <v>719.4</v>
      </c>
      <c r="O349" s="2">
        <v>710</v>
      </c>
      <c r="P349" s="2">
        <v>40</v>
      </c>
      <c r="Q349" s="2" t="s">
        <v>30</v>
      </c>
      <c r="R349" s="2" t="s">
        <v>31</v>
      </c>
      <c r="S349" s="3">
        <v>45667</v>
      </c>
      <c r="T349" s="6">
        <v>4</v>
      </c>
    </row>
    <row r="350" spans="1:20" x14ac:dyDescent="0.3">
      <c r="A350" s="2" t="s">
        <v>816</v>
      </c>
      <c r="B350" s="3">
        <v>45384</v>
      </c>
      <c r="C350" s="2" t="s">
        <v>526</v>
      </c>
      <c r="D350" s="2" t="s">
        <v>488</v>
      </c>
      <c r="E350" s="2" t="s">
        <v>77</v>
      </c>
      <c r="F350" s="2">
        <v>41</v>
      </c>
      <c r="G350" s="2" t="s">
        <v>46</v>
      </c>
      <c r="H350" s="2" t="s">
        <v>25</v>
      </c>
      <c r="I350" s="2" t="s">
        <v>177</v>
      </c>
      <c r="J350" s="2" t="s">
        <v>178</v>
      </c>
      <c r="K350" s="2" t="s">
        <v>87</v>
      </c>
      <c r="L350" s="2" t="s">
        <v>179</v>
      </c>
      <c r="M350" s="2">
        <v>1</v>
      </c>
      <c r="N350" s="2">
        <v>1999.2</v>
      </c>
      <c r="O350" s="2">
        <v>1620</v>
      </c>
      <c r="P350" s="2">
        <v>20</v>
      </c>
      <c r="Q350" s="2" t="s">
        <v>30</v>
      </c>
      <c r="R350" s="2" t="s">
        <v>42</v>
      </c>
      <c r="S350" s="3">
        <v>45390</v>
      </c>
      <c r="T350" s="6">
        <v>4</v>
      </c>
    </row>
    <row r="351" spans="1:20" x14ac:dyDescent="0.3">
      <c r="A351" s="2" t="s">
        <v>817</v>
      </c>
      <c r="B351" s="3">
        <v>45767</v>
      </c>
      <c r="C351" s="2" t="s">
        <v>818</v>
      </c>
      <c r="D351" s="2" t="s">
        <v>819</v>
      </c>
      <c r="E351" s="2" t="s">
        <v>23</v>
      </c>
      <c r="F351" s="2">
        <v>40</v>
      </c>
      <c r="G351" s="2" t="s">
        <v>69</v>
      </c>
      <c r="H351" s="2" t="s">
        <v>69</v>
      </c>
      <c r="I351" s="2" t="s">
        <v>319</v>
      </c>
      <c r="J351" s="2" t="s">
        <v>320</v>
      </c>
      <c r="K351" s="2" t="s">
        <v>28</v>
      </c>
      <c r="L351" s="2" t="s">
        <v>29</v>
      </c>
      <c r="M351" s="2">
        <v>1</v>
      </c>
      <c r="N351" s="2">
        <v>959.2</v>
      </c>
      <c r="O351" s="2">
        <v>710</v>
      </c>
      <c r="P351" s="2">
        <v>20</v>
      </c>
      <c r="Q351" s="2" t="s">
        <v>41</v>
      </c>
      <c r="R351" s="2" t="s">
        <v>57</v>
      </c>
      <c r="S351" s="3">
        <v>45779</v>
      </c>
      <c r="T351" s="6">
        <v>4</v>
      </c>
    </row>
    <row r="352" spans="1:20" x14ac:dyDescent="0.3">
      <c r="A352" s="2" t="s">
        <v>820</v>
      </c>
      <c r="B352" s="3">
        <v>45728</v>
      </c>
      <c r="C352" s="2" t="s">
        <v>674</v>
      </c>
      <c r="D352" s="2" t="s">
        <v>675</v>
      </c>
      <c r="E352" s="2" t="s">
        <v>23</v>
      </c>
      <c r="F352" s="2">
        <v>51</v>
      </c>
      <c r="G352" s="2" t="s">
        <v>69</v>
      </c>
      <c r="H352" s="2" t="s">
        <v>69</v>
      </c>
      <c r="I352" s="2" t="s">
        <v>26</v>
      </c>
      <c r="J352" s="2" t="s">
        <v>27</v>
      </c>
      <c r="K352" s="2" t="s">
        <v>28</v>
      </c>
      <c r="L352" s="2" t="s">
        <v>29</v>
      </c>
      <c r="M352" s="2">
        <v>1</v>
      </c>
      <c r="N352" s="2">
        <v>1169.0999999999999</v>
      </c>
      <c r="O352" s="2">
        <v>790</v>
      </c>
      <c r="P352" s="2">
        <v>10</v>
      </c>
      <c r="Q352" s="2" t="s">
        <v>30</v>
      </c>
      <c r="R352" s="2" t="s">
        <v>42</v>
      </c>
      <c r="S352" s="3">
        <v>45735</v>
      </c>
      <c r="T352" s="6">
        <v>5</v>
      </c>
    </row>
    <row r="353" spans="1:20" x14ac:dyDescent="0.3">
      <c r="A353" s="2" t="s">
        <v>821</v>
      </c>
      <c r="B353" s="3">
        <v>45928</v>
      </c>
      <c r="C353" s="2" t="s">
        <v>822</v>
      </c>
      <c r="D353" s="2" t="s">
        <v>823</v>
      </c>
      <c r="E353" s="2" t="s">
        <v>77</v>
      </c>
      <c r="F353" s="2">
        <v>49</v>
      </c>
      <c r="G353" s="2" t="s">
        <v>46</v>
      </c>
      <c r="H353" s="2" t="s">
        <v>25</v>
      </c>
      <c r="I353" s="2" t="s">
        <v>245</v>
      </c>
      <c r="J353" s="2" t="s">
        <v>246</v>
      </c>
      <c r="K353" s="2" t="s">
        <v>130</v>
      </c>
      <c r="L353" s="2" t="s">
        <v>247</v>
      </c>
      <c r="M353" s="2">
        <v>3</v>
      </c>
      <c r="N353" s="2">
        <v>6747.3</v>
      </c>
      <c r="O353" s="2">
        <v>5610</v>
      </c>
      <c r="P353" s="2">
        <v>10</v>
      </c>
      <c r="Q353" s="2" t="s">
        <v>73</v>
      </c>
      <c r="R353" s="2" t="s">
        <v>42</v>
      </c>
      <c r="S353" s="3">
        <v>45936</v>
      </c>
      <c r="T353" s="6">
        <v>5</v>
      </c>
    </row>
    <row r="354" spans="1:20" x14ac:dyDescent="0.3">
      <c r="A354" s="2" t="s">
        <v>824</v>
      </c>
      <c r="B354" s="3">
        <v>45570</v>
      </c>
      <c r="C354" s="2" t="s">
        <v>825</v>
      </c>
      <c r="D354" s="2" t="s">
        <v>826</v>
      </c>
      <c r="E354" s="2" t="s">
        <v>77</v>
      </c>
      <c r="F354" s="2">
        <v>22</v>
      </c>
      <c r="G354" s="2" t="s">
        <v>101</v>
      </c>
      <c r="H354" s="2" t="s">
        <v>102</v>
      </c>
      <c r="I354" s="2" t="s">
        <v>134</v>
      </c>
      <c r="J354" s="2" t="s">
        <v>135</v>
      </c>
      <c r="K354" s="2" t="s">
        <v>39</v>
      </c>
      <c r="L354" s="2" t="s">
        <v>136</v>
      </c>
      <c r="M354" s="2">
        <v>2</v>
      </c>
      <c r="N354" s="2">
        <v>378.1</v>
      </c>
      <c r="O354" s="2">
        <v>180</v>
      </c>
      <c r="P354" s="2">
        <v>5</v>
      </c>
      <c r="Q354" s="2" t="s">
        <v>30</v>
      </c>
      <c r="R354" s="2" t="s">
        <v>31</v>
      </c>
      <c r="S354" s="3">
        <v>45572</v>
      </c>
      <c r="T354" s="6">
        <v>3</v>
      </c>
    </row>
    <row r="355" spans="1:20" x14ac:dyDescent="0.3">
      <c r="A355" s="2" t="s">
        <v>827</v>
      </c>
      <c r="B355" s="3">
        <v>45398</v>
      </c>
      <c r="C355" s="2" t="s">
        <v>546</v>
      </c>
      <c r="D355" s="2" t="s">
        <v>547</v>
      </c>
      <c r="E355" s="2" t="s">
        <v>77</v>
      </c>
      <c r="F355" s="2">
        <v>33</v>
      </c>
      <c r="G355" s="2" t="s">
        <v>101</v>
      </c>
      <c r="H355" s="2" t="s">
        <v>102</v>
      </c>
      <c r="I355" s="2" t="s">
        <v>198</v>
      </c>
      <c r="J355" s="2" t="s">
        <v>199</v>
      </c>
      <c r="K355" s="2" t="s">
        <v>114</v>
      </c>
      <c r="L355" s="2" t="s">
        <v>200</v>
      </c>
      <c r="M355" s="2">
        <v>4</v>
      </c>
      <c r="N355" s="2">
        <v>4676.3999999999996</v>
      </c>
      <c r="O355" s="2">
        <v>3040</v>
      </c>
      <c r="P355" s="2">
        <v>10</v>
      </c>
      <c r="Q355" s="2" t="s">
        <v>50</v>
      </c>
      <c r="R355" s="2" t="s">
        <v>42</v>
      </c>
      <c r="S355" s="3">
        <v>45405</v>
      </c>
      <c r="T355" s="6">
        <v>2</v>
      </c>
    </row>
    <row r="356" spans="1:20" x14ac:dyDescent="0.3">
      <c r="A356" s="2" t="s">
        <v>828</v>
      </c>
      <c r="B356" s="3">
        <v>45992</v>
      </c>
      <c r="C356" s="2" t="s">
        <v>700</v>
      </c>
      <c r="D356" s="2" t="s">
        <v>250</v>
      </c>
      <c r="E356" s="2" t="s">
        <v>23</v>
      </c>
      <c r="F356" s="2">
        <v>48</v>
      </c>
      <c r="G356" s="2" t="s">
        <v>101</v>
      </c>
      <c r="H356" s="2" t="s">
        <v>102</v>
      </c>
      <c r="I356" s="2" t="s">
        <v>37</v>
      </c>
      <c r="J356" s="2" t="s">
        <v>38</v>
      </c>
      <c r="K356" s="2" t="s">
        <v>39</v>
      </c>
      <c r="L356" s="2" t="s">
        <v>40</v>
      </c>
      <c r="M356" s="2">
        <v>1</v>
      </c>
      <c r="N356" s="2">
        <v>629.29999999999995</v>
      </c>
      <c r="O356" s="2">
        <v>520</v>
      </c>
      <c r="P356" s="2">
        <v>30</v>
      </c>
      <c r="Q356" s="2" t="s">
        <v>103</v>
      </c>
      <c r="R356" s="2" t="s">
        <v>42</v>
      </c>
      <c r="S356" s="3">
        <v>45995</v>
      </c>
      <c r="T356" s="6">
        <v>4</v>
      </c>
    </row>
    <row r="357" spans="1:20" x14ac:dyDescent="0.3">
      <c r="A357" s="2" t="s">
        <v>829</v>
      </c>
      <c r="B357" s="3">
        <v>45962</v>
      </c>
      <c r="C357" s="2" t="s">
        <v>278</v>
      </c>
      <c r="D357" s="2" t="s">
        <v>139</v>
      </c>
      <c r="E357" s="2" t="s">
        <v>77</v>
      </c>
      <c r="F357" s="2">
        <v>32</v>
      </c>
      <c r="G357" s="2" t="s">
        <v>161</v>
      </c>
      <c r="H357" s="2" t="s">
        <v>25</v>
      </c>
      <c r="I357" s="2" t="s">
        <v>85</v>
      </c>
      <c r="J357" s="2" t="s">
        <v>86</v>
      </c>
      <c r="K357" s="2" t="s">
        <v>87</v>
      </c>
      <c r="L357" s="2" t="s">
        <v>88</v>
      </c>
      <c r="M357" s="2">
        <v>5</v>
      </c>
      <c r="N357" s="2">
        <v>5945.75</v>
      </c>
      <c r="O357" s="2">
        <v>3950</v>
      </c>
      <c r="P357" s="2">
        <v>15</v>
      </c>
      <c r="Q357" s="2" t="s">
        <v>41</v>
      </c>
      <c r="R357" s="2" t="s">
        <v>65</v>
      </c>
      <c r="S357" s="3" t="s">
        <v>1604</v>
      </c>
      <c r="T357" s="6" t="s">
        <v>1604</v>
      </c>
    </row>
    <row r="358" spans="1:20" x14ac:dyDescent="0.3">
      <c r="A358" s="2" t="s">
        <v>830</v>
      </c>
      <c r="B358" s="3">
        <v>45827</v>
      </c>
      <c r="C358" s="2" t="s">
        <v>571</v>
      </c>
      <c r="D358" s="2" t="s">
        <v>572</v>
      </c>
      <c r="E358" s="2" t="s">
        <v>77</v>
      </c>
      <c r="F358" s="2">
        <v>47</v>
      </c>
      <c r="G358" s="2" t="s">
        <v>122</v>
      </c>
      <c r="H358" s="2" t="s">
        <v>123</v>
      </c>
      <c r="I358" s="2" t="s">
        <v>107</v>
      </c>
      <c r="J358" s="2" t="s">
        <v>108</v>
      </c>
      <c r="K358" s="2" t="s">
        <v>87</v>
      </c>
      <c r="L358" s="2" t="s">
        <v>88</v>
      </c>
      <c r="M358" s="2">
        <v>2</v>
      </c>
      <c r="N358" s="2">
        <v>958.8</v>
      </c>
      <c r="O358" s="2">
        <v>840</v>
      </c>
      <c r="P358" s="2">
        <v>40</v>
      </c>
      <c r="Q358" s="2" t="s">
        <v>41</v>
      </c>
      <c r="R358" s="2" t="s">
        <v>31</v>
      </c>
      <c r="S358" s="3">
        <v>45839</v>
      </c>
      <c r="T358" s="6">
        <v>5</v>
      </c>
    </row>
    <row r="359" spans="1:20" x14ac:dyDescent="0.3">
      <c r="A359" s="2" t="s">
        <v>831</v>
      </c>
      <c r="B359" s="3">
        <v>45444</v>
      </c>
      <c r="C359" s="2" t="s">
        <v>581</v>
      </c>
      <c r="D359" s="2" t="s">
        <v>582</v>
      </c>
      <c r="E359" s="2" t="s">
        <v>23</v>
      </c>
      <c r="F359" s="2">
        <v>37</v>
      </c>
      <c r="G359" s="2" t="s">
        <v>24</v>
      </c>
      <c r="H359" s="2" t="s">
        <v>25</v>
      </c>
      <c r="I359" s="2" t="s">
        <v>80</v>
      </c>
      <c r="J359" s="2" t="s">
        <v>81</v>
      </c>
      <c r="K359" s="2" t="s">
        <v>28</v>
      </c>
      <c r="L359" s="2" t="s">
        <v>29</v>
      </c>
      <c r="M359" s="2">
        <v>2</v>
      </c>
      <c r="N359" s="2">
        <v>958.8</v>
      </c>
      <c r="O359" s="2">
        <v>940</v>
      </c>
      <c r="P359" s="2">
        <v>40</v>
      </c>
      <c r="Q359" s="2" t="s">
        <v>103</v>
      </c>
      <c r="R359" s="2" t="s">
        <v>57</v>
      </c>
      <c r="S359" s="3">
        <v>45448</v>
      </c>
      <c r="T359" s="6">
        <v>3</v>
      </c>
    </row>
    <row r="360" spans="1:20" x14ac:dyDescent="0.3">
      <c r="A360" s="2" t="s">
        <v>832</v>
      </c>
      <c r="B360" s="3">
        <v>45795</v>
      </c>
      <c r="C360" s="2" t="s">
        <v>269</v>
      </c>
      <c r="D360" s="2" t="s">
        <v>270</v>
      </c>
      <c r="E360" s="2" t="s">
        <v>77</v>
      </c>
      <c r="F360" s="2">
        <v>43</v>
      </c>
      <c r="G360" s="2" t="s">
        <v>90</v>
      </c>
      <c r="H360" s="2" t="s">
        <v>91</v>
      </c>
      <c r="I360" s="2" t="s">
        <v>183</v>
      </c>
      <c r="J360" s="2" t="s">
        <v>184</v>
      </c>
      <c r="K360" s="2" t="s">
        <v>130</v>
      </c>
      <c r="L360" s="2" t="s">
        <v>185</v>
      </c>
      <c r="M360" s="2">
        <v>3</v>
      </c>
      <c r="N360" s="2">
        <v>11997</v>
      </c>
      <c r="O360" s="2">
        <v>9150</v>
      </c>
      <c r="P360" s="2">
        <v>0</v>
      </c>
      <c r="Q360" s="2" t="s">
        <v>50</v>
      </c>
      <c r="R360" s="2" t="s">
        <v>42</v>
      </c>
      <c r="S360" s="3">
        <v>45805</v>
      </c>
      <c r="T360" s="6">
        <v>5</v>
      </c>
    </row>
    <row r="361" spans="1:20" x14ac:dyDescent="0.3">
      <c r="A361" s="2" t="s">
        <v>833</v>
      </c>
      <c r="B361" s="3">
        <v>45704</v>
      </c>
      <c r="C361" s="2" t="s">
        <v>752</v>
      </c>
      <c r="D361" s="2" t="s">
        <v>250</v>
      </c>
      <c r="E361" s="2" t="s">
        <v>23</v>
      </c>
      <c r="F361" s="2">
        <v>37</v>
      </c>
      <c r="G361" s="2" t="s">
        <v>46</v>
      </c>
      <c r="H361" s="2" t="s">
        <v>25</v>
      </c>
      <c r="I361" s="2" t="s">
        <v>63</v>
      </c>
      <c r="J361" s="2" t="s">
        <v>64</v>
      </c>
      <c r="K361" s="2" t="s">
        <v>39</v>
      </c>
      <c r="L361" s="2" t="s">
        <v>40</v>
      </c>
      <c r="M361" s="2">
        <v>4</v>
      </c>
      <c r="N361" s="2">
        <v>1437.6</v>
      </c>
      <c r="O361" s="2">
        <v>1320</v>
      </c>
      <c r="P361" s="2">
        <v>40</v>
      </c>
      <c r="Q361" s="2" t="s">
        <v>73</v>
      </c>
      <c r="R361" s="2" t="s">
        <v>57</v>
      </c>
      <c r="S361" s="3">
        <v>45713</v>
      </c>
      <c r="T361" s="6">
        <v>5</v>
      </c>
    </row>
    <row r="362" spans="1:20" x14ac:dyDescent="0.3">
      <c r="A362" s="2" t="s">
        <v>834</v>
      </c>
      <c r="B362" s="3">
        <v>45615</v>
      </c>
      <c r="C362" s="2" t="s">
        <v>517</v>
      </c>
      <c r="D362" s="2" t="s">
        <v>518</v>
      </c>
      <c r="E362" s="2" t="s">
        <v>23</v>
      </c>
      <c r="F362" s="2">
        <v>38</v>
      </c>
      <c r="G362" s="2" t="s">
        <v>101</v>
      </c>
      <c r="H362" s="2" t="s">
        <v>102</v>
      </c>
      <c r="I362" s="2" t="s">
        <v>177</v>
      </c>
      <c r="J362" s="2" t="s">
        <v>178</v>
      </c>
      <c r="K362" s="2" t="s">
        <v>87</v>
      </c>
      <c r="L362" s="2" t="s">
        <v>179</v>
      </c>
      <c r="M362" s="2">
        <v>1</v>
      </c>
      <c r="N362" s="2">
        <v>2374.0500000000002</v>
      </c>
      <c r="O362" s="2">
        <v>1620</v>
      </c>
      <c r="P362" s="2">
        <v>5</v>
      </c>
      <c r="Q362" s="2" t="s">
        <v>103</v>
      </c>
      <c r="R362" s="2" t="s">
        <v>42</v>
      </c>
      <c r="S362" s="3">
        <v>45617</v>
      </c>
      <c r="T362" s="6">
        <v>2</v>
      </c>
    </row>
    <row r="363" spans="1:20" x14ac:dyDescent="0.3">
      <c r="A363" s="2" t="s">
        <v>835</v>
      </c>
      <c r="B363" s="3">
        <v>45385</v>
      </c>
      <c r="C363" s="2" t="s">
        <v>331</v>
      </c>
      <c r="D363" s="2" t="s">
        <v>332</v>
      </c>
      <c r="E363" s="2" t="s">
        <v>23</v>
      </c>
      <c r="F363" s="2">
        <v>39</v>
      </c>
      <c r="G363" s="2" t="s">
        <v>154</v>
      </c>
      <c r="H363" s="2" t="s">
        <v>91</v>
      </c>
      <c r="I363" s="2" t="s">
        <v>92</v>
      </c>
      <c r="J363" s="2" t="s">
        <v>93</v>
      </c>
      <c r="K363" s="2" t="s">
        <v>87</v>
      </c>
      <c r="L363" s="2" t="s">
        <v>94</v>
      </c>
      <c r="M363" s="2">
        <v>4</v>
      </c>
      <c r="N363" s="2">
        <v>4797</v>
      </c>
      <c r="O363" s="2">
        <v>3720</v>
      </c>
      <c r="P363" s="2">
        <v>25</v>
      </c>
      <c r="Q363" s="2" t="s">
        <v>41</v>
      </c>
      <c r="R363" s="2" t="s">
        <v>57</v>
      </c>
      <c r="S363" s="3">
        <v>45387</v>
      </c>
      <c r="T363" s="6">
        <v>4</v>
      </c>
    </row>
    <row r="364" spans="1:20" x14ac:dyDescent="0.3">
      <c r="A364" s="2" t="s">
        <v>836</v>
      </c>
      <c r="B364" s="3">
        <v>45757</v>
      </c>
      <c r="C364" s="2" t="s">
        <v>837</v>
      </c>
      <c r="D364" s="2" t="s">
        <v>838</v>
      </c>
      <c r="E364" s="2" t="s">
        <v>77</v>
      </c>
      <c r="F364" s="2">
        <v>38</v>
      </c>
      <c r="G364" s="2" t="s">
        <v>101</v>
      </c>
      <c r="H364" s="2" t="s">
        <v>102</v>
      </c>
      <c r="I364" s="2" t="s">
        <v>85</v>
      </c>
      <c r="J364" s="2" t="s">
        <v>86</v>
      </c>
      <c r="K364" s="2" t="s">
        <v>87</v>
      </c>
      <c r="L364" s="2" t="s">
        <v>88</v>
      </c>
      <c r="M364" s="2">
        <v>3</v>
      </c>
      <c r="N364" s="2">
        <v>2518.1999999999998</v>
      </c>
      <c r="O364" s="2">
        <v>2370</v>
      </c>
      <c r="P364" s="2">
        <v>40</v>
      </c>
      <c r="Q364" s="2" t="s">
        <v>73</v>
      </c>
      <c r="R364" s="2" t="s">
        <v>42</v>
      </c>
      <c r="S364" s="3">
        <v>45769</v>
      </c>
      <c r="T364" s="6">
        <v>4</v>
      </c>
    </row>
    <row r="365" spans="1:20" x14ac:dyDescent="0.3">
      <c r="A365" s="2" t="s">
        <v>839</v>
      </c>
      <c r="B365" s="3">
        <v>45294</v>
      </c>
      <c r="C365" s="2" t="s">
        <v>450</v>
      </c>
      <c r="D365" s="2" t="s">
        <v>451</v>
      </c>
      <c r="E365" s="2" t="s">
        <v>77</v>
      </c>
      <c r="F365" s="2">
        <v>30</v>
      </c>
      <c r="G365" s="2" t="s">
        <v>211</v>
      </c>
      <c r="H365" s="2" t="s">
        <v>127</v>
      </c>
      <c r="I365" s="2" t="s">
        <v>92</v>
      </c>
      <c r="J365" s="2" t="s">
        <v>93</v>
      </c>
      <c r="K365" s="2" t="s">
        <v>87</v>
      </c>
      <c r="L365" s="2" t="s">
        <v>94</v>
      </c>
      <c r="M365" s="2">
        <v>3</v>
      </c>
      <c r="N365" s="2">
        <v>3597.75</v>
      </c>
      <c r="O365" s="2">
        <v>2790</v>
      </c>
      <c r="P365" s="2">
        <v>25</v>
      </c>
      <c r="Q365" s="2" t="s">
        <v>73</v>
      </c>
      <c r="R365" s="2" t="s">
        <v>42</v>
      </c>
      <c r="S365" s="3">
        <v>45298</v>
      </c>
      <c r="T365" s="6">
        <v>5</v>
      </c>
    </row>
    <row r="366" spans="1:20" x14ac:dyDescent="0.3">
      <c r="A366" s="2" t="s">
        <v>840</v>
      </c>
      <c r="B366" s="3">
        <v>45435</v>
      </c>
      <c r="C366" s="2" t="s">
        <v>775</v>
      </c>
      <c r="D366" s="2" t="s">
        <v>244</v>
      </c>
      <c r="E366" s="2" t="s">
        <v>77</v>
      </c>
      <c r="F366" s="2">
        <v>46</v>
      </c>
      <c r="G366" s="2" t="s">
        <v>69</v>
      </c>
      <c r="H366" s="2" t="s">
        <v>69</v>
      </c>
      <c r="I366" s="2" t="s">
        <v>128</v>
      </c>
      <c r="J366" s="2" t="s">
        <v>129</v>
      </c>
      <c r="K366" s="2" t="s">
        <v>130</v>
      </c>
      <c r="L366" s="2" t="s">
        <v>131</v>
      </c>
      <c r="M366" s="2">
        <v>5</v>
      </c>
      <c r="N366" s="2">
        <v>27620.75</v>
      </c>
      <c r="O366" s="2">
        <v>25500</v>
      </c>
      <c r="P366" s="2">
        <v>15</v>
      </c>
      <c r="Q366" s="2" t="s">
        <v>30</v>
      </c>
      <c r="R366" s="2" t="s">
        <v>42</v>
      </c>
      <c r="S366" s="3">
        <v>45443</v>
      </c>
      <c r="T366" s="6">
        <v>4</v>
      </c>
    </row>
    <row r="367" spans="1:20" x14ac:dyDescent="0.3">
      <c r="A367" s="2" t="s">
        <v>841</v>
      </c>
      <c r="B367" s="3">
        <v>45760</v>
      </c>
      <c r="C367" s="2" t="s">
        <v>742</v>
      </c>
      <c r="D367" s="2" t="s">
        <v>743</v>
      </c>
      <c r="E367" s="2" t="s">
        <v>23</v>
      </c>
      <c r="F367" s="2">
        <v>49</v>
      </c>
      <c r="G367" s="2" t="s">
        <v>126</v>
      </c>
      <c r="H367" s="2" t="s">
        <v>127</v>
      </c>
      <c r="I367" s="2" t="s">
        <v>229</v>
      </c>
      <c r="J367" s="2" t="s">
        <v>230</v>
      </c>
      <c r="K367" s="2" t="s">
        <v>28</v>
      </c>
      <c r="L367" s="2" t="s">
        <v>231</v>
      </c>
      <c r="M367" s="2">
        <v>4</v>
      </c>
      <c r="N367" s="2">
        <v>7996</v>
      </c>
      <c r="O367" s="2">
        <v>4920</v>
      </c>
      <c r="P367" s="2">
        <v>0</v>
      </c>
      <c r="Q367" s="2" t="s">
        <v>50</v>
      </c>
      <c r="R367" s="2" t="s">
        <v>42</v>
      </c>
      <c r="S367" s="3">
        <v>45769</v>
      </c>
      <c r="T367" s="6">
        <v>5</v>
      </c>
    </row>
    <row r="368" spans="1:20" x14ac:dyDescent="0.3">
      <c r="A368" s="2" t="s">
        <v>842</v>
      </c>
      <c r="B368" s="3">
        <v>45966</v>
      </c>
      <c r="C368" s="2" t="s">
        <v>843</v>
      </c>
      <c r="D368" s="2" t="s">
        <v>97</v>
      </c>
      <c r="E368" s="2" t="s">
        <v>23</v>
      </c>
      <c r="F368" s="2">
        <v>37</v>
      </c>
      <c r="G368" s="2" t="s">
        <v>173</v>
      </c>
      <c r="H368" s="2" t="s">
        <v>79</v>
      </c>
      <c r="I368" s="2" t="s">
        <v>37</v>
      </c>
      <c r="J368" s="2" t="s">
        <v>38</v>
      </c>
      <c r="K368" s="2" t="s">
        <v>39</v>
      </c>
      <c r="L368" s="2" t="s">
        <v>40</v>
      </c>
      <c r="M368" s="2">
        <v>1</v>
      </c>
      <c r="N368" s="2">
        <v>899</v>
      </c>
      <c r="O368" s="2">
        <v>520</v>
      </c>
      <c r="P368" s="2">
        <v>0</v>
      </c>
      <c r="Q368" s="2" t="s">
        <v>50</v>
      </c>
      <c r="R368" s="2" t="s">
        <v>42</v>
      </c>
      <c r="S368" s="3">
        <v>45977</v>
      </c>
      <c r="T368" s="6">
        <v>5</v>
      </c>
    </row>
    <row r="369" spans="1:20" x14ac:dyDescent="0.3">
      <c r="A369" s="2" t="s">
        <v>844</v>
      </c>
      <c r="B369" s="3">
        <v>45812</v>
      </c>
      <c r="C369" s="2" t="s">
        <v>499</v>
      </c>
      <c r="D369" s="2" t="s">
        <v>388</v>
      </c>
      <c r="E369" s="2" t="s">
        <v>23</v>
      </c>
      <c r="F369" s="2">
        <v>30</v>
      </c>
      <c r="G369" s="2" t="s">
        <v>78</v>
      </c>
      <c r="H369" s="2" t="s">
        <v>79</v>
      </c>
      <c r="I369" s="2" t="s">
        <v>177</v>
      </c>
      <c r="J369" s="2" t="s">
        <v>178</v>
      </c>
      <c r="K369" s="2" t="s">
        <v>87</v>
      </c>
      <c r="L369" s="2" t="s">
        <v>179</v>
      </c>
      <c r="M369" s="2">
        <v>2</v>
      </c>
      <c r="N369" s="2">
        <v>4748.1000000000004</v>
      </c>
      <c r="O369" s="2">
        <v>3240</v>
      </c>
      <c r="P369" s="2">
        <v>5</v>
      </c>
      <c r="Q369" s="2" t="s">
        <v>103</v>
      </c>
      <c r="R369" s="2" t="s">
        <v>31</v>
      </c>
      <c r="S369" s="3">
        <v>45823</v>
      </c>
      <c r="T369" s="6">
        <v>4</v>
      </c>
    </row>
    <row r="370" spans="1:20" x14ac:dyDescent="0.3">
      <c r="A370" s="2" t="s">
        <v>845</v>
      </c>
      <c r="B370" s="3">
        <v>45808</v>
      </c>
      <c r="C370" s="2" t="s">
        <v>152</v>
      </c>
      <c r="D370" s="2" t="s">
        <v>153</v>
      </c>
      <c r="E370" s="2" t="s">
        <v>23</v>
      </c>
      <c r="F370" s="2">
        <v>33</v>
      </c>
      <c r="G370" s="2" t="s">
        <v>122</v>
      </c>
      <c r="H370" s="2" t="s">
        <v>123</v>
      </c>
      <c r="I370" s="2" t="s">
        <v>155</v>
      </c>
      <c r="J370" s="2" t="s">
        <v>156</v>
      </c>
      <c r="K370" s="2" t="s">
        <v>114</v>
      </c>
      <c r="L370" s="2" t="s">
        <v>157</v>
      </c>
      <c r="M370" s="2">
        <v>2</v>
      </c>
      <c r="N370" s="2">
        <v>1598.4</v>
      </c>
      <c r="O370" s="2">
        <v>1220</v>
      </c>
      <c r="P370" s="2">
        <v>20</v>
      </c>
      <c r="Q370" s="2" t="s">
        <v>103</v>
      </c>
      <c r="R370" s="2" t="s">
        <v>42</v>
      </c>
      <c r="S370" s="3">
        <v>45814</v>
      </c>
      <c r="T370" s="6">
        <v>5</v>
      </c>
    </row>
    <row r="371" spans="1:20" x14ac:dyDescent="0.3">
      <c r="A371" s="2" t="s">
        <v>846</v>
      </c>
      <c r="B371" s="3">
        <v>45428</v>
      </c>
      <c r="C371" s="2" t="s">
        <v>847</v>
      </c>
      <c r="D371" s="2" t="s">
        <v>402</v>
      </c>
      <c r="E371" s="2" t="s">
        <v>23</v>
      </c>
      <c r="F371" s="2">
        <v>43</v>
      </c>
      <c r="G371" s="2" t="s">
        <v>122</v>
      </c>
      <c r="H371" s="2" t="s">
        <v>123</v>
      </c>
      <c r="I371" s="2" t="s">
        <v>155</v>
      </c>
      <c r="J371" s="2" t="s">
        <v>156</v>
      </c>
      <c r="K371" s="2" t="s">
        <v>114</v>
      </c>
      <c r="L371" s="2" t="s">
        <v>157</v>
      </c>
      <c r="M371" s="2">
        <v>5</v>
      </c>
      <c r="N371" s="2">
        <v>3996</v>
      </c>
      <c r="O371" s="2">
        <v>3050</v>
      </c>
      <c r="P371" s="2">
        <v>20</v>
      </c>
      <c r="Q371" s="2" t="s">
        <v>50</v>
      </c>
      <c r="R371" s="2" t="s">
        <v>57</v>
      </c>
      <c r="S371" s="3">
        <v>45435</v>
      </c>
      <c r="T371" s="6">
        <v>4</v>
      </c>
    </row>
    <row r="372" spans="1:20" x14ac:dyDescent="0.3">
      <c r="A372" s="2" t="s">
        <v>848</v>
      </c>
      <c r="B372" s="3">
        <v>45497</v>
      </c>
      <c r="C372" s="2" t="s">
        <v>849</v>
      </c>
      <c r="D372" s="2" t="s">
        <v>850</v>
      </c>
      <c r="E372" s="2" t="s">
        <v>23</v>
      </c>
      <c r="F372" s="2">
        <v>21</v>
      </c>
      <c r="G372" s="2" t="s">
        <v>35</v>
      </c>
      <c r="H372" s="2" t="s">
        <v>36</v>
      </c>
      <c r="I372" s="2" t="s">
        <v>107</v>
      </c>
      <c r="J372" s="2" t="s">
        <v>108</v>
      </c>
      <c r="K372" s="2" t="s">
        <v>87</v>
      </c>
      <c r="L372" s="2" t="s">
        <v>88</v>
      </c>
      <c r="M372" s="2">
        <v>3</v>
      </c>
      <c r="N372" s="2">
        <v>2157.3000000000002</v>
      </c>
      <c r="O372" s="2">
        <v>1260</v>
      </c>
      <c r="P372" s="2">
        <v>10</v>
      </c>
      <c r="Q372" s="2" t="s">
        <v>30</v>
      </c>
      <c r="R372" s="2" t="s">
        <v>65</v>
      </c>
      <c r="S372" s="3" t="s">
        <v>1604</v>
      </c>
      <c r="T372" s="6" t="s">
        <v>1604</v>
      </c>
    </row>
    <row r="373" spans="1:20" x14ac:dyDescent="0.3">
      <c r="A373" s="2" t="s">
        <v>851</v>
      </c>
      <c r="B373" s="3">
        <v>45847</v>
      </c>
      <c r="C373" s="2" t="s">
        <v>852</v>
      </c>
      <c r="D373" s="2" t="s">
        <v>724</v>
      </c>
      <c r="E373" s="2" t="s">
        <v>77</v>
      </c>
      <c r="F373" s="2">
        <v>39</v>
      </c>
      <c r="G373" s="2" t="s">
        <v>69</v>
      </c>
      <c r="H373" s="2" t="s">
        <v>69</v>
      </c>
      <c r="I373" s="2" t="s">
        <v>245</v>
      </c>
      <c r="J373" s="2" t="s">
        <v>246</v>
      </c>
      <c r="K373" s="2" t="s">
        <v>130</v>
      </c>
      <c r="L373" s="2" t="s">
        <v>247</v>
      </c>
      <c r="M373" s="2">
        <v>5</v>
      </c>
      <c r="N373" s="2">
        <v>7497</v>
      </c>
      <c r="O373" s="2">
        <v>9350</v>
      </c>
      <c r="P373" s="2">
        <v>40</v>
      </c>
      <c r="Q373" s="2" t="s">
        <v>50</v>
      </c>
      <c r="R373" s="2" t="s">
        <v>65</v>
      </c>
      <c r="S373" s="3" t="s">
        <v>1604</v>
      </c>
      <c r="T373" s="6" t="s">
        <v>1604</v>
      </c>
    </row>
    <row r="374" spans="1:20" x14ac:dyDescent="0.3">
      <c r="A374" s="2" t="s">
        <v>853</v>
      </c>
      <c r="B374" s="3">
        <v>45975</v>
      </c>
      <c r="C374" s="2" t="s">
        <v>546</v>
      </c>
      <c r="D374" s="2" t="s">
        <v>547</v>
      </c>
      <c r="E374" s="2" t="s">
        <v>77</v>
      </c>
      <c r="F374" s="2">
        <v>33</v>
      </c>
      <c r="G374" s="2" t="s">
        <v>35</v>
      </c>
      <c r="H374" s="2" t="s">
        <v>36</v>
      </c>
      <c r="I374" s="2" t="s">
        <v>134</v>
      </c>
      <c r="J374" s="2" t="s">
        <v>135</v>
      </c>
      <c r="K374" s="2" t="s">
        <v>39</v>
      </c>
      <c r="L374" s="2" t="s">
        <v>136</v>
      </c>
      <c r="M374" s="2">
        <v>1</v>
      </c>
      <c r="N374" s="2">
        <v>189.05</v>
      </c>
      <c r="O374" s="2">
        <v>90</v>
      </c>
      <c r="P374" s="2">
        <v>5</v>
      </c>
      <c r="Q374" s="2" t="s">
        <v>73</v>
      </c>
      <c r="R374" s="2" t="s">
        <v>42</v>
      </c>
      <c r="S374" s="3">
        <v>45979</v>
      </c>
      <c r="T374" s="6">
        <v>2</v>
      </c>
    </row>
    <row r="375" spans="1:20" x14ac:dyDescent="0.3">
      <c r="A375" s="2" t="s">
        <v>854</v>
      </c>
      <c r="B375" s="3">
        <v>45978</v>
      </c>
      <c r="C375" s="2" t="s">
        <v>855</v>
      </c>
      <c r="D375" s="2" t="s">
        <v>349</v>
      </c>
      <c r="E375" s="2" t="s">
        <v>23</v>
      </c>
      <c r="F375" s="2">
        <v>28</v>
      </c>
      <c r="G375" s="2" t="s">
        <v>154</v>
      </c>
      <c r="H375" s="2" t="s">
        <v>91</v>
      </c>
      <c r="I375" s="2" t="s">
        <v>128</v>
      </c>
      <c r="J375" s="2" t="s">
        <v>129</v>
      </c>
      <c r="K375" s="2" t="s">
        <v>130</v>
      </c>
      <c r="L375" s="2" t="s">
        <v>131</v>
      </c>
      <c r="M375" s="2">
        <v>2</v>
      </c>
      <c r="N375" s="2">
        <v>10398.4</v>
      </c>
      <c r="O375" s="2">
        <v>10200</v>
      </c>
      <c r="P375" s="2">
        <v>20</v>
      </c>
      <c r="Q375" s="2" t="s">
        <v>41</v>
      </c>
      <c r="R375" s="2" t="s">
        <v>42</v>
      </c>
      <c r="S375" s="3">
        <v>45980</v>
      </c>
      <c r="T375" s="6">
        <v>4</v>
      </c>
    </row>
    <row r="376" spans="1:20" x14ac:dyDescent="0.3">
      <c r="A376" s="2" t="s">
        <v>856</v>
      </c>
      <c r="B376" s="3">
        <v>45500</v>
      </c>
      <c r="C376" s="2" t="s">
        <v>133</v>
      </c>
      <c r="D376" s="2" t="s">
        <v>857</v>
      </c>
      <c r="E376" s="2" t="s">
        <v>77</v>
      </c>
      <c r="F376" s="2">
        <v>56</v>
      </c>
      <c r="G376" s="2" t="s">
        <v>24</v>
      </c>
      <c r="H376" s="2" t="s">
        <v>25</v>
      </c>
      <c r="I376" s="2" t="s">
        <v>245</v>
      </c>
      <c r="J376" s="2" t="s">
        <v>246</v>
      </c>
      <c r="K376" s="2" t="s">
        <v>130</v>
      </c>
      <c r="L376" s="2" t="s">
        <v>247</v>
      </c>
      <c r="M376" s="2">
        <v>4</v>
      </c>
      <c r="N376" s="2">
        <v>9496.2000000000007</v>
      </c>
      <c r="O376" s="2">
        <v>7480</v>
      </c>
      <c r="P376" s="2">
        <v>5</v>
      </c>
      <c r="Q376" s="2" t="s">
        <v>50</v>
      </c>
      <c r="R376" s="2" t="s">
        <v>57</v>
      </c>
      <c r="S376" s="3">
        <v>45512</v>
      </c>
      <c r="T376" s="6">
        <v>4</v>
      </c>
    </row>
    <row r="377" spans="1:20" x14ac:dyDescent="0.3">
      <c r="A377" s="2" t="s">
        <v>858</v>
      </c>
      <c r="B377" s="3">
        <v>45954</v>
      </c>
      <c r="C377" s="2" t="s">
        <v>859</v>
      </c>
      <c r="D377" s="2" t="s">
        <v>496</v>
      </c>
      <c r="E377" s="2" t="s">
        <v>77</v>
      </c>
      <c r="F377" s="2">
        <v>51</v>
      </c>
      <c r="G377" s="2" t="s">
        <v>165</v>
      </c>
      <c r="H377" s="2" t="s">
        <v>166</v>
      </c>
      <c r="I377" s="2" t="s">
        <v>304</v>
      </c>
      <c r="J377" s="2" t="s">
        <v>305</v>
      </c>
      <c r="K377" s="2" t="s">
        <v>28</v>
      </c>
      <c r="L377" s="2" t="s">
        <v>231</v>
      </c>
      <c r="M377" s="2">
        <v>5</v>
      </c>
      <c r="N377" s="2">
        <v>7196</v>
      </c>
      <c r="O377" s="2">
        <v>5400</v>
      </c>
      <c r="P377" s="2">
        <v>20</v>
      </c>
      <c r="Q377" s="2" t="s">
        <v>73</v>
      </c>
      <c r="R377" s="2" t="s">
        <v>42</v>
      </c>
      <c r="S377" s="3">
        <v>45962</v>
      </c>
      <c r="T377" s="6">
        <v>5</v>
      </c>
    </row>
    <row r="378" spans="1:20" x14ac:dyDescent="0.3">
      <c r="A378" s="2" t="s">
        <v>860</v>
      </c>
      <c r="B378" s="3">
        <v>45993</v>
      </c>
      <c r="C378" s="2" t="s">
        <v>278</v>
      </c>
      <c r="D378" s="2" t="s">
        <v>139</v>
      </c>
      <c r="E378" s="2" t="s">
        <v>77</v>
      </c>
      <c r="F378" s="2">
        <v>32</v>
      </c>
      <c r="G378" s="2" t="s">
        <v>24</v>
      </c>
      <c r="H378" s="2" t="s">
        <v>25</v>
      </c>
      <c r="I378" s="2" t="s">
        <v>80</v>
      </c>
      <c r="J378" s="2" t="s">
        <v>81</v>
      </c>
      <c r="K378" s="2" t="s">
        <v>28</v>
      </c>
      <c r="L378" s="2" t="s">
        <v>29</v>
      </c>
      <c r="M378" s="2">
        <v>3</v>
      </c>
      <c r="N378" s="2">
        <v>2037.45</v>
      </c>
      <c r="O378" s="2">
        <v>1410</v>
      </c>
      <c r="P378" s="2">
        <v>15</v>
      </c>
      <c r="Q378" s="2" t="s">
        <v>50</v>
      </c>
      <c r="R378" s="2" t="s">
        <v>57</v>
      </c>
      <c r="S378" s="3">
        <v>46002</v>
      </c>
      <c r="T378" s="6">
        <v>4</v>
      </c>
    </row>
    <row r="379" spans="1:20" x14ac:dyDescent="0.3">
      <c r="A379" s="2" t="s">
        <v>861</v>
      </c>
      <c r="B379" s="3">
        <v>45940</v>
      </c>
      <c r="C379" s="2" t="s">
        <v>637</v>
      </c>
      <c r="D379" s="2" t="s">
        <v>638</v>
      </c>
      <c r="E379" s="2" t="s">
        <v>77</v>
      </c>
      <c r="F379" s="2">
        <v>47</v>
      </c>
      <c r="G379" s="2" t="s">
        <v>154</v>
      </c>
      <c r="H379" s="2" t="s">
        <v>91</v>
      </c>
      <c r="I379" s="2" t="s">
        <v>177</v>
      </c>
      <c r="J379" s="2" t="s">
        <v>178</v>
      </c>
      <c r="K379" s="2" t="s">
        <v>87</v>
      </c>
      <c r="L379" s="2" t="s">
        <v>179</v>
      </c>
      <c r="M379" s="2">
        <v>2</v>
      </c>
      <c r="N379" s="2">
        <v>3998.4</v>
      </c>
      <c r="O379" s="2">
        <v>3240</v>
      </c>
      <c r="P379" s="2">
        <v>20</v>
      </c>
      <c r="Q379" s="2" t="s">
        <v>103</v>
      </c>
      <c r="R379" s="2" t="s">
        <v>42</v>
      </c>
      <c r="S379" s="3">
        <v>45952</v>
      </c>
      <c r="T379" s="6">
        <v>3</v>
      </c>
    </row>
    <row r="380" spans="1:20" x14ac:dyDescent="0.3">
      <c r="A380" s="2" t="s">
        <v>862</v>
      </c>
      <c r="B380" s="3">
        <v>45483</v>
      </c>
      <c r="C380" s="2" t="s">
        <v>863</v>
      </c>
      <c r="D380" s="2" t="s">
        <v>380</v>
      </c>
      <c r="E380" s="2" t="s">
        <v>77</v>
      </c>
      <c r="F380" s="2">
        <v>24</v>
      </c>
      <c r="G380" s="2" t="s">
        <v>69</v>
      </c>
      <c r="H380" s="2" t="s">
        <v>69</v>
      </c>
      <c r="I380" s="2" t="s">
        <v>47</v>
      </c>
      <c r="J380" s="2" t="s">
        <v>48</v>
      </c>
      <c r="K380" s="2" t="s">
        <v>39</v>
      </c>
      <c r="L380" s="2" t="s">
        <v>49</v>
      </c>
      <c r="M380" s="2">
        <v>1</v>
      </c>
      <c r="N380" s="2">
        <v>279.3</v>
      </c>
      <c r="O380" s="2">
        <v>210</v>
      </c>
      <c r="P380" s="2">
        <v>30</v>
      </c>
      <c r="Q380" s="2" t="s">
        <v>41</v>
      </c>
      <c r="R380" s="2" t="s">
        <v>65</v>
      </c>
      <c r="S380" s="3" t="s">
        <v>1604</v>
      </c>
      <c r="T380" s="6" t="s">
        <v>1604</v>
      </c>
    </row>
    <row r="381" spans="1:20" x14ac:dyDescent="0.3">
      <c r="A381" s="2" t="s">
        <v>864</v>
      </c>
      <c r="B381" s="3">
        <v>45562</v>
      </c>
      <c r="C381" s="2" t="s">
        <v>700</v>
      </c>
      <c r="D381" s="2" t="s">
        <v>250</v>
      </c>
      <c r="E381" s="2" t="s">
        <v>23</v>
      </c>
      <c r="F381" s="2">
        <v>48</v>
      </c>
      <c r="G381" s="2" t="s">
        <v>78</v>
      </c>
      <c r="H381" s="2" t="s">
        <v>79</v>
      </c>
      <c r="I381" s="2" t="s">
        <v>198</v>
      </c>
      <c r="J381" s="2" t="s">
        <v>199</v>
      </c>
      <c r="K381" s="2" t="s">
        <v>114</v>
      </c>
      <c r="L381" s="2" t="s">
        <v>200</v>
      </c>
      <c r="M381" s="2">
        <v>3</v>
      </c>
      <c r="N381" s="2">
        <v>3897</v>
      </c>
      <c r="O381" s="2">
        <v>2280</v>
      </c>
      <c r="P381" s="2">
        <v>0</v>
      </c>
      <c r="Q381" s="2" t="s">
        <v>41</v>
      </c>
      <c r="R381" s="2" t="s">
        <v>42</v>
      </c>
      <c r="S381" s="3">
        <v>45566</v>
      </c>
      <c r="T381" s="6">
        <v>2</v>
      </c>
    </row>
    <row r="382" spans="1:20" x14ac:dyDescent="0.3">
      <c r="A382" s="2" t="s">
        <v>865</v>
      </c>
      <c r="B382" s="3">
        <v>45449</v>
      </c>
      <c r="C382" s="2" t="s">
        <v>852</v>
      </c>
      <c r="D382" s="2" t="s">
        <v>724</v>
      </c>
      <c r="E382" s="2" t="s">
        <v>77</v>
      </c>
      <c r="F382" s="2">
        <v>39</v>
      </c>
      <c r="G382" s="2" t="s">
        <v>24</v>
      </c>
      <c r="H382" s="2" t="s">
        <v>25</v>
      </c>
      <c r="I382" s="2" t="s">
        <v>92</v>
      </c>
      <c r="J382" s="2" t="s">
        <v>93</v>
      </c>
      <c r="K382" s="2" t="s">
        <v>87</v>
      </c>
      <c r="L382" s="2" t="s">
        <v>94</v>
      </c>
      <c r="M382" s="2">
        <v>0</v>
      </c>
      <c r="N382" s="2">
        <v>6396</v>
      </c>
      <c r="O382" s="2">
        <v>4650</v>
      </c>
      <c r="P382" s="2">
        <v>20</v>
      </c>
      <c r="Q382" s="2" t="s">
        <v>103</v>
      </c>
      <c r="R382" s="2" t="s">
        <v>57</v>
      </c>
      <c r="S382" s="3">
        <v>45460</v>
      </c>
      <c r="T382" s="6">
        <v>4</v>
      </c>
    </row>
    <row r="383" spans="1:20" x14ac:dyDescent="0.3">
      <c r="A383" s="2" t="s">
        <v>866</v>
      </c>
      <c r="B383" s="3">
        <v>45366</v>
      </c>
      <c r="C383" s="2" t="s">
        <v>716</v>
      </c>
      <c r="D383" s="2" t="s">
        <v>717</v>
      </c>
      <c r="E383" s="2" t="s">
        <v>77</v>
      </c>
      <c r="F383" s="2">
        <v>35</v>
      </c>
      <c r="G383" s="2" t="s">
        <v>90</v>
      </c>
      <c r="H383" s="2" t="s">
        <v>91</v>
      </c>
      <c r="I383" s="2" t="s">
        <v>319</v>
      </c>
      <c r="J383" s="2" t="s">
        <v>320</v>
      </c>
      <c r="K383" s="2" t="s">
        <v>28</v>
      </c>
      <c r="L383" s="2" t="s">
        <v>29</v>
      </c>
      <c r="M383" s="2">
        <v>5</v>
      </c>
      <c r="N383" s="2">
        <v>5695.25</v>
      </c>
      <c r="O383" s="2">
        <v>3550</v>
      </c>
      <c r="P383" s="2">
        <v>5</v>
      </c>
      <c r="Q383" s="2" t="s">
        <v>50</v>
      </c>
      <c r="R383" s="2" t="s">
        <v>42</v>
      </c>
      <c r="S383" s="3">
        <v>45374</v>
      </c>
      <c r="T383" s="6">
        <v>5</v>
      </c>
    </row>
    <row r="384" spans="1:20" x14ac:dyDescent="0.3">
      <c r="A384" s="2" t="s">
        <v>867</v>
      </c>
      <c r="B384" s="3">
        <v>45386</v>
      </c>
      <c r="C384" s="2" t="s">
        <v>322</v>
      </c>
      <c r="D384" s="2" t="s">
        <v>323</v>
      </c>
      <c r="E384" s="2" t="s">
        <v>23</v>
      </c>
      <c r="F384" s="2">
        <v>50</v>
      </c>
      <c r="G384" s="2" t="s">
        <v>90</v>
      </c>
      <c r="H384" s="2" t="s">
        <v>91</v>
      </c>
      <c r="I384" s="2" t="s">
        <v>70</v>
      </c>
      <c r="J384" s="2" t="s">
        <v>71</v>
      </c>
      <c r="K384" s="2" t="s">
        <v>28</v>
      </c>
      <c r="L384" s="2" t="s">
        <v>72</v>
      </c>
      <c r="M384" s="2">
        <v>3</v>
      </c>
      <c r="N384" s="2">
        <v>3372.75</v>
      </c>
      <c r="O384" s="2">
        <v>2760</v>
      </c>
      <c r="P384" s="2">
        <v>25</v>
      </c>
      <c r="Q384" s="2" t="s">
        <v>41</v>
      </c>
      <c r="R384" s="2" t="s">
        <v>42</v>
      </c>
      <c r="S384" s="3">
        <v>45391</v>
      </c>
      <c r="T384" s="6">
        <v>5</v>
      </c>
    </row>
    <row r="385" spans="1:20" x14ac:dyDescent="0.3">
      <c r="A385" s="2" t="s">
        <v>868</v>
      </c>
      <c r="B385" s="3">
        <v>45866</v>
      </c>
      <c r="C385" s="2" t="s">
        <v>202</v>
      </c>
      <c r="D385" s="2" t="s">
        <v>203</v>
      </c>
      <c r="E385" s="2" t="s">
        <v>23</v>
      </c>
      <c r="F385" s="2">
        <v>45</v>
      </c>
      <c r="G385" s="2" t="s">
        <v>69</v>
      </c>
      <c r="H385" s="2" t="s">
        <v>69</v>
      </c>
      <c r="I385" s="2" t="s">
        <v>107</v>
      </c>
      <c r="J385" s="2" t="s">
        <v>108</v>
      </c>
      <c r="K385" s="2" t="s">
        <v>87</v>
      </c>
      <c r="L385" s="2" t="s">
        <v>88</v>
      </c>
      <c r="M385" s="2">
        <v>3</v>
      </c>
      <c r="N385" s="2">
        <v>1438.2</v>
      </c>
      <c r="O385" s="2">
        <v>1260</v>
      </c>
      <c r="P385" s="2">
        <v>40</v>
      </c>
      <c r="Q385" s="2" t="s">
        <v>30</v>
      </c>
      <c r="R385" s="2" t="s">
        <v>31</v>
      </c>
      <c r="S385" s="3">
        <v>45877</v>
      </c>
      <c r="T385" s="6">
        <v>4</v>
      </c>
    </row>
    <row r="386" spans="1:20" x14ac:dyDescent="0.3">
      <c r="A386" s="2" t="s">
        <v>869</v>
      </c>
      <c r="B386" s="3">
        <v>45332</v>
      </c>
      <c r="C386" s="2" t="s">
        <v>269</v>
      </c>
      <c r="D386" s="2" t="s">
        <v>270</v>
      </c>
      <c r="E386" s="2" t="s">
        <v>77</v>
      </c>
      <c r="F386" s="2">
        <v>43</v>
      </c>
      <c r="G386" s="2" t="s">
        <v>165</v>
      </c>
      <c r="H386" s="2" t="s">
        <v>166</v>
      </c>
      <c r="I386" s="2" t="s">
        <v>229</v>
      </c>
      <c r="J386" s="2" t="s">
        <v>230</v>
      </c>
      <c r="K386" s="2" t="s">
        <v>28</v>
      </c>
      <c r="L386" s="2" t="s">
        <v>231</v>
      </c>
      <c r="M386" s="2">
        <v>4</v>
      </c>
      <c r="N386" s="2">
        <v>6396.8</v>
      </c>
      <c r="O386" s="2">
        <v>4920</v>
      </c>
      <c r="P386" s="2">
        <v>20</v>
      </c>
      <c r="Q386" s="2" t="s">
        <v>50</v>
      </c>
      <c r="R386" s="2" t="s">
        <v>31</v>
      </c>
      <c r="S386" s="3">
        <v>45338</v>
      </c>
      <c r="T386" s="6">
        <v>2</v>
      </c>
    </row>
    <row r="387" spans="1:20" x14ac:dyDescent="0.3">
      <c r="A387" s="2" t="s">
        <v>870</v>
      </c>
      <c r="B387" s="3">
        <v>45821</v>
      </c>
      <c r="C387" s="2" t="s">
        <v>520</v>
      </c>
      <c r="D387" s="2" t="s">
        <v>506</v>
      </c>
      <c r="E387" s="2" t="s">
        <v>77</v>
      </c>
      <c r="F387" s="2">
        <v>36</v>
      </c>
      <c r="G387" s="2" t="s">
        <v>61</v>
      </c>
      <c r="H387" s="2" t="s">
        <v>62</v>
      </c>
      <c r="I387" s="2" t="s">
        <v>37</v>
      </c>
      <c r="J387" s="2" t="s">
        <v>38</v>
      </c>
      <c r="K387" s="2" t="s">
        <v>39</v>
      </c>
      <c r="L387" s="2" t="s">
        <v>40</v>
      </c>
      <c r="M387" s="2">
        <v>1</v>
      </c>
      <c r="N387" s="2">
        <v>719.2</v>
      </c>
      <c r="O387" s="2">
        <v>520</v>
      </c>
      <c r="P387" s="2">
        <v>20</v>
      </c>
      <c r="Q387" s="2" t="s">
        <v>30</v>
      </c>
      <c r="R387" s="2" t="s">
        <v>42</v>
      </c>
      <c r="S387" s="3">
        <v>45831</v>
      </c>
      <c r="T387" s="6">
        <v>3</v>
      </c>
    </row>
    <row r="388" spans="1:20" x14ac:dyDescent="0.3">
      <c r="A388" s="2" t="s">
        <v>871</v>
      </c>
      <c r="B388" s="3">
        <v>45390</v>
      </c>
      <c r="C388" s="2" t="s">
        <v>190</v>
      </c>
      <c r="D388" s="2" t="s">
        <v>191</v>
      </c>
      <c r="E388" s="2" t="s">
        <v>23</v>
      </c>
      <c r="F388" s="2">
        <v>45</v>
      </c>
      <c r="G388" s="2" t="s">
        <v>161</v>
      </c>
      <c r="H388" s="2" t="s">
        <v>25</v>
      </c>
      <c r="I388" s="2" t="s">
        <v>92</v>
      </c>
      <c r="J388" s="2" t="s">
        <v>93</v>
      </c>
      <c r="K388" s="2" t="s">
        <v>87</v>
      </c>
      <c r="L388" s="2" t="s">
        <v>94</v>
      </c>
      <c r="M388" s="2">
        <v>1</v>
      </c>
      <c r="N388" s="2">
        <v>1359.15</v>
      </c>
      <c r="O388" s="2">
        <v>930</v>
      </c>
      <c r="P388" s="2">
        <v>15</v>
      </c>
      <c r="Q388" s="2" t="s">
        <v>30</v>
      </c>
      <c r="R388" s="2" t="s">
        <v>57</v>
      </c>
      <c r="S388" s="3">
        <v>45402</v>
      </c>
      <c r="T388" s="6">
        <v>5</v>
      </c>
    </row>
    <row r="389" spans="1:20" x14ac:dyDescent="0.3">
      <c r="A389" s="2" t="s">
        <v>872</v>
      </c>
      <c r="B389" s="3">
        <v>45398</v>
      </c>
      <c r="C389" s="2" t="s">
        <v>873</v>
      </c>
      <c r="D389" s="2" t="s">
        <v>874</v>
      </c>
      <c r="E389" s="2" t="s">
        <v>23</v>
      </c>
      <c r="F389" s="2">
        <v>55</v>
      </c>
      <c r="G389" s="2" t="s">
        <v>122</v>
      </c>
      <c r="H389" s="2" t="s">
        <v>123</v>
      </c>
      <c r="I389" s="2" t="s">
        <v>92</v>
      </c>
      <c r="J389" s="2" t="s">
        <v>93</v>
      </c>
      <c r="K389" s="2" t="s">
        <v>87</v>
      </c>
      <c r="L389" s="2" t="s">
        <v>94</v>
      </c>
      <c r="M389" s="2">
        <v>1</v>
      </c>
      <c r="N389" s="2">
        <v>1439.1</v>
      </c>
      <c r="O389" s="2">
        <v>930</v>
      </c>
      <c r="P389" s="2">
        <v>10</v>
      </c>
      <c r="Q389" s="2" t="s">
        <v>73</v>
      </c>
      <c r="R389" s="2" t="s">
        <v>42</v>
      </c>
      <c r="S389" s="3">
        <v>45405</v>
      </c>
      <c r="T389" s="6">
        <v>2</v>
      </c>
    </row>
    <row r="390" spans="1:20" x14ac:dyDescent="0.3">
      <c r="A390" s="2" t="s">
        <v>875</v>
      </c>
      <c r="B390" s="3">
        <v>45381</v>
      </c>
      <c r="C390" s="2" t="s">
        <v>462</v>
      </c>
      <c r="D390" s="2" t="s">
        <v>76</v>
      </c>
      <c r="E390" s="2" t="s">
        <v>77</v>
      </c>
      <c r="F390" s="2">
        <v>43</v>
      </c>
      <c r="G390" s="2" t="s">
        <v>24</v>
      </c>
      <c r="H390" s="2" t="s">
        <v>25</v>
      </c>
      <c r="I390" s="2" t="s">
        <v>319</v>
      </c>
      <c r="J390" s="2" t="s">
        <v>320</v>
      </c>
      <c r="K390" s="2" t="s">
        <v>28</v>
      </c>
      <c r="L390" s="2" t="s">
        <v>29</v>
      </c>
      <c r="M390" s="2">
        <v>3</v>
      </c>
      <c r="N390" s="2">
        <v>3417.15</v>
      </c>
      <c r="O390" s="2">
        <v>2130</v>
      </c>
      <c r="P390" s="2">
        <v>5</v>
      </c>
      <c r="Q390" s="2" t="s">
        <v>1604</v>
      </c>
      <c r="R390" s="2" t="s">
        <v>57</v>
      </c>
      <c r="S390" s="3">
        <v>45386</v>
      </c>
      <c r="T390" s="6">
        <v>4</v>
      </c>
    </row>
    <row r="391" spans="1:20" x14ac:dyDescent="0.3">
      <c r="A391" s="2" t="s">
        <v>876</v>
      </c>
      <c r="B391" s="3">
        <v>45709</v>
      </c>
      <c r="C391" s="2" t="s">
        <v>711</v>
      </c>
      <c r="D391" s="2" t="s">
        <v>712</v>
      </c>
      <c r="E391" s="2" t="s">
        <v>77</v>
      </c>
      <c r="F391" s="2">
        <v>58</v>
      </c>
      <c r="G391" s="2" t="s">
        <v>61</v>
      </c>
      <c r="H391" s="2" t="s">
        <v>62</v>
      </c>
      <c r="I391" s="2" t="s">
        <v>92</v>
      </c>
      <c r="J391" s="2" t="s">
        <v>93</v>
      </c>
      <c r="K391" s="2" t="s">
        <v>87</v>
      </c>
      <c r="L391" s="2" t="s">
        <v>94</v>
      </c>
      <c r="M391" s="2">
        <v>4</v>
      </c>
      <c r="N391" s="2">
        <v>4477.2</v>
      </c>
      <c r="O391" s="2">
        <v>3720</v>
      </c>
      <c r="P391" s="2">
        <v>30</v>
      </c>
      <c r="Q391" s="2" t="s">
        <v>41</v>
      </c>
      <c r="R391" s="2" t="s">
        <v>42</v>
      </c>
      <c r="S391" s="3">
        <v>45717</v>
      </c>
      <c r="T391" s="6">
        <v>3</v>
      </c>
    </row>
    <row r="392" spans="1:20" x14ac:dyDescent="0.3">
      <c r="A392" s="2" t="s">
        <v>877</v>
      </c>
      <c r="B392" s="3">
        <v>45839</v>
      </c>
      <c r="C392" s="2" t="s">
        <v>685</v>
      </c>
      <c r="D392" s="2" t="s">
        <v>399</v>
      </c>
      <c r="E392" s="2" t="s">
        <v>77</v>
      </c>
      <c r="F392" s="2">
        <v>52</v>
      </c>
      <c r="G392" s="2" t="s">
        <v>46</v>
      </c>
      <c r="H392" s="2" t="s">
        <v>25</v>
      </c>
      <c r="I392" s="2" t="s">
        <v>177</v>
      </c>
      <c r="J392" s="2" t="s">
        <v>178</v>
      </c>
      <c r="K392" s="2" t="s">
        <v>87</v>
      </c>
      <c r="L392" s="2" t="s">
        <v>179</v>
      </c>
      <c r="M392" s="2">
        <v>5</v>
      </c>
      <c r="N392" s="2">
        <v>12495</v>
      </c>
      <c r="O392" s="2">
        <v>8100</v>
      </c>
      <c r="P392" s="2">
        <v>0</v>
      </c>
      <c r="Q392" s="2" t="s">
        <v>73</v>
      </c>
      <c r="R392" s="2" t="s">
        <v>42</v>
      </c>
      <c r="S392" s="3">
        <v>45849</v>
      </c>
      <c r="T392" s="6">
        <v>3</v>
      </c>
    </row>
    <row r="393" spans="1:20" x14ac:dyDescent="0.3">
      <c r="A393" s="2" t="s">
        <v>878</v>
      </c>
      <c r="B393" s="3">
        <v>45588</v>
      </c>
      <c r="C393" s="2" t="s">
        <v>879</v>
      </c>
      <c r="D393" s="2" t="s">
        <v>880</v>
      </c>
      <c r="E393" s="2" t="s">
        <v>23</v>
      </c>
      <c r="F393" s="2">
        <v>44</v>
      </c>
      <c r="G393" s="2" t="s">
        <v>46</v>
      </c>
      <c r="H393" s="2" t="s">
        <v>25</v>
      </c>
      <c r="I393" s="2" t="s">
        <v>143</v>
      </c>
      <c r="J393" s="2" t="s">
        <v>144</v>
      </c>
      <c r="K393" s="2" t="s">
        <v>130</v>
      </c>
      <c r="L393" s="2" t="s">
        <v>131</v>
      </c>
      <c r="M393" s="2">
        <v>4</v>
      </c>
      <c r="N393" s="2">
        <v>15397.2</v>
      </c>
      <c r="O393" s="2">
        <v>17200</v>
      </c>
      <c r="P393" s="2">
        <v>30</v>
      </c>
      <c r="Q393" s="2" t="s">
        <v>103</v>
      </c>
      <c r="R393" s="2" t="s">
        <v>57</v>
      </c>
      <c r="S393" s="3">
        <v>45600</v>
      </c>
      <c r="T393" s="6">
        <v>2</v>
      </c>
    </row>
    <row r="394" spans="1:20" x14ac:dyDescent="0.3">
      <c r="A394" s="2" t="s">
        <v>881</v>
      </c>
      <c r="B394" s="3">
        <v>45777</v>
      </c>
      <c r="C394" s="2" t="s">
        <v>882</v>
      </c>
      <c r="D394" s="2" t="s">
        <v>883</v>
      </c>
      <c r="E394" s="2" t="s">
        <v>77</v>
      </c>
      <c r="F394" s="2">
        <v>35</v>
      </c>
      <c r="G394" s="2" t="s">
        <v>90</v>
      </c>
      <c r="H394" s="2" t="s">
        <v>91</v>
      </c>
      <c r="I394" s="2" t="s">
        <v>252</v>
      </c>
      <c r="J394" s="2" t="s">
        <v>253</v>
      </c>
      <c r="K394" s="2" t="s">
        <v>28</v>
      </c>
      <c r="L394" s="2" t="s">
        <v>254</v>
      </c>
      <c r="M394" s="2">
        <v>4</v>
      </c>
      <c r="N394" s="2">
        <v>9596.7999999999993</v>
      </c>
      <c r="O394" s="2">
        <v>7600</v>
      </c>
      <c r="P394" s="2">
        <v>20</v>
      </c>
      <c r="Q394" s="2" t="s">
        <v>30</v>
      </c>
      <c r="R394" s="2" t="s">
        <v>42</v>
      </c>
      <c r="S394" s="3">
        <v>45789</v>
      </c>
      <c r="T394" s="6">
        <v>4</v>
      </c>
    </row>
    <row r="395" spans="1:20" x14ac:dyDescent="0.3">
      <c r="A395" s="2" t="s">
        <v>884</v>
      </c>
      <c r="B395" s="3">
        <v>45303</v>
      </c>
      <c r="C395" s="2" t="s">
        <v>429</v>
      </c>
      <c r="D395" s="2" t="s">
        <v>315</v>
      </c>
      <c r="E395" s="2" t="s">
        <v>77</v>
      </c>
      <c r="F395" s="2">
        <v>23</v>
      </c>
      <c r="G395" s="2" t="s">
        <v>173</v>
      </c>
      <c r="H395" s="2" t="s">
        <v>79</v>
      </c>
      <c r="I395" s="2" t="s">
        <v>229</v>
      </c>
      <c r="J395" s="2" t="s">
        <v>230</v>
      </c>
      <c r="K395" s="2" t="s">
        <v>28</v>
      </c>
      <c r="L395" s="2" t="s">
        <v>231</v>
      </c>
      <c r="M395" s="2">
        <v>1</v>
      </c>
      <c r="N395" s="2">
        <v>1999</v>
      </c>
      <c r="O395" s="2">
        <v>1230</v>
      </c>
      <c r="P395" s="2">
        <v>0</v>
      </c>
      <c r="Q395" s="2" t="s">
        <v>50</v>
      </c>
      <c r="R395" s="2" t="s">
        <v>65</v>
      </c>
      <c r="S395" s="3" t="s">
        <v>1604</v>
      </c>
      <c r="T395" s="6" t="s">
        <v>1604</v>
      </c>
    </row>
    <row r="396" spans="1:20" x14ac:dyDescent="0.3">
      <c r="A396" s="2" t="s">
        <v>885</v>
      </c>
      <c r="B396" s="3">
        <v>45695</v>
      </c>
      <c r="C396" s="2" t="s">
        <v>886</v>
      </c>
      <c r="D396" s="2" t="s">
        <v>887</v>
      </c>
      <c r="E396" s="2" t="s">
        <v>77</v>
      </c>
      <c r="F396" s="2">
        <v>49</v>
      </c>
      <c r="G396" s="2" t="s">
        <v>46</v>
      </c>
      <c r="H396" s="2" t="s">
        <v>25</v>
      </c>
      <c r="I396" s="2" t="s">
        <v>143</v>
      </c>
      <c r="J396" s="2" t="s">
        <v>144</v>
      </c>
      <c r="K396" s="2" t="s">
        <v>130</v>
      </c>
      <c r="L396" s="2" t="s">
        <v>131</v>
      </c>
      <c r="M396" s="2">
        <v>2</v>
      </c>
      <c r="N396" s="2">
        <v>8248.5</v>
      </c>
      <c r="O396" s="2">
        <v>8600</v>
      </c>
      <c r="P396" s="2">
        <v>25</v>
      </c>
      <c r="Q396" s="2" t="s">
        <v>30</v>
      </c>
      <c r="R396" s="2" t="s">
        <v>42</v>
      </c>
      <c r="S396" s="3">
        <v>45707</v>
      </c>
      <c r="T396" s="6">
        <v>3</v>
      </c>
    </row>
    <row r="397" spans="1:20" x14ac:dyDescent="0.3">
      <c r="A397" s="2" t="s">
        <v>888</v>
      </c>
      <c r="B397" s="3">
        <v>45456</v>
      </c>
      <c r="C397" s="2" t="s">
        <v>889</v>
      </c>
      <c r="D397" s="2" t="s">
        <v>890</v>
      </c>
      <c r="E397" s="2" t="s">
        <v>23</v>
      </c>
      <c r="F397" s="2">
        <v>53</v>
      </c>
      <c r="G397" s="2" t="s">
        <v>90</v>
      </c>
      <c r="H397" s="2" t="s">
        <v>91</v>
      </c>
      <c r="I397" s="2" t="s">
        <v>155</v>
      </c>
      <c r="J397" s="2" t="s">
        <v>156</v>
      </c>
      <c r="K397" s="2" t="s">
        <v>114</v>
      </c>
      <c r="L397" s="2" t="s">
        <v>157</v>
      </c>
      <c r="M397" s="2">
        <v>3</v>
      </c>
      <c r="N397" s="2">
        <v>2547.4499999999998</v>
      </c>
      <c r="O397" s="2">
        <v>1830</v>
      </c>
      <c r="P397" s="2">
        <v>15</v>
      </c>
      <c r="Q397" s="2" t="s">
        <v>73</v>
      </c>
      <c r="R397" s="2" t="s">
        <v>42</v>
      </c>
      <c r="S397" s="3">
        <v>45468</v>
      </c>
      <c r="T397" s="6">
        <v>2</v>
      </c>
    </row>
    <row r="398" spans="1:20" x14ac:dyDescent="0.3">
      <c r="A398" s="2" t="s">
        <v>891</v>
      </c>
      <c r="B398" s="3">
        <v>45854</v>
      </c>
      <c r="C398" s="2" t="s">
        <v>146</v>
      </c>
      <c r="D398" s="2" t="s">
        <v>147</v>
      </c>
      <c r="E398" s="2" t="s">
        <v>23</v>
      </c>
      <c r="F398" s="2">
        <v>45</v>
      </c>
      <c r="G398" s="2" t="s">
        <v>46</v>
      </c>
      <c r="H398" s="2" t="s">
        <v>25</v>
      </c>
      <c r="I398" s="2" t="s">
        <v>143</v>
      </c>
      <c r="J398" s="2" t="s">
        <v>144</v>
      </c>
      <c r="K398" s="2" t="s">
        <v>130</v>
      </c>
      <c r="L398" s="2" t="s">
        <v>131</v>
      </c>
      <c r="M398" s="2">
        <v>1</v>
      </c>
      <c r="N398" s="2">
        <v>4399.2</v>
      </c>
      <c r="O398" s="2">
        <v>4300</v>
      </c>
      <c r="P398" s="2">
        <v>20</v>
      </c>
      <c r="Q398" s="2" t="s">
        <v>73</v>
      </c>
      <c r="R398" s="2" t="s">
        <v>42</v>
      </c>
      <c r="S398" s="3">
        <v>45865</v>
      </c>
      <c r="T398" s="6">
        <v>5</v>
      </c>
    </row>
    <row r="399" spans="1:20" x14ac:dyDescent="0.3">
      <c r="A399" s="2" t="s">
        <v>892</v>
      </c>
      <c r="B399" s="3">
        <v>45630</v>
      </c>
      <c r="C399" s="2" t="s">
        <v>893</v>
      </c>
      <c r="D399" s="2" t="s">
        <v>894</v>
      </c>
      <c r="E399" s="2" t="s">
        <v>77</v>
      </c>
      <c r="F399" s="2">
        <v>42</v>
      </c>
      <c r="G399" s="2" t="s">
        <v>173</v>
      </c>
      <c r="H399" s="2" t="s">
        <v>79</v>
      </c>
      <c r="I399" s="2" t="s">
        <v>107</v>
      </c>
      <c r="J399" s="2" t="s">
        <v>108</v>
      </c>
      <c r="K399" s="2" t="s">
        <v>87</v>
      </c>
      <c r="L399" s="2" t="s">
        <v>88</v>
      </c>
      <c r="M399" s="2">
        <v>2</v>
      </c>
      <c r="N399" s="2">
        <v>1518.1</v>
      </c>
      <c r="O399" s="2">
        <v>840</v>
      </c>
      <c r="P399" s="2">
        <v>5</v>
      </c>
      <c r="Q399" s="2" t="s">
        <v>41</v>
      </c>
      <c r="R399" s="2" t="s">
        <v>65</v>
      </c>
      <c r="S399" s="3" t="s">
        <v>1604</v>
      </c>
      <c r="T399" s="6" t="s">
        <v>1604</v>
      </c>
    </row>
    <row r="400" spans="1:20" x14ac:dyDescent="0.3">
      <c r="A400" s="2" t="s">
        <v>895</v>
      </c>
      <c r="B400" s="3">
        <v>45363</v>
      </c>
      <c r="C400" s="2" t="s">
        <v>791</v>
      </c>
      <c r="D400" s="2" t="s">
        <v>792</v>
      </c>
      <c r="E400" s="2" t="s">
        <v>23</v>
      </c>
      <c r="F400" s="2">
        <v>42</v>
      </c>
      <c r="G400" s="2" t="s">
        <v>126</v>
      </c>
      <c r="H400" s="2" t="s">
        <v>127</v>
      </c>
      <c r="I400" s="2" t="s">
        <v>37</v>
      </c>
      <c r="J400" s="2" t="s">
        <v>38</v>
      </c>
      <c r="K400" s="2" t="s">
        <v>39</v>
      </c>
      <c r="L400" s="2" t="s">
        <v>40</v>
      </c>
      <c r="M400" s="2">
        <v>4</v>
      </c>
      <c r="N400" s="2">
        <v>2697</v>
      </c>
      <c r="O400" s="2">
        <v>2080</v>
      </c>
      <c r="P400" s="2">
        <v>25</v>
      </c>
      <c r="Q400" s="2" t="s">
        <v>50</v>
      </c>
      <c r="R400" s="2" t="s">
        <v>31</v>
      </c>
      <c r="S400" s="3">
        <v>45369</v>
      </c>
      <c r="T400" s="6">
        <v>3</v>
      </c>
    </row>
    <row r="401" spans="1:20" x14ac:dyDescent="0.3">
      <c r="A401" s="2" t="s">
        <v>896</v>
      </c>
      <c r="B401" s="3">
        <v>45871</v>
      </c>
      <c r="C401" s="2" t="s">
        <v>897</v>
      </c>
      <c r="D401" s="2" t="s">
        <v>898</v>
      </c>
      <c r="E401" s="2" t="s">
        <v>77</v>
      </c>
      <c r="F401" s="2">
        <v>34</v>
      </c>
      <c r="G401" s="2" t="s">
        <v>211</v>
      </c>
      <c r="H401" s="2" t="s">
        <v>127</v>
      </c>
      <c r="I401" s="2" t="s">
        <v>183</v>
      </c>
      <c r="J401" s="2" t="s">
        <v>184</v>
      </c>
      <c r="K401" s="2" t="s">
        <v>130</v>
      </c>
      <c r="L401" s="2" t="s">
        <v>185</v>
      </c>
      <c r="M401" s="2">
        <v>4</v>
      </c>
      <c r="N401" s="2">
        <v>14396.4</v>
      </c>
      <c r="O401" s="2">
        <v>12200</v>
      </c>
      <c r="P401" s="2">
        <v>10</v>
      </c>
      <c r="Q401" s="2" t="s">
        <v>73</v>
      </c>
      <c r="R401" s="2" t="s">
        <v>42</v>
      </c>
      <c r="S401" s="3">
        <v>45876</v>
      </c>
      <c r="T401" s="6">
        <v>4</v>
      </c>
    </row>
    <row r="402" spans="1:20" x14ac:dyDescent="0.3">
      <c r="A402" s="2" t="s">
        <v>899</v>
      </c>
      <c r="B402" s="3">
        <v>46021</v>
      </c>
      <c r="C402" s="2" t="s">
        <v>665</v>
      </c>
      <c r="D402" s="2" t="s">
        <v>666</v>
      </c>
      <c r="E402" s="2" t="s">
        <v>77</v>
      </c>
      <c r="F402" s="2">
        <v>55</v>
      </c>
      <c r="G402" s="2" t="s">
        <v>207</v>
      </c>
      <c r="H402" s="2" t="s">
        <v>36</v>
      </c>
      <c r="I402" s="2" t="s">
        <v>245</v>
      </c>
      <c r="J402" s="2" t="s">
        <v>246</v>
      </c>
      <c r="K402" s="2" t="s">
        <v>130</v>
      </c>
      <c r="L402" s="2" t="s">
        <v>247</v>
      </c>
      <c r="M402" s="2">
        <v>2</v>
      </c>
      <c r="N402" s="2">
        <v>3748.5</v>
      </c>
      <c r="O402" s="2">
        <v>3740</v>
      </c>
      <c r="P402" s="2">
        <v>25</v>
      </c>
      <c r="Q402" s="2" t="s">
        <v>103</v>
      </c>
      <c r="R402" s="2" t="s">
        <v>42</v>
      </c>
      <c r="S402" s="3">
        <v>46030</v>
      </c>
      <c r="T402" s="6">
        <v>4</v>
      </c>
    </row>
    <row r="403" spans="1:20" x14ac:dyDescent="0.3">
      <c r="A403" s="2" t="s">
        <v>900</v>
      </c>
      <c r="B403" s="3">
        <v>45604</v>
      </c>
      <c r="C403" s="2" t="s">
        <v>563</v>
      </c>
      <c r="D403" s="2" t="s">
        <v>53</v>
      </c>
      <c r="E403" s="2" t="s">
        <v>23</v>
      </c>
      <c r="F403" s="2">
        <v>47</v>
      </c>
      <c r="G403" s="2" t="s">
        <v>69</v>
      </c>
      <c r="H403" s="2" t="s">
        <v>69</v>
      </c>
      <c r="I403" s="2" t="s">
        <v>319</v>
      </c>
      <c r="J403" s="2" t="s">
        <v>320</v>
      </c>
      <c r="K403" s="2" t="s">
        <v>28</v>
      </c>
      <c r="L403" s="2" t="s">
        <v>29</v>
      </c>
      <c r="M403" s="2">
        <v>5</v>
      </c>
      <c r="N403" s="2">
        <v>5695.25</v>
      </c>
      <c r="O403" s="2">
        <v>3550</v>
      </c>
      <c r="P403" s="2">
        <v>5</v>
      </c>
      <c r="Q403" s="2" t="s">
        <v>41</v>
      </c>
      <c r="R403" s="2" t="s">
        <v>57</v>
      </c>
      <c r="S403" s="3">
        <v>45608</v>
      </c>
      <c r="T403" s="6">
        <v>4</v>
      </c>
    </row>
    <row r="404" spans="1:20" x14ac:dyDescent="0.3">
      <c r="A404" s="2" t="s">
        <v>901</v>
      </c>
      <c r="B404" s="3">
        <v>45561</v>
      </c>
      <c r="C404" s="2" t="s">
        <v>902</v>
      </c>
      <c r="D404" s="2" t="s">
        <v>303</v>
      </c>
      <c r="E404" s="2" t="s">
        <v>77</v>
      </c>
      <c r="F404" s="2">
        <v>33</v>
      </c>
      <c r="G404" s="2" t="s">
        <v>46</v>
      </c>
      <c r="H404" s="2" t="s">
        <v>25</v>
      </c>
      <c r="I404" s="2" t="s">
        <v>80</v>
      </c>
      <c r="J404" s="2" t="s">
        <v>81</v>
      </c>
      <c r="K404" s="2" t="s">
        <v>28</v>
      </c>
      <c r="L404" s="2" t="s">
        <v>29</v>
      </c>
      <c r="M404" s="2">
        <v>5</v>
      </c>
      <c r="N404" s="2">
        <v>3995</v>
      </c>
      <c r="O404" s="2">
        <v>2350</v>
      </c>
      <c r="P404" s="2">
        <v>0</v>
      </c>
      <c r="Q404" s="2" t="s">
        <v>50</v>
      </c>
      <c r="R404" s="2" t="s">
        <v>65</v>
      </c>
      <c r="S404" s="3" t="s">
        <v>1604</v>
      </c>
      <c r="T404" s="6" t="s">
        <v>1604</v>
      </c>
    </row>
    <row r="405" spans="1:20" x14ac:dyDescent="0.3">
      <c r="A405" s="2" t="s">
        <v>903</v>
      </c>
      <c r="B405" s="3">
        <v>45706</v>
      </c>
      <c r="C405" s="2" t="s">
        <v>904</v>
      </c>
      <c r="D405" s="2" t="s">
        <v>358</v>
      </c>
      <c r="E405" s="2" t="s">
        <v>23</v>
      </c>
      <c r="F405" s="2">
        <v>48</v>
      </c>
      <c r="G405" s="2" t="s">
        <v>24</v>
      </c>
      <c r="H405" s="2" t="s">
        <v>25</v>
      </c>
      <c r="I405" s="2" t="s">
        <v>222</v>
      </c>
      <c r="J405" s="2" t="s">
        <v>223</v>
      </c>
      <c r="K405" s="2" t="s">
        <v>114</v>
      </c>
      <c r="L405" s="2" t="s">
        <v>115</v>
      </c>
      <c r="M405" s="2">
        <v>3</v>
      </c>
      <c r="N405" s="2">
        <v>1618.2</v>
      </c>
      <c r="O405" s="2">
        <v>1530</v>
      </c>
      <c r="P405" s="2">
        <v>40</v>
      </c>
      <c r="Q405" s="2" t="s">
        <v>30</v>
      </c>
      <c r="R405" s="2" t="s">
        <v>42</v>
      </c>
      <c r="S405" s="3">
        <v>45714</v>
      </c>
      <c r="T405" s="6">
        <v>4</v>
      </c>
    </row>
    <row r="406" spans="1:20" x14ac:dyDescent="0.3">
      <c r="A406" s="2" t="s">
        <v>905</v>
      </c>
      <c r="B406" s="3" t="s">
        <v>1604</v>
      </c>
      <c r="C406" s="2" t="s">
        <v>906</v>
      </c>
      <c r="D406" s="2" t="s">
        <v>586</v>
      </c>
      <c r="E406" s="2" t="s">
        <v>77</v>
      </c>
      <c r="F406" s="2">
        <v>20</v>
      </c>
      <c r="G406" s="2" t="s">
        <v>173</v>
      </c>
      <c r="H406" s="2" t="s">
        <v>79</v>
      </c>
      <c r="I406" s="2" t="s">
        <v>63</v>
      </c>
      <c r="J406" s="2" t="s">
        <v>64</v>
      </c>
      <c r="K406" s="2" t="s">
        <v>39</v>
      </c>
      <c r="L406" s="2" t="s">
        <v>40</v>
      </c>
      <c r="M406" s="2">
        <v>5</v>
      </c>
      <c r="N406" s="2">
        <v>2845.25</v>
      </c>
      <c r="O406" s="2">
        <v>1650</v>
      </c>
      <c r="P406" s="2">
        <v>5</v>
      </c>
      <c r="Q406" s="2" t="s">
        <v>103</v>
      </c>
      <c r="R406" s="2" t="s">
        <v>42</v>
      </c>
      <c r="S406" s="3">
        <v>45905</v>
      </c>
      <c r="T406" s="6">
        <v>2</v>
      </c>
    </row>
    <row r="407" spans="1:20" x14ac:dyDescent="0.3">
      <c r="A407" s="2" t="s">
        <v>907</v>
      </c>
      <c r="B407" s="3">
        <v>45970</v>
      </c>
      <c r="C407" s="2" t="s">
        <v>141</v>
      </c>
      <c r="D407" s="2" t="s">
        <v>142</v>
      </c>
      <c r="E407" s="2" t="s">
        <v>23</v>
      </c>
      <c r="F407" s="2">
        <v>57</v>
      </c>
      <c r="G407" s="2" t="s">
        <v>78</v>
      </c>
      <c r="H407" s="2" t="s">
        <v>79</v>
      </c>
      <c r="I407" s="2" t="s">
        <v>112</v>
      </c>
      <c r="J407" s="2" t="s">
        <v>113</v>
      </c>
      <c r="K407" s="2" t="s">
        <v>114</v>
      </c>
      <c r="L407" s="2" t="s">
        <v>115</v>
      </c>
      <c r="M407" s="2">
        <v>2</v>
      </c>
      <c r="N407" s="2">
        <v>838.8</v>
      </c>
      <c r="O407" s="2">
        <v>740</v>
      </c>
      <c r="P407" s="2">
        <v>40</v>
      </c>
      <c r="Q407" s="2" t="s">
        <v>30</v>
      </c>
      <c r="R407" s="2" t="s">
        <v>42</v>
      </c>
      <c r="S407" s="3">
        <v>45981</v>
      </c>
      <c r="T407" s="6">
        <v>3</v>
      </c>
    </row>
    <row r="408" spans="1:20" x14ac:dyDescent="0.3">
      <c r="A408" s="2" t="s">
        <v>908</v>
      </c>
      <c r="B408" s="3">
        <v>45787</v>
      </c>
      <c r="C408" s="2" t="s">
        <v>709</v>
      </c>
      <c r="D408" s="2" t="s">
        <v>399</v>
      </c>
      <c r="E408" s="2" t="s">
        <v>77</v>
      </c>
      <c r="F408" s="2">
        <v>29</v>
      </c>
      <c r="G408" s="2" t="s">
        <v>24</v>
      </c>
      <c r="H408" s="2" t="s">
        <v>25</v>
      </c>
      <c r="I408" s="2" t="s">
        <v>304</v>
      </c>
      <c r="J408" s="2" t="s">
        <v>305</v>
      </c>
      <c r="K408" s="2" t="s">
        <v>28</v>
      </c>
      <c r="L408" s="2" t="s">
        <v>231</v>
      </c>
      <c r="M408" s="2">
        <v>4</v>
      </c>
      <c r="N408" s="2">
        <v>6116.6</v>
      </c>
      <c r="O408" s="2">
        <v>4320</v>
      </c>
      <c r="P408" s="2">
        <v>15</v>
      </c>
      <c r="Q408" s="2" t="s">
        <v>73</v>
      </c>
      <c r="R408" s="2" t="s">
        <v>42</v>
      </c>
      <c r="S408" s="3">
        <v>45794</v>
      </c>
      <c r="T408" s="6">
        <v>4</v>
      </c>
    </row>
    <row r="409" spans="1:20" x14ac:dyDescent="0.3">
      <c r="A409" s="2" t="s">
        <v>909</v>
      </c>
      <c r="B409" s="3">
        <v>45335</v>
      </c>
      <c r="C409" s="2" t="s">
        <v>873</v>
      </c>
      <c r="D409" s="2" t="s">
        <v>874</v>
      </c>
      <c r="E409" s="2" t="s">
        <v>23</v>
      </c>
      <c r="F409" s="2">
        <v>55</v>
      </c>
      <c r="G409" s="2" t="s">
        <v>211</v>
      </c>
      <c r="H409" s="2" t="s">
        <v>127</v>
      </c>
      <c r="I409" s="2" t="s">
        <v>47</v>
      </c>
      <c r="J409" s="2" t="s">
        <v>48</v>
      </c>
      <c r="K409" s="2" t="s">
        <v>39</v>
      </c>
      <c r="L409" s="2" t="s">
        <v>49</v>
      </c>
      <c r="M409" s="2">
        <v>4</v>
      </c>
      <c r="N409" s="2">
        <v>957.6</v>
      </c>
      <c r="O409" s="2">
        <v>840</v>
      </c>
      <c r="P409" s="2">
        <v>40</v>
      </c>
      <c r="Q409" s="2" t="s">
        <v>73</v>
      </c>
      <c r="R409" s="2" t="s">
        <v>42</v>
      </c>
      <c r="S409" s="3">
        <v>45347</v>
      </c>
      <c r="T409" s="6">
        <v>4</v>
      </c>
    </row>
    <row r="410" spans="1:20" x14ac:dyDescent="0.3">
      <c r="A410" s="2" t="s">
        <v>910</v>
      </c>
      <c r="B410" s="3">
        <v>45397</v>
      </c>
      <c r="C410" s="2" t="s">
        <v>585</v>
      </c>
      <c r="D410" s="2" t="s">
        <v>586</v>
      </c>
      <c r="E410" s="2" t="s">
        <v>77</v>
      </c>
      <c r="F410" s="2">
        <v>51</v>
      </c>
      <c r="G410" s="2" t="s">
        <v>207</v>
      </c>
      <c r="H410" s="2" t="s">
        <v>36</v>
      </c>
      <c r="I410" s="2" t="s">
        <v>177</v>
      </c>
      <c r="J410" s="2" t="s">
        <v>178</v>
      </c>
      <c r="K410" s="2" t="s">
        <v>87</v>
      </c>
      <c r="L410" s="2" t="s">
        <v>179</v>
      </c>
      <c r="M410" s="2">
        <v>3</v>
      </c>
      <c r="N410" s="2">
        <v>6747.3</v>
      </c>
      <c r="O410" s="2">
        <v>4860</v>
      </c>
      <c r="P410" s="2">
        <v>10</v>
      </c>
      <c r="Q410" s="2" t="s">
        <v>103</v>
      </c>
      <c r="R410" s="2" t="s">
        <v>31</v>
      </c>
      <c r="S410" s="3">
        <v>45405</v>
      </c>
      <c r="T410" s="6">
        <v>4</v>
      </c>
    </row>
    <row r="411" spans="1:20" x14ac:dyDescent="0.3">
      <c r="A411" s="2" t="s">
        <v>911</v>
      </c>
      <c r="B411" s="3">
        <v>45893</v>
      </c>
      <c r="C411" s="2" t="s">
        <v>902</v>
      </c>
      <c r="D411" s="2" t="s">
        <v>303</v>
      </c>
      <c r="E411" s="2" t="s">
        <v>77</v>
      </c>
      <c r="F411" s="2">
        <v>33</v>
      </c>
      <c r="G411" s="2" t="s">
        <v>207</v>
      </c>
      <c r="H411" s="2" t="s">
        <v>36</v>
      </c>
      <c r="I411" s="2" t="s">
        <v>47</v>
      </c>
      <c r="J411" s="2" t="s">
        <v>48</v>
      </c>
      <c r="K411" s="2" t="s">
        <v>39</v>
      </c>
      <c r="L411" s="2" t="s">
        <v>49</v>
      </c>
      <c r="M411" s="2">
        <v>2</v>
      </c>
      <c r="N411" s="2">
        <v>558.6</v>
      </c>
      <c r="O411" s="2">
        <v>420</v>
      </c>
      <c r="P411" s="2">
        <v>30</v>
      </c>
      <c r="Q411" s="2" t="s">
        <v>41</v>
      </c>
      <c r="R411" s="2" t="s">
        <v>57</v>
      </c>
      <c r="S411" s="3">
        <v>45900</v>
      </c>
      <c r="T411" s="6">
        <v>5</v>
      </c>
    </row>
    <row r="412" spans="1:20" x14ac:dyDescent="0.3">
      <c r="A412" s="2" t="s">
        <v>912</v>
      </c>
      <c r="B412" s="3">
        <v>45785</v>
      </c>
      <c r="C412" s="2" t="s">
        <v>685</v>
      </c>
      <c r="D412" s="2" t="s">
        <v>399</v>
      </c>
      <c r="E412" s="2" t="s">
        <v>77</v>
      </c>
      <c r="F412" s="2">
        <v>52</v>
      </c>
      <c r="G412" s="2" t="s">
        <v>173</v>
      </c>
      <c r="H412" s="2" t="s">
        <v>79</v>
      </c>
      <c r="I412" s="2" t="s">
        <v>63</v>
      </c>
      <c r="J412" s="2" t="s">
        <v>64</v>
      </c>
      <c r="K412" s="2" t="s">
        <v>39</v>
      </c>
      <c r="L412" s="2" t="s">
        <v>40</v>
      </c>
      <c r="M412" s="2">
        <v>2</v>
      </c>
      <c r="N412" s="2">
        <v>1018.3</v>
      </c>
      <c r="O412" s="2">
        <v>660</v>
      </c>
      <c r="P412" s="2">
        <v>15</v>
      </c>
      <c r="Q412" s="2" t="s">
        <v>73</v>
      </c>
      <c r="R412" s="2" t="s">
        <v>65</v>
      </c>
      <c r="S412" s="3" t="s">
        <v>1604</v>
      </c>
      <c r="T412" s="6" t="s">
        <v>1604</v>
      </c>
    </row>
    <row r="413" spans="1:20" x14ac:dyDescent="0.3">
      <c r="A413" s="2" t="s">
        <v>913</v>
      </c>
      <c r="B413" s="3">
        <v>45950</v>
      </c>
      <c r="C413" s="2" t="s">
        <v>914</v>
      </c>
      <c r="D413" s="2" t="s">
        <v>260</v>
      </c>
      <c r="E413" s="2" t="s">
        <v>77</v>
      </c>
      <c r="F413" s="2">
        <v>45</v>
      </c>
      <c r="G413" s="2" t="s">
        <v>154</v>
      </c>
      <c r="H413" s="2" t="s">
        <v>91</v>
      </c>
      <c r="I413" s="2" t="s">
        <v>252</v>
      </c>
      <c r="J413" s="2" t="s">
        <v>253</v>
      </c>
      <c r="K413" s="2" t="s">
        <v>28</v>
      </c>
      <c r="L413" s="2" t="s">
        <v>254</v>
      </c>
      <c r="M413" s="2">
        <v>2</v>
      </c>
      <c r="N413" s="2">
        <v>5398.2</v>
      </c>
      <c r="O413" s="2">
        <v>3800</v>
      </c>
      <c r="P413" s="2">
        <v>10</v>
      </c>
      <c r="Q413" s="2" t="s">
        <v>41</v>
      </c>
      <c r="R413" s="2" t="s">
        <v>65</v>
      </c>
      <c r="S413" s="3" t="s">
        <v>1604</v>
      </c>
      <c r="T413" s="6" t="s">
        <v>1604</v>
      </c>
    </row>
    <row r="414" spans="1:20" x14ac:dyDescent="0.3">
      <c r="A414" s="2" t="s">
        <v>915</v>
      </c>
      <c r="B414" s="3">
        <v>45413</v>
      </c>
      <c r="C414" s="2" t="s">
        <v>916</v>
      </c>
      <c r="D414" s="2" t="s">
        <v>84</v>
      </c>
      <c r="E414" s="2" t="s">
        <v>23</v>
      </c>
      <c r="F414" s="2">
        <v>38</v>
      </c>
      <c r="G414" s="2" t="s">
        <v>122</v>
      </c>
      <c r="H414" s="2" t="s">
        <v>123</v>
      </c>
      <c r="I414" s="2" t="s">
        <v>183</v>
      </c>
      <c r="J414" s="2" t="s">
        <v>184</v>
      </c>
      <c r="K414" s="2" t="s">
        <v>130</v>
      </c>
      <c r="L414" s="2" t="s">
        <v>185</v>
      </c>
      <c r="M414" s="2">
        <v>1</v>
      </c>
      <c r="N414" s="2">
        <v>2399.4</v>
      </c>
      <c r="O414" s="2">
        <v>3050</v>
      </c>
      <c r="P414" s="2">
        <v>40</v>
      </c>
      <c r="Q414" s="2" t="s">
        <v>103</v>
      </c>
      <c r="R414" s="2" t="s">
        <v>42</v>
      </c>
      <c r="S414" s="3">
        <v>45418</v>
      </c>
      <c r="T414" s="6">
        <v>3</v>
      </c>
    </row>
    <row r="415" spans="1:20" x14ac:dyDescent="0.3">
      <c r="A415" s="2" t="s">
        <v>917</v>
      </c>
      <c r="B415" s="3">
        <v>45954</v>
      </c>
      <c r="C415" s="2" t="s">
        <v>918</v>
      </c>
      <c r="D415" s="2" t="s">
        <v>182</v>
      </c>
      <c r="E415" s="2" t="s">
        <v>23</v>
      </c>
      <c r="F415" s="2">
        <v>48</v>
      </c>
      <c r="G415" s="2" t="s">
        <v>161</v>
      </c>
      <c r="H415" s="2" t="s">
        <v>25</v>
      </c>
      <c r="I415" s="2" t="s">
        <v>304</v>
      </c>
      <c r="J415" s="2" t="s">
        <v>305</v>
      </c>
      <c r="K415" s="2" t="s">
        <v>28</v>
      </c>
      <c r="L415" s="2" t="s">
        <v>231</v>
      </c>
      <c r="M415" s="2">
        <v>1</v>
      </c>
      <c r="N415" s="2">
        <v>1619.1</v>
      </c>
      <c r="O415" s="2">
        <v>1080</v>
      </c>
      <c r="P415" s="2">
        <v>10</v>
      </c>
      <c r="Q415" s="2" t="s">
        <v>50</v>
      </c>
      <c r="R415" s="2" t="s">
        <v>65</v>
      </c>
      <c r="S415" s="3" t="s">
        <v>1604</v>
      </c>
      <c r="T415" s="6" t="s">
        <v>1604</v>
      </c>
    </row>
    <row r="416" spans="1:20" x14ac:dyDescent="0.3">
      <c r="A416" s="2" t="s">
        <v>919</v>
      </c>
      <c r="B416" s="3">
        <v>45456</v>
      </c>
      <c r="C416" s="2" t="s">
        <v>689</v>
      </c>
      <c r="D416" s="2" t="s">
        <v>690</v>
      </c>
      <c r="E416" s="2" t="s">
        <v>77</v>
      </c>
      <c r="F416" s="2">
        <v>45</v>
      </c>
      <c r="G416" s="2" t="s">
        <v>24</v>
      </c>
      <c r="H416" s="2" t="s">
        <v>25</v>
      </c>
      <c r="I416" s="2" t="s">
        <v>198</v>
      </c>
      <c r="J416" s="2" t="s">
        <v>199</v>
      </c>
      <c r="K416" s="2" t="s">
        <v>114</v>
      </c>
      <c r="L416" s="2" t="s">
        <v>200</v>
      </c>
      <c r="M416" s="2">
        <v>2</v>
      </c>
      <c r="N416" s="2">
        <v>2598</v>
      </c>
      <c r="O416" s="2">
        <v>1520</v>
      </c>
      <c r="P416" s="2">
        <v>0</v>
      </c>
      <c r="Q416" s="2" t="s">
        <v>30</v>
      </c>
      <c r="R416" s="2" t="s">
        <v>42</v>
      </c>
      <c r="S416" s="3">
        <v>45460</v>
      </c>
      <c r="T416" s="6">
        <v>5</v>
      </c>
    </row>
    <row r="417" spans="1:20" x14ac:dyDescent="0.3">
      <c r="A417" s="2" t="s">
        <v>920</v>
      </c>
      <c r="B417" s="3">
        <v>45905</v>
      </c>
      <c r="C417" s="2" t="s">
        <v>574</v>
      </c>
      <c r="D417" s="2" t="s">
        <v>442</v>
      </c>
      <c r="E417" s="2" t="s">
        <v>77</v>
      </c>
      <c r="F417" s="2">
        <v>53</v>
      </c>
      <c r="G417" s="2" t="s">
        <v>161</v>
      </c>
      <c r="H417" s="2" t="s">
        <v>25</v>
      </c>
      <c r="I417" s="2" t="s">
        <v>177</v>
      </c>
      <c r="J417" s="2" t="s">
        <v>178</v>
      </c>
      <c r="K417" s="2" t="s">
        <v>87</v>
      </c>
      <c r="L417" s="2" t="s">
        <v>179</v>
      </c>
      <c r="M417" s="2">
        <v>3</v>
      </c>
      <c r="N417" s="2">
        <v>7122.15</v>
      </c>
      <c r="O417" s="2">
        <v>4860</v>
      </c>
      <c r="P417" s="2">
        <v>5</v>
      </c>
      <c r="Q417" s="2" t="s">
        <v>30</v>
      </c>
      <c r="R417" s="2" t="s">
        <v>42</v>
      </c>
      <c r="S417" s="3">
        <v>45916</v>
      </c>
      <c r="T417" s="6">
        <v>5</v>
      </c>
    </row>
    <row r="418" spans="1:20" x14ac:dyDescent="0.3">
      <c r="A418" s="2" t="s">
        <v>921</v>
      </c>
      <c r="B418" s="3">
        <v>45785</v>
      </c>
      <c r="C418" s="2" t="s">
        <v>736</v>
      </c>
      <c r="D418" s="2" t="s">
        <v>737</v>
      </c>
      <c r="E418" s="2" t="s">
        <v>77</v>
      </c>
      <c r="F418" s="2">
        <v>21</v>
      </c>
      <c r="G418" s="2" t="s">
        <v>90</v>
      </c>
      <c r="H418" s="2" t="s">
        <v>91</v>
      </c>
      <c r="I418" s="2" t="s">
        <v>134</v>
      </c>
      <c r="J418" s="2" t="s">
        <v>135</v>
      </c>
      <c r="K418" s="2" t="s">
        <v>39</v>
      </c>
      <c r="L418" s="2" t="s">
        <v>136</v>
      </c>
      <c r="M418" s="2">
        <v>5</v>
      </c>
      <c r="N418" s="2">
        <v>895.5</v>
      </c>
      <c r="O418" s="2">
        <v>450</v>
      </c>
      <c r="P418" s="2">
        <v>10</v>
      </c>
      <c r="Q418" s="2" t="s">
        <v>50</v>
      </c>
      <c r="R418" s="2" t="s">
        <v>57</v>
      </c>
      <c r="S418" s="3">
        <v>45789</v>
      </c>
      <c r="T418" s="6">
        <v>4</v>
      </c>
    </row>
    <row r="419" spans="1:20" x14ac:dyDescent="0.3">
      <c r="A419" s="2" t="s">
        <v>922</v>
      </c>
      <c r="B419" s="3">
        <v>45463</v>
      </c>
      <c r="C419" s="2" t="s">
        <v>605</v>
      </c>
      <c r="D419" s="2" t="s">
        <v>442</v>
      </c>
      <c r="E419" s="2" t="s">
        <v>77</v>
      </c>
      <c r="F419" s="2">
        <v>22</v>
      </c>
      <c r="G419" s="2" t="s">
        <v>61</v>
      </c>
      <c r="H419" s="2" t="s">
        <v>62</v>
      </c>
      <c r="I419" s="2" t="s">
        <v>155</v>
      </c>
      <c r="J419" s="2" t="s">
        <v>156</v>
      </c>
      <c r="K419" s="2" t="s">
        <v>114</v>
      </c>
      <c r="L419" s="2" t="s">
        <v>157</v>
      </c>
      <c r="M419" s="2">
        <v>5</v>
      </c>
      <c r="N419" s="2">
        <v>4745.25</v>
      </c>
      <c r="O419" s="2">
        <v>3050</v>
      </c>
      <c r="P419" s="2">
        <v>5</v>
      </c>
      <c r="Q419" s="2" t="s">
        <v>30</v>
      </c>
      <c r="R419" s="2" t="s">
        <v>42</v>
      </c>
      <c r="S419" s="3">
        <v>45471</v>
      </c>
      <c r="T419" s="6">
        <v>3</v>
      </c>
    </row>
    <row r="420" spans="1:20" x14ac:dyDescent="0.3">
      <c r="A420" s="2" t="s">
        <v>923</v>
      </c>
      <c r="B420" s="3">
        <v>45403</v>
      </c>
      <c r="C420" s="2" t="s">
        <v>555</v>
      </c>
      <c r="D420" s="2" t="s">
        <v>556</v>
      </c>
      <c r="E420" s="2" t="s">
        <v>23</v>
      </c>
      <c r="F420" s="2">
        <v>52</v>
      </c>
      <c r="G420" s="2" t="s">
        <v>154</v>
      </c>
      <c r="H420" s="2" t="s">
        <v>91</v>
      </c>
      <c r="I420" s="2" t="s">
        <v>112</v>
      </c>
      <c r="J420" s="2" t="s">
        <v>113</v>
      </c>
      <c r="K420" s="2" t="s">
        <v>114</v>
      </c>
      <c r="L420" s="2" t="s">
        <v>115</v>
      </c>
      <c r="M420" s="2">
        <v>5</v>
      </c>
      <c r="N420" s="2">
        <v>2446.5</v>
      </c>
      <c r="O420" s="2">
        <v>1850</v>
      </c>
      <c r="P420" s="2">
        <v>30</v>
      </c>
      <c r="Q420" s="2" t="s">
        <v>30</v>
      </c>
      <c r="R420" s="2" t="s">
        <v>65</v>
      </c>
      <c r="S420" s="3" t="s">
        <v>1604</v>
      </c>
      <c r="T420" s="6" t="s">
        <v>1604</v>
      </c>
    </row>
    <row r="421" spans="1:20" x14ac:dyDescent="0.3">
      <c r="A421" s="2" t="s">
        <v>924</v>
      </c>
      <c r="B421" s="3">
        <v>45390</v>
      </c>
      <c r="C421" s="2" t="s">
        <v>499</v>
      </c>
      <c r="D421" s="2" t="s">
        <v>388</v>
      </c>
      <c r="E421" s="2" t="s">
        <v>23</v>
      </c>
      <c r="F421" s="2">
        <v>30</v>
      </c>
      <c r="G421" s="2" t="s">
        <v>101</v>
      </c>
      <c r="H421" s="2" t="s">
        <v>102</v>
      </c>
      <c r="I421" s="2" t="s">
        <v>155</v>
      </c>
      <c r="J421" s="2" t="s">
        <v>156</v>
      </c>
      <c r="K421" s="2" t="s">
        <v>114</v>
      </c>
      <c r="L421" s="2" t="s">
        <v>157</v>
      </c>
      <c r="M421" s="2">
        <v>5</v>
      </c>
      <c r="N421" s="2">
        <v>4995</v>
      </c>
      <c r="O421" s="2">
        <v>3050</v>
      </c>
      <c r="P421" s="2">
        <v>0</v>
      </c>
      <c r="Q421" s="2" t="s">
        <v>50</v>
      </c>
      <c r="R421" s="2" t="s">
        <v>65</v>
      </c>
      <c r="S421" s="3" t="s">
        <v>1604</v>
      </c>
      <c r="T421" s="6" t="s">
        <v>1604</v>
      </c>
    </row>
    <row r="422" spans="1:20" x14ac:dyDescent="0.3">
      <c r="A422" s="2" t="s">
        <v>925</v>
      </c>
      <c r="B422" s="3">
        <v>45412</v>
      </c>
      <c r="C422" s="2" t="s">
        <v>926</v>
      </c>
      <c r="D422" s="2" t="s">
        <v>927</v>
      </c>
      <c r="E422" s="2" t="s">
        <v>23</v>
      </c>
      <c r="F422" s="2">
        <v>42</v>
      </c>
      <c r="G422" s="2" t="s">
        <v>101</v>
      </c>
      <c r="H422" s="2" t="s">
        <v>102</v>
      </c>
      <c r="I422" s="2" t="s">
        <v>107</v>
      </c>
      <c r="J422" s="2" t="s">
        <v>108</v>
      </c>
      <c r="K422" s="2" t="s">
        <v>87</v>
      </c>
      <c r="L422" s="2" t="s">
        <v>88</v>
      </c>
      <c r="M422" s="2">
        <v>2</v>
      </c>
      <c r="N422" s="2">
        <v>1598</v>
      </c>
      <c r="O422" s="2">
        <v>840</v>
      </c>
      <c r="P422" s="2">
        <v>0</v>
      </c>
      <c r="Q422" s="2" t="s">
        <v>103</v>
      </c>
      <c r="R422" s="2" t="s">
        <v>65</v>
      </c>
      <c r="S422" s="3" t="s">
        <v>1604</v>
      </c>
      <c r="T422" s="6" t="s">
        <v>1604</v>
      </c>
    </row>
    <row r="423" spans="1:20" x14ac:dyDescent="0.3">
      <c r="A423" s="2" t="s">
        <v>928</v>
      </c>
      <c r="B423" s="3">
        <v>45722</v>
      </c>
      <c r="C423" s="2" t="s">
        <v>294</v>
      </c>
      <c r="D423" s="2" t="s">
        <v>295</v>
      </c>
      <c r="E423" s="2" t="s">
        <v>77</v>
      </c>
      <c r="F423" s="2">
        <v>31</v>
      </c>
      <c r="G423" s="2" t="s">
        <v>24</v>
      </c>
      <c r="H423" s="2" t="s">
        <v>25</v>
      </c>
      <c r="I423" s="2" t="s">
        <v>85</v>
      </c>
      <c r="J423" s="2" t="s">
        <v>86</v>
      </c>
      <c r="K423" s="2" t="s">
        <v>87</v>
      </c>
      <c r="L423" s="2" t="s">
        <v>88</v>
      </c>
      <c r="M423" s="2">
        <v>5</v>
      </c>
      <c r="N423" s="2">
        <v>4896.5</v>
      </c>
      <c r="O423" s="2">
        <v>3950</v>
      </c>
      <c r="P423" s="2">
        <v>30</v>
      </c>
      <c r="Q423" s="2" t="s">
        <v>30</v>
      </c>
      <c r="R423" s="2" t="s">
        <v>57</v>
      </c>
      <c r="S423" s="3">
        <v>45731</v>
      </c>
      <c r="T423" s="6">
        <v>5</v>
      </c>
    </row>
    <row r="424" spans="1:20" x14ac:dyDescent="0.3">
      <c r="A424" s="2" t="s">
        <v>929</v>
      </c>
      <c r="B424" s="3">
        <v>45650</v>
      </c>
      <c r="C424" s="2" t="s">
        <v>930</v>
      </c>
      <c r="D424" s="2" t="s">
        <v>556</v>
      </c>
      <c r="E424" s="2" t="s">
        <v>23</v>
      </c>
      <c r="F424" s="2">
        <v>48</v>
      </c>
      <c r="G424" s="2" t="s">
        <v>69</v>
      </c>
      <c r="H424" s="2" t="s">
        <v>69</v>
      </c>
      <c r="I424" s="2" t="s">
        <v>134</v>
      </c>
      <c r="J424" s="2" t="s">
        <v>135</v>
      </c>
      <c r="K424" s="2" t="s">
        <v>39</v>
      </c>
      <c r="L424" s="2" t="s">
        <v>136</v>
      </c>
      <c r="M424" s="2">
        <v>2</v>
      </c>
      <c r="N424" s="2">
        <v>318.39999999999998</v>
      </c>
      <c r="O424" s="2">
        <v>180</v>
      </c>
      <c r="P424" s="2">
        <v>20</v>
      </c>
      <c r="Q424" s="2" t="s">
        <v>103</v>
      </c>
      <c r="R424" s="2" t="s">
        <v>57</v>
      </c>
      <c r="S424" s="3">
        <v>45655</v>
      </c>
      <c r="T424" s="6">
        <v>3</v>
      </c>
    </row>
    <row r="425" spans="1:20" x14ac:dyDescent="0.3">
      <c r="A425" s="2" t="s">
        <v>931</v>
      </c>
      <c r="B425" s="3">
        <v>45582</v>
      </c>
      <c r="C425" s="2" t="s">
        <v>401</v>
      </c>
      <c r="D425" s="2" t="s">
        <v>402</v>
      </c>
      <c r="E425" s="2" t="s">
        <v>23</v>
      </c>
      <c r="F425" s="2">
        <v>53</v>
      </c>
      <c r="G425" s="2" t="s">
        <v>122</v>
      </c>
      <c r="H425" s="2" t="s">
        <v>123</v>
      </c>
      <c r="I425" s="2" t="s">
        <v>128</v>
      </c>
      <c r="J425" s="2" t="s">
        <v>129</v>
      </c>
      <c r="K425" s="2" t="s">
        <v>130</v>
      </c>
      <c r="L425" s="2" t="s">
        <v>131</v>
      </c>
      <c r="M425" s="2">
        <v>2</v>
      </c>
      <c r="N425" s="2">
        <v>12998</v>
      </c>
      <c r="O425" s="2">
        <v>10200</v>
      </c>
      <c r="P425" s="2">
        <v>0</v>
      </c>
      <c r="Q425" s="2" t="s">
        <v>73</v>
      </c>
      <c r="R425" s="2" t="s">
        <v>65</v>
      </c>
      <c r="S425" s="3" t="s">
        <v>1604</v>
      </c>
      <c r="T425" s="6" t="s">
        <v>1604</v>
      </c>
    </row>
    <row r="426" spans="1:20" x14ac:dyDescent="0.3">
      <c r="A426" s="2" t="s">
        <v>932</v>
      </c>
      <c r="B426" s="3">
        <v>45827</v>
      </c>
      <c r="C426" s="2" t="s">
        <v>517</v>
      </c>
      <c r="D426" s="2" t="s">
        <v>518</v>
      </c>
      <c r="E426" s="2" t="s">
        <v>23</v>
      </c>
      <c r="F426" s="2">
        <v>38</v>
      </c>
      <c r="G426" s="2" t="s">
        <v>161</v>
      </c>
      <c r="H426" s="2" t="s">
        <v>25</v>
      </c>
      <c r="I426" s="2" t="s">
        <v>47</v>
      </c>
      <c r="J426" s="2" t="s">
        <v>48</v>
      </c>
      <c r="K426" s="2" t="s">
        <v>39</v>
      </c>
      <c r="L426" s="2" t="s">
        <v>49</v>
      </c>
      <c r="M426" s="2">
        <v>2</v>
      </c>
      <c r="N426" s="2">
        <v>598.5</v>
      </c>
      <c r="O426" s="2">
        <v>420</v>
      </c>
      <c r="P426" s="2">
        <v>25</v>
      </c>
      <c r="Q426" s="2" t="s">
        <v>103</v>
      </c>
      <c r="R426" s="2" t="s">
        <v>42</v>
      </c>
      <c r="S426" s="3">
        <v>45830</v>
      </c>
      <c r="T426" s="6">
        <v>3</v>
      </c>
    </row>
    <row r="427" spans="1:20" x14ac:dyDescent="0.3">
      <c r="A427" s="2" t="s">
        <v>933</v>
      </c>
      <c r="B427" s="3">
        <v>45728</v>
      </c>
      <c r="C427" s="2" t="s">
        <v>788</v>
      </c>
      <c r="D427" s="2" t="s">
        <v>789</v>
      </c>
      <c r="E427" s="2" t="s">
        <v>77</v>
      </c>
      <c r="F427" s="2">
        <v>52</v>
      </c>
      <c r="G427" s="2" t="s">
        <v>207</v>
      </c>
      <c r="H427" s="2" t="s">
        <v>36</v>
      </c>
      <c r="I427" s="2" t="s">
        <v>128</v>
      </c>
      <c r="J427" s="2" t="s">
        <v>129</v>
      </c>
      <c r="K427" s="2" t="s">
        <v>130</v>
      </c>
      <c r="L427" s="2" t="s">
        <v>131</v>
      </c>
      <c r="M427" s="2">
        <v>5</v>
      </c>
      <c r="N427" s="2">
        <v>22746.5</v>
      </c>
      <c r="O427" s="2">
        <v>25500</v>
      </c>
      <c r="P427" s="2">
        <v>30</v>
      </c>
      <c r="Q427" s="2" t="s">
        <v>50</v>
      </c>
      <c r="R427" s="2" t="s">
        <v>42</v>
      </c>
      <c r="S427" s="3">
        <v>45739</v>
      </c>
      <c r="T427" s="6">
        <v>4</v>
      </c>
    </row>
    <row r="428" spans="1:20" x14ac:dyDescent="0.3">
      <c r="A428" s="2" t="s">
        <v>934</v>
      </c>
      <c r="B428" s="3">
        <v>45988</v>
      </c>
      <c r="C428" s="2" t="s">
        <v>181</v>
      </c>
      <c r="D428" s="2" t="s">
        <v>182</v>
      </c>
      <c r="E428" s="2" t="s">
        <v>23</v>
      </c>
      <c r="F428" s="2">
        <v>51</v>
      </c>
      <c r="G428" s="2" t="s">
        <v>154</v>
      </c>
      <c r="H428" s="2" t="s">
        <v>91</v>
      </c>
      <c r="I428" s="2" t="s">
        <v>134</v>
      </c>
      <c r="J428" s="2" t="s">
        <v>135</v>
      </c>
      <c r="K428" s="2" t="s">
        <v>39</v>
      </c>
      <c r="L428" s="2" t="s">
        <v>136</v>
      </c>
      <c r="M428" s="2">
        <v>5</v>
      </c>
      <c r="N428" s="2">
        <v>597</v>
      </c>
      <c r="O428" s="2">
        <v>450</v>
      </c>
      <c r="P428" s="2">
        <v>40</v>
      </c>
      <c r="Q428" s="2" t="s">
        <v>30</v>
      </c>
      <c r="R428" s="2" t="s">
        <v>42</v>
      </c>
      <c r="S428" s="3">
        <v>45998</v>
      </c>
      <c r="T428" s="6">
        <v>5</v>
      </c>
    </row>
    <row r="429" spans="1:20" x14ac:dyDescent="0.3">
      <c r="A429" s="2" t="s">
        <v>935</v>
      </c>
      <c r="B429" s="3">
        <v>45551</v>
      </c>
      <c r="C429" s="2" t="s">
        <v>302</v>
      </c>
      <c r="D429" s="2" t="s">
        <v>303</v>
      </c>
      <c r="E429" s="2" t="s">
        <v>77</v>
      </c>
      <c r="F429" s="2">
        <v>24</v>
      </c>
      <c r="G429" s="2" t="s">
        <v>211</v>
      </c>
      <c r="H429" s="2" t="s">
        <v>127</v>
      </c>
      <c r="I429" s="2" t="s">
        <v>85</v>
      </c>
      <c r="J429" s="2" t="s">
        <v>86</v>
      </c>
      <c r="K429" s="2" t="s">
        <v>87</v>
      </c>
      <c r="L429" s="2" t="s">
        <v>88</v>
      </c>
      <c r="M429" s="2">
        <v>4</v>
      </c>
      <c r="N429" s="2">
        <v>5036.3999999999996</v>
      </c>
      <c r="O429" s="2">
        <v>3160</v>
      </c>
      <c r="P429" s="2">
        <v>10</v>
      </c>
      <c r="Q429" s="2" t="s">
        <v>73</v>
      </c>
      <c r="R429" s="2" t="s">
        <v>31</v>
      </c>
      <c r="S429" s="3">
        <v>45556</v>
      </c>
      <c r="T429" s="6">
        <v>5</v>
      </c>
    </row>
    <row r="430" spans="1:20" x14ac:dyDescent="0.3">
      <c r="A430" s="2" t="s">
        <v>936</v>
      </c>
      <c r="B430" s="3">
        <v>46008</v>
      </c>
      <c r="C430" s="2" t="s">
        <v>371</v>
      </c>
      <c r="D430" s="2" t="s">
        <v>372</v>
      </c>
      <c r="E430" s="2" t="s">
        <v>77</v>
      </c>
      <c r="F430" s="2">
        <v>54</v>
      </c>
      <c r="G430" s="2" t="s">
        <v>69</v>
      </c>
      <c r="H430" s="2" t="s">
        <v>69</v>
      </c>
      <c r="I430" s="2" t="s">
        <v>70</v>
      </c>
      <c r="J430" s="2" t="s">
        <v>71</v>
      </c>
      <c r="K430" s="2" t="s">
        <v>28</v>
      </c>
      <c r="L430" s="2" t="s">
        <v>72</v>
      </c>
      <c r="M430" s="2">
        <v>5</v>
      </c>
      <c r="N430" s="2">
        <v>5246.5</v>
      </c>
      <c r="O430" s="2">
        <v>4600</v>
      </c>
      <c r="P430" s="2">
        <v>30</v>
      </c>
      <c r="Q430" s="2" t="s">
        <v>41</v>
      </c>
      <c r="R430" s="2" t="s">
        <v>57</v>
      </c>
      <c r="S430" s="3">
        <v>46018</v>
      </c>
      <c r="T430" s="6">
        <v>2</v>
      </c>
    </row>
    <row r="431" spans="1:20" x14ac:dyDescent="0.3">
      <c r="A431" s="2" t="s">
        <v>937</v>
      </c>
      <c r="B431" s="3">
        <v>45456</v>
      </c>
      <c r="C431" s="2" t="s">
        <v>938</v>
      </c>
      <c r="D431" s="2" t="s">
        <v>53</v>
      </c>
      <c r="E431" s="2" t="s">
        <v>23</v>
      </c>
      <c r="F431" s="2">
        <v>42</v>
      </c>
      <c r="G431" s="2" t="s">
        <v>161</v>
      </c>
      <c r="H431" s="2" t="s">
        <v>25</v>
      </c>
      <c r="I431" s="2" t="s">
        <v>54</v>
      </c>
      <c r="J431" s="2" t="s">
        <v>55</v>
      </c>
      <c r="K431" s="2" t="s">
        <v>28</v>
      </c>
      <c r="L431" s="2" t="s">
        <v>56</v>
      </c>
      <c r="M431" s="2">
        <v>2</v>
      </c>
      <c r="N431" s="2">
        <v>838.8</v>
      </c>
      <c r="O431" s="2">
        <v>820</v>
      </c>
      <c r="P431" s="2">
        <v>40</v>
      </c>
      <c r="Q431" s="2" t="s">
        <v>50</v>
      </c>
      <c r="R431" s="2" t="s">
        <v>42</v>
      </c>
      <c r="S431" s="3">
        <v>45459</v>
      </c>
      <c r="T431" s="6">
        <v>3</v>
      </c>
    </row>
    <row r="432" spans="1:20" x14ac:dyDescent="0.3">
      <c r="A432" s="2" t="s">
        <v>939</v>
      </c>
      <c r="B432" s="3">
        <v>45561</v>
      </c>
      <c r="C432" s="2" t="s">
        <v>317</v>
      </c>
      <c r="D432" s="2" t="s">
        <v>318</v>
      </c>
      <c r="E432" s="2" t="s">
        <v>77</v>
      </c>
      <c r="F432" s="2">
        <v>54</v>
      </c>
      <c r="G432" s="2" t="s">
        <v>211</v>
      </c>
      <c r="H432" s="2" t="s">
        <v>127</v>
      </c>
      <c r="I432" s="2" t="s">
        <v>54</v>
      </c>
      <c r="J432" s="2" t="s">
        <v>55</v>
      </c>
      <c r="K432" s="2" t="s">
        <v>28</v>
      </c>
      <c r="L432" s="2" t="s">
        <v>56</v>
      </c>
      <c r="M432" s="2">
        <v>5</v>
      </c>
      <c r="N432" s="2">
        <v>3495</v>
      </c>
      <c r="O432" s="2">
        <v>2050</v>
      </c>
      <c r="P432" s="2">
        <v>0</v>
      </c>
      <c r="Q432" s="2" t="s">
        <v>103</v>
      </c>
      <c r="R432" s="2" t="s">
        <v>42</v>
      </c>
      <c r="S432" s="3">
        <v>45572</v>
      </c>
      <c r="T432" s="6">
        <v>4</v>
      </c>
    </row>
    <row r="433" spans="1:20" x14ac:dyDescent="0.3">
      <c r="A433" s="2" t="s">
        <v>940</v>
      </c>
      <c r="B433" s="3">
        <v>46020</v>
      </c>
      <c r="C433" s="2" t="s">
        <v>941</v>
      </c>
      <c r="D433" s="2" t="s">
        <v>1604</v>
      </c>
      <c r="E433" s="2" t="s">
        <v>77</v>
      </c>
      <c r="F433" s="2">
        <v>33</v>
      </c>
      <c r="G433" s="2" t="s">
        <v>78</v>
      </c>
      <c r="H433" s="2" t="s">
        <v>79</v>
      </c>
      <c r="I433" s="2" t="s">
        <v>92</v>
      </c>
      <c r="J433" s="2" t="s">
        <v>93</v>
      </c>
      <c r="K433" s="2" t="s">
        <v>87</v>
      </c>
      <c r="L433" s="2" t="s">
        <v>94</v>
      </c>
      <c r="M433" s="2">
        <v>4</v>
      </c>
      <c r="N433" s="2">
        <v>3837.6</v>
      </c>
      <c r="O433" s="2">
        <v>3720</v>
      </c>
      <c r="P433" s="2">
        <v>40</v>
      </c>
      <c r="Q433" s="2" t="s">
        <v>73</v>
      </c>
      <c r="R433" s="2" t="s">
        <v>42</v>
      </c>
      <c r="S433" s="3">
        <v>46032</v>
      </c>
      <c r="T433" s="6">
        <v>4</v>
      </c>
    </row>
    <row r="434" spans="1:20" x14ac:dyDescent="0.3">
      <c r="A434" s="2" t="s">
        <v>942</v>
      </c>
      <c r="B434" s="3">
        <v>45491</v>
      </c>
      <c r="C434" s="2" t="s">
        <v>943</v>
      </c>
      <c r="D434" s="2" t="s">
        <v>206</v>
      </c>
      <c r="E434" s="2" t="s">
        <v>77</v>
      </c>
      <c r="F434" s="2">
        <v>42</v>
      </c>
      <c r="G434" s="2" t="s">
        <v>90</v>
      </c>
      <c r="H434" s="2" t="s">
        <v>91</v>
      </c>
      <c r="I434" s="2" t="s">
        <v>155</v>
      </c>
      <c r="J434" s="2" t="s">
        <v>156</v>
      </c>
      <c r="K434" s="2" t="s">
        <v>114</v>
      </c>
      <c r="L434" s="2" t="s">
        <v>157</v>
      </c>
      <c r="M434" s="2">
        <v>2</v>
      </c>
      <c r="N434" s="2">
        <v>1998</v>
      </c>
      <c r="O434" s="2">
        <v>1220</v>
      </c>
      <c r="P434" s="2">
        <v>0</v>
      </c>
      <c r="Q434" s="2" t="s">
        <v>41</v>
      </c>
      <c r="R434" s="2" t="s">
        <v>42</v>
      </c>
      <c r="S434" s="3">
        <v>45503</v>
      </c>
      <c r="T434" s="6">
        <v>2</v>
      </c>
    </row>
    <row r="435" spans="1:20" x14ac:dyDescent="0.3">
      <c r="A435" s="2" t="s">
        <v>944</v>
      </c>
      <c r="B435" s="3">
        <v>45453</v>
      </c>
      <c r="C435" s="2" t="s">
        <v>508</v>
      </c>
      <c r="D435" s="2" t="s">
        <v>509</v>
      </c>
      <c r="E435" s="2" t="s">
        <v>77</v>
      </c>
      <c r="F435" s="2">
        <v>23</v>
      </c>
      <c r="G435" s="2" t="s">
        <v>207</v>
      </c>
      <c r="H435" s="2" t="s">
        <v>36</v>
      </c>
      <c r="I435" s="2" t="s">
        <v>47</v>
      </c>
      <c r="J435" s="2" t="s">
        <v>48</v>
      </c>
      <c r="K435" s="2" t="s">
        <v>39</v>
      </c>
      <c r="L435" s="2" t="s">
        <v>49</v>
      </c>
      <c r="M435" s="2">
        <v>3</v>
      </c>
      <c r="N435" s="2">
        <v>837.9</v>
      </c>
      <c r="O435" s="2">
        <v>630</v>
      </c>
      <c r="P435" s="2">
        <v>30</v>
      </c>
      <c r="Q435" s="2" t="s">
        <v>103</v>
      </c>
      <c r="R435" s="2" t="s">
        <v>65</v>
      </c>
      <c r="S435" s="3" t="s">
        <v>1604</v>
      </c>
      <c r="T435" s="6" t="s">
        <v>1604</v>
      </c>
    </row>
    <row r="436" spans="1:20" x14ac:dyDescent="0.3">
      <c r="A436" s="2" t="s">
        <v>945</v>
      </c>
      <c r="B436" s="3">
        <v>45497</v>
      </c>
      <c r="C436" s="2" t="s">
        <v>420</v>
      </c>
      <c r="D436" s="2" t="s">
        <v>76</v>
      </c>
      <c r="E436" s="2" t="s">
        <v>77</v>
      </c>
      <c r="F436" s="2">
        <v>27</v>
      </c>
      <c r="G436" s="2" t="s">
        <v>161</v>
      </c>
      <c r="H436" s="2" t="s">
        <v>25</v>
      </c>
      <c r="I436" s="2" t="s">
        <v>177</v>
      </c>
      <c r="J436" s="2" t="s">
        <v>178</v>
      </c>
      <c r="K436" s="2" t="s">
        <v>87</v>
      </c>
      <c r="L436" s="2" t="s">
        <v>179</v>
      </c>
      <c r="M436" s="2">
        <v>1</v>
      </c>
      <c r="N436" s="2">
        <v>2374.0500000000002</v>
      </c>
      <c r="O436" s="2">
        <v>1620</v>
      </c>
      <c r="P436" s="2">
        <v>5</v>
      </c>
      <c r="Q436" s="2" t="s">
        <v>50</v>
      </c>
      <c r="R436" s="2" t="s">
        <v>42</v>
      </c>
      <c r="S436" s="3">
        <v>45507</v>
      </c>
      <c r="T436" s="6">
        <v>4</v>
      </c>
    </row>
    <row r="437" spans="1:20" x14ac:dyDescent="0.3">
      <c r="A437" s="2" t="s">
        <v>946</v>
      </c>
      <c r="B437" s="3">
        <v>45647</v>
      </c>
      <c r="C437" s="2" t="s">
        <v>249</v>
      </c>
      <c r="D437" s="2" t="s">
        <v>250</v>
      </c>
      <c r="E437" s="2" t="s">
        <v>23</v>
      </c>
      <c r="F437" s="2">
        <v>34</v>
      </c>
      <c r="G437" s="2" t="s">
        <v>90</v>
      </c>
      <c r="H437" s="2" t="s">
        <v>91</v>
      </c>
      <c r="I437" s="2" t="s">
        <v>155</v>
      </c>
      <c r="J437" s="2" t="s">
        <v>156</v>
      </c>
      <c r="K437" s="2" t="s">
        <v>114</v>
      </c>
      <c r="L437" s="2" t="s">
        <v>157</v>
      </c>
      <c r="M437" s="2">
        <v>2</v>
      </c>
      <c r="N437" s="2">
        <v>1198.8</v>
      </c>
      <c r="O437" s="2">
        <v>1220</v>
      </c>
      <c r="P437" s="2">
        <v>40</v>
      </c>
      <c r="Q437" s="2" t="s">
        <v>103</v>
      </c>
      <c r="R437" s="2" t="s">
        <v>65</v>
      </c>
      <c r="S437" s="3" t="s">
        <v>1604</v>
      </c>
      <c r="T437" s="6" t="s">
        <v>1604</v>
      </c>
    </row>
    <row r="438" spans="1:20" x14ac:dyDescent="0.3">
      <c r="A438" s="2" t="s">
        <v>947</v>
      </c>
      <c r="B438" s="3">
        <v>45296</v>
      </c>
      <c r="C438" s="2" t="s">
        <v>511</v>
      </c>
      <c r="D438" s="2" t="s">
        <v>512</v>
      </c>
      <c r="E438" s="2" t="s">
        <v>23</v>
      </c>
      <c r="F438" s="2">
        <v>53</v>
      </c>
      <c r="G438" s="2" t="s">
        <v>78</v>
      </c>
      <c r="H438" s="2" t="s">
        <v>79</v>
      </c>
      <c r="I438" s="2" t="s">
        <v>134</v>
      </c>
      <c r="J438" s="2" t="s">
        <v>135</v>
      </c>
      <c r="K438" s="2" t="s">
        <v>39</v>
      </c>
      <c r="L438" s="2" t="s">
        <v>136</v>
      </c>
      <c r="M438" s="2">
        <v>5</v>
      </c>
      <c r="N438" s="2">
        <v>945.25</v>
      </c>
      <c r="O438" s="2">
        <v>450</v>
      </c>
      <c r="P438" s="2">
        <v>5</v>
      </c>
      <c r="Q438" s="2" t="s">
        <v>50</v>
      </c>
      <c r="R438" s="2" t="s">
        <v>42</v>
      </c>
      <c r="S438" s="3">
        <v>45306</v>
      </c>
      <c r="T438" s="6">
        <v>4</v>
      </c>
    </row>
    <row r="439" spans="1:20" x14ac:dyDescent="0.3">
      <c r="A439" s="2" t="s">
        <v>948</v>
      </c>
      <c r="B439" s="3">
        <v>45640</v>
      </c>
      <c r="C439" s="2" t="s">
        <v>674</v>
      </c>
      <c r="D439" s="2" t="s">
        <v>675</v>
      </c>
      <c r="E439" s="2" t="s">
        <v>23</v>
      </c>
      <c r="F439" s="2">
        <v>51</v>
      </c>
      <c r="G439" s="2" t="s">
        <v>207</v>
      </c>
      <c r="H439" s="2" t="s">
        <v>36</v>
      </c>
      <c r="I439" s="2" t="s">
        <v>222</v>
      </c>
      <c r="J439" s="2" t="s">
        <v>223</v>
      </c>
      <c r="K439" s="2" t="s">
        <v>114</v>
      </c>
      <c r="L439" s="2" t="s">
        <v>115</v>
      </c>
      <c r="M439" s="2">
        <v>5</v>
      </c>
      <c r="N439" s="2">
        <v>3596</v>
      </c>
      <c r="O439" s="2">
        <v>2550</v>
      </c>
      <c r="P439" s="2">
        <v>20</v>
      </c>
      <c r="Q439" s="2" t="s">
        <v>103</v>
      </c>
      <c r="R439" s="2" t="s">
        <v>42</v>
      </c>
      <c r="S439" s="3">
        <v>45651</v>
      </c>
      <c r="T439" s="6">
        <v>5</v>
      </c>
    </row>
    <row r="440" spans="1:20" x14ac:dyDescent="0.3">
      <c r="A440" s="2" t="s">
        <v>949</v>
      </c>
      <c r="B440" s="3">
        <v>45541</v>
      </c>
      <c r="C440" s="2" t="s">
        <v>345</v>
      </c>
      <c r="D440" s="2" t="s">
        <v>346</v>
      </c>
      <c r="E440" s="2" t="s">
        <v>23</v>
      </c>
      <c r="F440" s="2">
        <v>18</v>
      </c>
      <c r="G440" s="2" t="s">
        <v>61</v>
      </c>
      <c r="H440" s="2" t="s">
        <v>62</v>
      </c>
      <c r="I440" s="2" t="s">
        <v>107</v>
      </c>
      <c r="J440" s="2" t="s">
        <v>108</v>
      </c>
      <c r="K440" s="2" t="s">
        <v>87</v>
      </c>
      <c r="L440" s="2" t="s">
        <v>88</v>
      </c>
      <c r="M440" s="2">
        <v>4</v>
      </c>
      <c r="N440" s="2">
        <v>3196</v>
      </c>
      <c r="O440" s="2">
        <v>1680</v>
      </c>
      <c r="P440" s="2">
        <v>0</v>
      </c>
      <c r="Q440" s="2" t="s">
        <v>103</v>
      </c>
      <c r="R440" s="2" t="s">
        <v>42</v>
      </c>
      <c r="S440" s="3">
        <v>45547</v>
      </c>
      <c r="T440" s="6">
        <v>3</v>
      </c>
    </row>
    <row r="441" spans="1:20" x14ac:dyDescent="0.3">
      <c r="A441" s="2" t="s">
        <v>950</v>
      </c>
      <c r="B441" s="3">
        <v>45683</v>
      </c>
      <c r="C441" s="2" t="s">
        <v>215</v>
      </c>
      <c r="D441" s="2" t="s">
        <v>147</v>
      </c>
      <c r="E441" s="2" t="s">
        <v>23</v>
      </c>
      <c r="F441" s="2">
        <v>33</v>
      </c>
      <c r="G441" s="2" t="s">
        <v>90</v>
      </c>
      <c r="H441" s="2" t="s">
        <v>91</v>
      </c>
      <c r="I441" s="2" t="s">
        <v>183</v>
      </c>
      <c r="J441" s="2" t="s">
        <v>184</v>
      </c>
      <c r="K441" s="2" t="s">
        <v>130</v>
      </c>
      <c r="L441" s="2" t="s">
        <v>185</v>
      </c>
      <c r="M441" s="2">
        <v>4</v>
      </c>
      <c r="N441" s="2">
        <v>11997</v>
      </c>
      <c r="O441" s="2">
        <v>12200</v>
      </c>
      <c r="P441" s="2">
        <v>25</v>
      </c>
      <c r="Q441" s="2" t="s">
        <v>50</v>
      </c>
      <c r="R441" s="2" t="s">
        <v>65</v>
      </c>
      <c r="S441" s="3" t="s">
        <v>1604</v>
      </c>
      <c r="T441" s="6" t="s">
        <v>1604</v>
      </c>
    </row>
    <row r="442" spans="1:20" x14ac:dyDescent="0.3">
      <c r="A442" s="2" t="s">
        <v>951</v>
      </c>
      <c r="B442" s="3">
        <v>45301</v>
      </c>
      <c r="C442" s="2" t="s">
        <v>952</v>
      </c>
      <c r="D442" s="2" t="s">
        <v>953</v>
      </c>
      <c r="E442" s="2" t="s">
        <v>23</v>
      </c>
      <c r="F442" s="2">
        <v>36</v>
      </c>
      <c r="G442" s="2" t="s">
        <v>90</v>
      </c>
      <c r="H442" s="2" t="s">
        <v>91</v>
      </c>
      <c r="I442" s="2" t="s">
        <v>143</v>
      </c>
      <c r="J442" s="2" t="s">
        <v>144</v>
      </c>
      <c r="K442" s="2" t="s">
        <v>130</v>
      </c>
      <c r="L442" s="2" t="s">
        <v>131</v>
      </c>
      <c r="M442" s="2">
        <v>1</v>
      </c>
      <c r="N442" s="2">
        <v>3849.3</v>
      </c>
      <c r="O442" s="2">
        <v>4300</v>
      </c>
      <c r="P442" s="2">
        <v>30</v>
      </c>
      <c r="Q442" s="2" t="s">
        <v>41</v>
      </c>
      <c r="R442" s="2" t="s">
        <v>42</v>
      </c>
      <c r="S442" s="3">
        <v>45311</v>
      </c>
      <c r="T442" s="6">
        <v>3</v>
      </c>
    </row>
    <row r="443" spans="1:20" x14ac:dyDescent="0.3">
      <c r="A443" s="2" t="s">
        <v>954</v>
      </c>
      <c r="B443" s="3">
        <v>45779</v>
      </c>
      <c r="C443" s="2" t="s">
        <v>278</v>
      </c>
      <c r="D443" s="2" t="s">
        <v>139</v>
      </c>
      <c r="E443" s="2" t="s">
        <v>77</v>
      </c>
      <c r="F443" s="2">
        <v>32</v>
      </c>
      <c r="G443" s="2" t="s">
        <v>211</v>
      </c>
      <c r="H443" s="2" t="s">
        <v>127</v>
      </c>
      <c r="I443" s="2" t="s">
        <v>70</v>
      </c>
      <c r="J443" s="2" t="s">
        <v>71</v>
      </c>
      <c r="K443" s="2" t="s">
        <v>28</v>
      </c>
      <c r="L443" s="2" t="s">
        <v>72</v>
      </c>
      <c r="M443" s="2">
        <v>5</v>
      </c>
      <c r="N443" s="2">
        <v>5996</v>
      </c>
      <c r="O443" s="2">
        <v>4600</v>
      </c>
      <c r="P443" s="2">
        <v>20</v>
      </c>
      <c r="Q443" s="2" t="s">
        <v>30</v>
      </c>
      <c r="R443" s="2" t="s">
        <v>31</v>
      </c>
      <c r="S443" s="3">
        <v>45791</v>
      </c>
      <c r="T443" s="6">
        <v>4</v>
      </c>
    </row>
    <row r="444" spans="1:20" x14ac:dyDescent="0.3">
      <c r="A444" s="2" t="s">
        <v>955</v>
      </c>
      <c r="B444" s="3">
        <v>45802</v>
      </c>
      <c r="C444" s="2" t="s">
        <v>220</v>
      </c>
      <c r="D444" s="2" t="s">
        <v>221</v>
      </c>
      <c r="E444" s="2" t="s">
        <v>23</v>
      </c>
      <c r="F444" s="2">
        <v>53</v>
      </c>
      <c r="G444" s="2" t="s">
        <v>90</v>
      </c>
      <c r="H444" s="2" t="s">
        <v>91</v>
      </c>
      <c r="I444" s="2" t="s">
        <v>177</v>
      </c>
      <c r="J444" s="2" t="s">
        <v>178</v>
      </c>
      <c r="K444" s="2" t="s">
        <v>87</v>
      </c>
      <c r="L444" s="2" t="s">
        <v>179</v>
      </c>
      <c r="M444" s="2">
        <v>2</v>
      </c>
      <c r="N444" s="2">
        <v>3998.4</v>
      </c>
      <c r="O444" s="2">
        <v>3240</v>
      </c>
      <c r="P444" s="2">
        <v>20</v>
      </c>
      <c r="Q444" s="2" t="s">
        <v>30</v>
      </c>
      <c r="R444" s="2" t="s">
        <v>42</v>
      </c>
      <c r="S444" s="3">
        <v>45807</v>
      </c>
      <c r="T444" s="6">
        <v>4</v>
      </c>
    </row>
    <row r="445" spans="1:20" x14ac:dyDescent="0.3">
      <c r="A445" s="2" t="s">
        <v>956</v>
      </c>
      <c r="B445" s="3">
        <v>45925</v>
      </c>
      <c r="C445" s="2" t="s">
        <v>893</v>
      </c>
      <c r="D445" s="2" t="s">
        <v>894</v>
      </c>
      <c r="E445" s="2" t="s">
        <v>77</v>
      </c>
      <c r="F445" s="2">
        <v>42</v>
      </c>
      <c r="G445" s="2" t="s">
        <v>173</v>
      </c>
      <c r="H445" s="2" t="s">
        <v>79</v>
      </c>
      <c r="I445" s="2" t="s">
        <v>229</v>
      </c>
      <c r="J445" s="2" t="s">
        <v>230</v>
      </c>
      <c r="K445" s="2" t="s">
        <v>28</v>
      </c>
      <c r="L445" s="2" t="s">
        <v>231</v>
      </c>
      <c r="M445" s="2">
        <v>1</v>
      </c>
      <c r="N445" s="2">
        <v>1899.05</v>
      </c>
      <c r="O445" s="2">
        <v>1230</v>
      </c>
      <c r="P445" s="2">
        <v>5</v>
      </c>
      <c r="Q445" s="2" t="s">
        <v>103</v>
      </c>
      <c r="R445" s="2" t="s">
        <v>65</v>
      </c>
      <c r="S445" s="3" t="s">
        <v>1604</v>
      </c>
      <c r="T445" s="6" t="s">
        <v>1604</v>
      </c>
    </row>
    <row r="446" spans="1:20" x14ac:dyDescent="0.3">
      <c r="A446" s="2" t="s">
        <v>957</v>
      </c>
      <c r="B446" s="3">
        <v>45298</v>
      </c>
      <c r="C446" s="2" t="s">
        <v>133</v>
      </c>
      <c r="D446" s="2" t="s">
        <v>857</v>
      </c>
      <c r="E446" s="2" t="s">
        <v>77</v>
      </c>
      <c r="F446" s="2">
        <v>56</v>
      </c>
      <c r="G446" s="2" t="s">
        <v>24</v>
      </c>
      <c r="H446" s="2" t="s">
        <v>25</v>
      </c>
      <c r="I446" s="2" t="s">
        <v>37</v>
      </c>
      <c r="J446" s="2" t="s">
        <v>38</v>
      </c>
      <c r="K446" s="2" t="s">
        <v>39</v>
      </c>
      <c r="L446" s="2" t="s">
        <v>40</v>
      </c>
      <c r="M446" s="2">
        <v>3</v>
      </c>
      <c r="N446" s="2">
        <v>2022.75</v>
      </c>
      <c r="O446" s="2">
        <v>1560</v>
      </c>
      <c r="P446" s="2">
        <v>25</v>
      </c>
      <c r="Q446" s="2" t="s">
        <v>103</v>
      </c>
      <c r="R446" s="2" t="s">
        <v>65</v>
      </c>
      <c r="S446" s="3" t="s">
        <v>1604</v>
      </c>
      <c r="T446" s="6" t="s">
        <v>1604</v>
      </c>
    </row>
    <row r="447" spans="1:20" x14ac:dyDescent="0.3">
      <c r="A447" s="2" t="s">
        <v>958</v>
      </c>
      <c r="B447" s="3">
        <v>45573</v>
      </c>
      <c r="C447" s="2" t="s">
        <v>117</v>
      </c>
      <c r="D447" s="2" t="s">
        <v>118</v>
      </c>
      <c r="E447" s="2" t="s">
        <v>23</v>
      </c>
      <c r="F447" s="2">
        <v>56</v>
      </c>
      <c r="G447" s="2" t="s">
        <v>78</v>
      </c>
      <c r="H447" s="2" t="s">
        <v>79</v>
      </c>
      <c r="I447" s="2" t="s">
        <v>112</v>
      </c>
      <c r="J447" s="2" t="s">
        <v>113</v>
      </c>
      <c r="K447" s="2" t="s">
        <v>114</v>
      </c>
      <c r="L447" s="2" t="s">
        <v>115</v>
      </c>
      <c r="M447" s="2">
        <v>3</v>
      </c>
      <c r="N447" s="2">
        <v>1467.9</v>
      </c>
      <c r="O447" s="2">
        <v>1110</v>
      </c>
      <c r="P447" s="2">
        <v>30</v>
      </c>
      <c r="Q447" s="2" t="s">
        <v>30</v>
      </c>
      <c r="R447" s="2" t="s">
        <v>57</v>
      </c>
      <c r="S447" s="3">
        <v>45584</v>
      </c>
      <c r="T447" s="6">
        <v>3</v>
      </c>
    </row>
    <row r="448" spans="1:20" x14ac:dyDescent="0.3">
      <c r="A448" s="2" t="s">
        <v>959</v>
      </c>
      <c r="B448" s="3">
        <v>45347</v>
      </c>
      <c r="C448" s="2" t="s">
        <v>360</v>
      </c>
      <c r="D448" s="2" t="s">
        <v>960</v>
      </c>
      <c r="E448" s="2" t="s">
        <v>77</v>
      </c>
      <c r="F448" s="2">
        <v>55</v>
      </c>
      <c r="G448" s="2" t="s">
        <v>122</v>
      </c>
      <c r="H448" s="2" t="s">
        <v>123</v>
      </c>
      <c r="I448" s="2" t="s">
        <v>37</v>
      </c>
      <c r="J448" s="2" t="s">
        <v>38</v>
      </c>
      <c r="K448" s="2" t="s">
        <v>39</v>
      </c>
      <c r="L448" s="2" t="s">
        <v>40</v>
      </c>
      <c r="M448" s="2">
        <v>5</v>
      </c>
      <c r="N448" s="2">
        <v>4495</v>
      </c>
      <c r="O448" s="2">
        <v>2600</v>
      </c>
      <c r="P448" s="2">
        <v>0</v>
      </c>
      <c r="Q448" s="2" t="s">
        <v>50</v>
      </c>
      <c r="R448" s="2" t="s">
        <v>42</v>
      </c>
      <c r="S448" s="3">
        <v>45355</v>
      </c>
      <c r="T448" s="6">
        <v>3</v>
      </c>
    </row>
    <row r="449" spans="1:20" x14ac:dyDescent="0.3">
      <c r="A449" s="2" t="s">
        <v>961</v>
      </c>
      <c r="B449" s="3">
        <v>45760</v>
      </c>
      <c r="C449" s="2" t="s">
        <v>962</v>
      </c>
      <c r="D449" s="2" t="s">
        <v>963</v>
      </c>
      <c r="E449" s="2" t="s">
        <v>77</v>
      </c>
      <c r="F449" s="2">
        <v>25</v>
      </c>
      <c r="G449" s="2" t="s">
        <v>61</v>
      </c>
      <c r="H449" s="2" t="s">
        <v>62</v>
      </c>
      <c r="I449" s="2" t="s">
        <v>183</v>
      </c>
      <c r="J449" s="2" t="s">
        <v>184</v>
      </c>
      <c r="K449" s="2" t="s">
        <v>130</v>
      </c>
      <c r="L449" s="2" t="s">
        <v>185</v>
      </c>
      <c r="M449" s="2">
        <v>1</v>
      </c>
      <c r="N449" s="2">
        <v>3999</v>
      </c>
      <c r="O449" s="2">
        <v>3050</v>
      </c>
      <c r="P449" s="2">
        <v>0</v>
      </c>
      <c r="Q449" s="2" t="s">
        <v>30</v>
      </c>
      <c r="R449" s="2" t="s">
        <v>42</v>
      </c>
      <c r="S449" s="3">
        <v>45771</v>
      </c>
      <c r="T449" s="6">
        <v>3</v>
      </c>
    </row>
    <row r="450" spans="1:20" x14ac:dyDescent="0.3">
      <c r="A450" s="2" t="s">
        <v>964</v>
      </c>
      <c r="B450" s="3">
        <v>45625</v>
      </c>
      <c r="C450" s="2" t="s">
        <v>263</v>
      </c>
      <c r="D450" s="2" t="s">
        <v>264</v>
      </c>
      <c r="E450" s="2" t="s">
        <v>77</v>
      </c>
      <c r="F450" s="2">
        <v>18</v>
      </c>
      <c r="G450" s="2" t="s">
        <v>207</v>
      </c>
      <c r="H450" s="2" t="s">
        <v>36</v>
      </c>
      <c r="I450" s="2" t="s">
        <v>319</v>
      </c>
      <c r="J450" s="2" t="s">
        <v>320</v>
      </c>
      <c r="K450" s="2" t="s">
        <v>28</v>
      </c>
      <c r="L450" s="2" t="s">
        <v>29</v>
      </c>
      <c r="M450" s="2">
        <v>5</v>
      </c>
      <c r="N450" s="2">
        <v>4796</v>
      </c>
      <c r="O450" s="2">
        <v>3550</v>
      </c>
      <c r="P450" s="2">
        <v>20</v>
      </c>
      <c r="Q450" s="2" t="s">
        <v>30</v>
      </c>
      <c r="R450" s="2" t="s">
        <v>42</v>
      </c>
      <c r="S450" s="3">
        <v>45634</v>
      </c>
      <c r="T450" s="6">
        <v>4</v>
      </c>
    </row>
    <row r="451" spans="1:20" x14ac:dyDescent="0.3">
      <c r="A451" s="2" t="s">
        <v>965</v>
      </c>
      <c r="B451" s="3">
        <v>45666</v>
      </c>
      <c r="C451" s="2" t="s">
        <v>889</v>
      </c>
      <c r="D451" s="2" t="s">
        <v>890</v>
      </c>
      <c r="E451" s="2" t="s">
        <v>23</v>
      </c>
      <c r="F451" s="2">
        <v>53</v>
      </c>
      <c r="G451" s="2" t="s">
        <v>101</v>
      </c>
      <c r="H451" s="2" t="s">
        <v>102</v>
      </c>
      <c r="I451" s="2" t="s">
        <v>134</v>
      </c>
      <c r="J451" s="2" t="s">
        <v>135</v>
      </c>
      <c r="K451" s="2" t="s">
        <v>39</v>
      </c>
      <c r="L451" s="2" t="s">
        <v>136</v>
      </c>
      <c r="M451" s="2">
        <v>2</v>
      </c>
      <c r="N451" s="2">
        <v>278.60000000000002</v>
      </c>
      <c r="O451" s="2">
        <v>180</v>
      </c>
      <c r="P451" s="2">
        <v>30</v>
      </c>
      <c r="Q451" s="2" t="s">
        <v>41</v>
      </c>
      <c r="R451" s="2" t="s">
        <v>42</v>
      </c>
      <c r="S451" s="3">
        <v>45674</v>
      </c>
      <c r="T451" s="6">
        <v>4</v>
      </c>
    </row>
    <row r="452" spans="1:20" x14ac:dyDescent="0.3">
      <c r="A452" s="2" t="s">
        <v>966</v>
      </c>
      <c r="B452" s="3">
        <v>45753</v>
      </c>
      <c r="C452" s="2" t="s">
        <v>967</v>
      </c>
      <c r="D452" s="2" t="s">
        <v>968</v>
      </c>
      <c r="E452" s="2" t="s">
        <v>23</v>
      </c>
      <c r="F452" s="2">
        <v>29</v>
      </c>
      <c r="G452" s="2" t="s">
        <v>173</v>
      </c>
      <c r="H452" s="2" t="s">
        <v>79</v>
      </c>
      <c r="I452" s="2" t="s">
        <v>198</v>
      </c>
      <c r="J452" s="2" t="s">
        <v>199</v>
      </c>
      <c r="K452" s="2" t="s">
        <v>114</v>
      </c>
      <c r="L452" s="2" t="s">
        <v>200</v>
      </c>
      <c r="M452" s="2">
        <v>2</v>
      </c>
      <c r="N452" s="2">
        <v>2468.1</v>
      </c>
      <c r="O452" s="2">
        <v>1520</v>
      </c>
      <c r="P452" s="2">
        <v>5</v>
      </c>
      <c r="Q452" s="2" t="s">
        <v>41</v>
      </c>
      <c r="R452" s="2" t="s">
        <v>57</v>
      </c>
      <c r="S452" s="3">
        <v>45758</v>
      </c>
      <c r="T452" s="6">
        <v>5</v>
      </c>
    </row>
    <row r="453" spans="1:20" x14ac:dyDescent="0.3">
      <c r="A453" s="2" t="s">
        <v>969</v>
      </c>
      <c r="B453" s="3">
        <v>45682</v>
      </c>
      <c r="C453" s="2" t="s">
        <v>970</v>
      </c>
      <c r="D453" s="2" t="s">
        <v>385</v>
      </c>
      <c r="E453" s="2" t="s">
        <v>23</v>
      </c>
      <c r="F453" s="2">
        <v>34</v>
      </c>
      <c r="G453" s="2" t="s">
        <v>173</v>
      </c>
      <c r="H453" s="2" t="s">
        <v>79</v>
      </c>
      <c r="I453" s="2" t="s">
        <v>177</v>
      </c>
      <c r="J453" s="2" t="s">
        <v>178</v>
      </c>
      <c r="K453" s="2" t="s">
        <v>87</v>
      </c>
      <c r="L453" s="2" t="s">
        <v>179</v>
      </c>
      <c r="M453" s="2">
        <v>2</v>
      </c>
      <c r="N453" s="2">
        <v>2998.8</v>
      </c>
      <c r="O453" s="2">
        <v>3240</v>
      </c>
      <c r="P453" s="2">
        <v>40</v>
      </c>
      <c r="Q453" s="2" t="s">
        <v>73</v>
      </c>
      <c r="R453" s="2" t="s">
        <v>42</v>
      </c>
      <c r="S453" s="3">
        <v>45690</v>
      </c>
      <c r="T453" s="6">
        <v>5</v>
      </c>
    </row>
    <row r="454" spans="1:20" x14ac:dyDescent="0.3">
      <c r="A454" s="2" t="s">
        <v>971</v>
      </c>
      <c r="B454" s="3">
        <v>45429</v>
      </c>
      <c r="C454" s="2" t="s">
        <v>754</v>
      </c>
      <c r="D454" s="2" t="s">
        <v>227</v>
      </c>
      <c r="E454" s="2" t="s">
        <v>23</v>
      </c>
      <c r="F454" s="2">
        <v>41</v>
      </c>
      <c r="G454" s="2" t="s">
        <v>126</v>
      </c>
      <c r="H454" s="2" t="s">
        <v>127</v>
      </c>
      <c r="I454" s="2" t="s">
        <v>37</v>
      </c>
      <c r="J454" s="2" t="s">
        <v>38</v>
      </c>
      <c r="K454" s="2" t="s">
        <v>39</v>
      </c>
      <c r="L454" s="2" t="s">
        <v>40</v>
      </c>
      <c r="M454" s="2">
        <v>3</v>
      </c>
      <c r="N454" s="2">
        <v>2157.6</v>
      </c>
      <c r="O454" s="2">
        <v>1560</v>
      </c>
      <c r="P454" s="2">
        <v>20</v>
      </c>
      <c r="Q454" s="2" t="s">
        <v>50</v>
      </c>
      <c r="R454" s="2" t="s">
        <v>57</v>
      </c>
      <c r="S454" s="3">
        <v>45440</v>
      </c>
      <c r="T454" s="6">
        <v>2</v>
      </c>
    </row>
    <row r="455" spans="1:20" x14ac:dyDescent="0.3">
      <c r="A455" s="2" t="s">
        <v>972</v>
      </c>
      <c r="B455" s="3">
        <v>45699</v>
      </c>
      <c r="C455" s="2" t="s">
        <v>240</v>
      </c>
      <c r="D455" s="2" t="s">
        <v>241</v>
      </c>
      <c r="E455" s="2" t="s">
        <v>23</v>
      </c>
      <c r="F455" s="2">
        <v>25</v>
      </c>
      <c r="G455" s="2" t="s">
        <v>78</v>
      </c>
      <c r="H455" s="2" t="s">
        <v>79</v>
      </c>
      <c r="I455" s="2" t="s">
        <v>26</v>
      </c>
      <c r="J455" s="2" t="s">
        <v>27</v>
      </c>
      <c r="K455" s="2" t="s">
        <v>28</v>
      </c>
      <c r="L455" s="2" t="s">
        <v>29</v>
      </c>
      <c r="M455" s="2">
        <v>2</v>
      </c>
      <c r="N455" s="2">
        <v>2078.4</v>
      </c>
      <c r="O455" s="2">
        <v>1580</v>
      </c>
      <c r="P455" s="2">
        <v>20</v>
      </c>
      <c r="Q455" s="2" t="s">
        <v>103</v>
      </c>
      <c r="R455" s="2" t="s">
        <v>57</v>
      </c>
      <c r="S455" s="3">
        <v>45711</v>
      </c>
      <c r="T455" s="6">
        <v>3</v>
      </c>
    </row>
    <row r="456" spans="1:20" x14ac:dyDescent="0.3">
      <c r="A456" s="2" t="s">
        <v>973</v>
      </c>
      <c r="B456" s="3">
        <v>45752</v>
      </c>
      <c r="C456" s="2" t="s">
        <v>786</v>
      </c>
      <c r="D456" s="2" t="s">
        <v>227</v>
      </c>
      <c r="E456" s="2" t="s">
        <v>23</v>
      </c>
      <c r="F456" s="2">
        <v>54</v>
      </c>
      <c r="G456" s="2" t="s">
        <v>207</v>
      </c>
      <c r="H456" s="2" t="s">
        <v>36</v>
      </c>
      <c r="I456" s="2" t="s">
        <v>245</v>
      </c>
      <c r="J456" s="2" t="s">
        <v>246</v>
      </c>
      <c r="K456" s="2" t="s">
        <v>130</v>
      </c>
      <c r="L456" s="2" t="s">
        <v>247</v>
      </c>
      <c r="M456" s="2">
        <v>3</v>
      </c>
      <c r="N456" s="2">
        <v>5997.6</v>
      </c>
      <c r="O456" s="2">
        <v>5610</v>
      </c>
      <c r="P456" s="2">
        <v>20</v>
      </c>
      <c r="Q456" s="2" t="s">
        <v>41</v>
      </c>
      <c r="R456" s="2" t="s">
        <v>42</v>
      </c>
      <c r="S456" s="3">
        <v>45760</v>
      </c>
      <c r="T456" s="6">
        <v>3</v>
      </c>
    </row>
    <row r="457" spans="1:20" x14ac:dyDescent="0.3">
      <c r="A457" s="2" t="s">
        <v>974</v>
      </c>
      <c r="B457" s="3">
        <v>45651</v>
      </c>
      <c r="C457" s="2" t="s">
        <v>975</v>
      </c>
      <c r="D457" s="2" t="s">
        <v>733</v>
      </c>
      <c r="E457" s="2" t="s">
        <v>77</v>
      </c>
      <c r="F457" s="2">
        <v>45</v>
      </c>
      <c r="G457" s="2" t="s">
        <v>78</v>
      </c>
      <c r="H457" s="2" t="s">
        <v>79</v>
      </c>
      <c r="I457" s="2" t="s">
        <v>143</v>
      </c>
      <c r="J457" s="2" t="s">
        <v>144</v>
      </c>
      <c r="K457" s="2" t="s">
        <v>130</v>
      </c>
      <c r="L457" s="2" t="s">
        <v>131</v>
      </c>
      <c r="M457" s="2">
        <v>3</v>
      </c>
      <c r="N457" s="2">
        <v>12372.75</v>
      </c>
      <c r="O457" s="2">
        <v>12900</v>
      </c>
      <c r="P457" s="2">
        <v>25</v>
      </c>
      <c r="Q457" s="2" t="s">
        <v>50</v>
      </c>
      <c r="R457" s="2" t="s">
        <v>42</v>
      </c>
      <c r="S457" s="3">
        <v>45660</v>
      </c>
      <c r="T457" s="6">
        <v>3</v>
      </c>
    </row>
    <row r="458" spans="1:20" x14ac:dyDescent="0.3">
      <c r="A458" s="2" t="s">
        <v>976</v>
      </c>
      <c r="B458" s="3">
        <v>45682</v>
      </c>
      <c r="C458" s="2" t="s">
        <v>422</v>
      </c>
      <c r="D458" s="2" t="s">
        <v>367</v>
      </c>
      <c r="E458" s="2" t="s">
        <v>77</v>
      </c>
      <c r="F458" s="2">
        <v>41</v>
      </c>
      <c r="G458" s="2" t="s">
        <v>61</v>
      </c>
      <c r="H458" s="2" t="s">
        <v>62</v>
      </c>
      <c r="I458" s="2" t="s">
        <v>92</v>
      </c>
      <c r="J458" s="2" t="s">
        <v>93</v>
      </c>
      <c r="K458" s="2" t="s">
        <v>87</v>
      </c>
      <c r="L458" s="2" t="s">
        <v>94</v>
      </c>
      <c r="M458" s="2">
        <v>2</v>
      </c>
      <c r="N458" s="2">
        <v>2878.2</v>
      </c>
      <c r="O458" s="2">
        <v>1860</v>
      </c>
      <c r="P458" s="2">
        <v>10</v>
      </c>
      <c r="Q458" s="2" t="s">
        <v>41</v>
      </c>
      <c r="R458" s="2" t="s">
        <v>42</v>
      </c>
      <c r="S458" s="3">
        <v>45694</v>
      </c>
      <c r="T458" s="6">
        <v>5</v>
      </c>
    </row>
    <row r="459" spans="1:20" x14ac:dyDescent="0.3">
      <c r="A459" s="2" t="s">
        <v>977</v>
      </c>
      <c r="B459" s="3">
        <v>45365</v>
      </c>
      <c r="C459" s="2" t="s">
        <v>978</v>
      </c>
      <c r="D459" s="2" t="s">
        <v>341</v>
      </c>
      <c r="E459" s="2" t="s">
        <v>23</v>
      </c>
      <c r="F459" s="2">
        <v>52</v>
      </c>
      <c r="G459" s="2" t="s">
        <v>78</v>
      </c>
      <c r="H459" s="2" t="s">
        <v>79</v>
      </c>
      <c r="I459" s="2" t="s">
        <v>183</v>
      </c>
      <c r="J459" s="2" t="s">
        <v>184</v>
      </c>
      <c r="K459" s="2" t="s">
        <v>130</v>
      </c>
      <c r="L459" s="2" t="s">
        <v>185</v>
      </c>
      <c r="M459" s="2">
        <v>2</v>
      </c>
      <c r="N459" s="2">
        <v>5998.5</v>
      </c>
      <c r="O459" s="2">
        <v>6100</v>
      </c>
      <c r="P459" s="2">
        <v>25</v>
      </c>
      <c r="Q459" s="2" t="s">
        <v>41</v>
      </c>
      <c r="R459" s="2" t="s">
        <v>31</v>
      </c>
      <c r="S459" s="3">
        <v>45371</v>
      </c>
      <c r="T459" s="6">
        <v>4</v>
      </c>
    </row>
    <row r="460" spans="1:20" x14ac:dyDescent="0.3">
      <c r="A460" s="2" t="s">
        <v>979</v>
      </c>
      <c r="B460" s="3">
        <v>45911</v>
      </c>
      <c r="C460" s="2" t="s">
        <v>226</v>
      </c>
      <c r="D460" s="2" t="s">
        <v>227</v>
      </c>
      <c r="E460" s="2" t="s">
        <v>23</v>
      </c>
      <c r="F460" s="2">
        <v>32</v>
      </c>
      <c r="G460" s="2" t="s">
        <v>207</v>
      </c>
      <c r="H460" s="2" t="s">
        <v>36</v>
      </c>
      <c r="I460" s="2" t="s">
        <v>63</v>
      </c>
      <c r="J460" s="2" t="s">
        <v>64</v>
      </c>
      <c r="K460" s="2" t="s">
        <v>39</v>
      </c>
      <c r="L460" s="2" t="s">
        <v>40</v>
      </c>
      <c r="M460" s="2">
        <v>3</v>
      </c>
      <c r="N460" s="2">
        <v>1078.2</v>
      </c>
      <c r="O460" s="2">
        <v>990</v>
      </c>
      <c r="P460" s="2">
        <v>40</v>
      </c>
      <c r="Q460" s="2" t="s">
        <v>103</v>
      </c>
      <c r="R460" s="2" t="s">
        <v>42</v>
      </c>
      <c r="S460" s="3">
        <v>45915</v>
      </c>
      <c r="T460" s="6">
        <v>2</v>
      </c>
    </row>
    <row r="461" spans="1:20" x14ac:dyDescent="0.3">
      <c r="A461" s="2" t="s">
        <v>980</v>
      </c>
      <c r="B461" s="3">
        <v>45420</v>
      </c>
      <c r="C461" s="2" t="s">
        <v>752</v>
      </c>
      <c r="D461" s="2" t="s">
        <v>250</v>
      </c>
      <c r="E461" s="2" t="s">
        <v>23</v>
      </c>
      <c r="F461" s="2">
        <v>37</v>
      </c>
      <c r="G461" s="2" t="s">
        <v>207</v>
      </c>
      <c r="H461" s="2" t="s">
        <v>36</v>
      </c>
      <c r="I461" s="2" t="s">
        <v>177</v>
      </c>
      <c r="J461" s="2" t="s">
        <v>178</v>
      </c>
      <c r="K461" s="2" t="s">
        <v>87</v>
      </c>
      <c r="L461" s="2" t="s">
        <v>179</v>
      </c>
      <c r="M461" s="2">
        <v>1</v>
      </c>
      <c r="N461" s="2">
        <v>2124.15</v>
      </c>
      <c r="O461" s="2">
        <v>1620</v>
      </c>
      <c r="P461" s="2">
        <v>15</v>
      </c>
      <c r="Q461" s="2" t="s">
        <v>30</v>
      </c>
      <c r="R461" s="2" t="s">
        <v>42</v>
      </c>
      <c r="S461" s="3">
        <v>45423</v>
      </c>
      <c r="T461" s="6">
        <v>3</v>
      </c>
    </row>
    <row r="462" spans="1:20" x14ac:dyDescent="0.3">
      <c r="A462" s="2" t="s">
        <v>981</v>
      </c>
      <c r="B462" s="3">
        <v>45357</v>
      </c>
      <c r="C462" s="2" t="s">
        <v>982</v>
      </c>
      <c r="D462" s="2" t="s">
        <v>890</v>
      </c>
      <c r="E462" s="2" t="s">
        <v>23</v>
      </c>
      <c r="F462" s="2">
        <v>19</v>
      </c>
      <c r="G462" s="2" t="s">
        <v>24</v>
      </c>
      <c r="H462" s="2" t="s">
        <v>25</v>
      </c>
      <c r="I462" s="2" t="s">
        <v>80</v>
      </c>
      <c r="J462" s="2" t="s">
        <v>81</v>
      </c>
      <c r="K462" s="2" t="s">
        <v>28</v>
      </c>
      <c r="L462" s="2" t="s">
        <v>29</v>
      </c>
      <c r="M462" s="2">
        <v>4</v>
      </c>
      <c r="N462" s="2">
        <v>3036.2</v>
      </c>
      <c r="O462" s="2">
        <v>1880</v>
      </c>
      <c r="P462" s="2">
        <v>5</v>
      </c>
      <c r="Q462" s="2" t="s">
        <v>73</v>
      </c>
      <c r="R462" s="2" t="s">
        <v>42</v>
      </c>
      <c r="S462" s="3">
        <v>45368</v>
      </c>
      <c r="T462" s="6">
        <v>3</v>
      </c>
    </row>
    <row r="463" spans="1:20" x14ac:dyDescent="0.3">
      <c r="A463" s="2" t="s">
        <v>983</v>
      </c>
      <c r="B463" s="3">
        <v>45378</v>
      </c>
      <c r="C463" s="2" t="s">
        <v>938</v>
      </c>
      <c r="D463" s="2" t="s">
        <v>53</v>
      </c>
      <c r="E463" s="2" t="s">
        <v>23</v>
      </c>
      <c r="F463" s="2">
        <v>42</v>
      </c>
      <c r="G463" s="2" t="s">
        <v>35</v>
      </c>
      <c r="H463" s="2" t="s">
        <v>36</v>
      </c>
      <c r="I463" s="2" t="s">
        <v>304</v>
      </c>
      <c r="J463" s="2" t="s">
        <v>305</v>
      </c>
      <c r="K463" s="2" t="s">
        <v>28</v>
      </c>
      <c r="L463" s="2" t="s">
        <v>231</v>
      </c>
      <c r="M463" s="2">
        <v>2</v>
      </c>
      <c r="N463" s="2">
        <v>2878.4</v>
      </c>
      <c r="O463" s="2">
        <v>2160</v>
      </c>
      <c r="P463" s="2">
        <v>20</v>
      </c>
      <c r="Q463" s="2" t="s">
        <v>103</v>
      </c>
      <c r="R463" s="2" t="s">
        <v>31</v>
      </c>
      <c r="S463" s="3">
        <v>45382</v>
      </c>
      <c r="T463" s="6">
        <v>3</v>
      </c>
    </row>
    <row r="464" spans="1:20" x14ac:dyDescent="0.3">
      <c r="A464" s="2" t="s">
        <v>984</v>
      </c>
      <c r="B464" s="3">
        <v>45831</v>
      </c>
      <c r="C464" s="2" t="s">
        <v>736</v>
      </c>
      <c r="D464" s="2" t="s">
        <v>737</v>
      </c>
      <c r="E464" s="2" t="s">
        <v>77</v>
      </c>
      <c r="F464" s="2">
        <v>21</v>
      </c>
      <c r="G464" s="2" t="s">
        <v>161</v>
      </c>
      <c r="H464" s="2" t="s">
        <v>25</v>
      </c>
      <c r="I464" s="2" t="s">
        <v>26</v>
      </c>
      <c r="J464" s="2" t="s">
        <v>27</v>
      </c>
      <c r="K464" s="2" t="s">
        <v>28</v>
      </c>
      <c r="L464" s="2" t="s">
        <v>29</v>
      </c>
      <c r="M464" s="2">
        <v>3</v>
      </c>
      <c r="N464" s="2">
        <v>2922.75</v>
      </c>
      <c r="O464" s="2">
        <v>2370</v>
      </c>
      <c r="P464" s="2">
        <v>25</v>
      </c>
      <c r="Q464" s="2" t="s">
        <v>103</v>
      </c>
      <c r="R464" s="2" t="s">
        <v>42</v>
      </c>
      <c r="S464" s="3">
        <v>45841</v>
      </c>
      <c r="T464" s="6">
        <v>4</v>
      </c>
    </row>
    <row r="465" spans="1:20" x14ac:dyDescent="0.3">
      <c r="A465" s="2" t="s">
        <v>985</v>
      </c>
      <c r="B465" s="3">
        <v>45853</v>
      </c>
      <c r="C465" s="2" t="s">
        <v>243</v>
      </c>
      <c r="D465" s="2" t="s">
        <v>244</v>
      </c>
      <c r="E465" s="2" t="s">
        <v>77</v>
      </c>
      <c r="F465" s="2">
        <v>52</v>
      </c>
      <c r="G465" s="2" t="s">
        <v>173</v>
      </c>
      <c r="H465" s="2" t="s">
        <v>79</v>
      </c>
      <c r="I465" s="2" t="s">
        <v>85</v>
      </c>
      <c r="J465" s="2" t="s">
        <v>86</v>
      </c>
      <c r="K465" s="2" t="s">
        <v>87</v>
      </c>
      <c r="L465" s="2" t="s">
        <v>88</v>
      </c>
      <c r="M465" s="2">
        <v>5</v>
      </c>
      <c r="N465" s="2">
        <v>6295.5</v>
      </c>
      <c r="O465" s="2">
        <v>3950</v>
      </c>
      <c r="P465" s="2">
        <v>10</v>
      </c>
      <c r="Q465" s="2" t="s">
        <v>50</v>
      </c>
      <c r="R465" s="2" t="s">
        <v>65</v>
      </c>
      <c r="S465" s="3" t="s">
        <v>1604</v>
      </c>
      <c r="T465" s="6" t="s">
        <v>1604</v>
      </c>
    </row>
    <row r="466" spans="1:20" x14ac:dyDescent="0.3">
      <c r="A466" s="2" t="s">
        <v>986</v>
      </c>
      <c r="B466" s="3">
        <v>45759</v>
      </c>
      <c r="C466" s="2" t="s">
        <v>574</v>
      </c>
      <c r="D466" s="2" t="s">
        <v>442</v>
      </c>
      <c r="E466" s="2" t="s">
        <v>77</v>
      </c>
      <c r="F466" s="2">
        <v>53</v>
      </c>
      <c r="G466" s="2" t="s">
        <v>122</v>
      </c>
      <c r="H466" s="2" t="s">
        <v>123</v>
      </c>
      <c r="I466" s="2" t="s">
        <v>112</v>
      </c>
      <c r="J466" s="2" t="s">
        <v>113</v>
      </c>
      <c r="K466" s="2" t="s">
        <v>114</v>
      </c>
      <c r="L466" s="2" t="s">
        <v>115</v>
      </c>
      <c r="M466" s="2">
        <v>5</v>
      </c>
      <c r="N466" s="2">
        <v>2796</v>
      </c>
      <c r="O466" s="2">
        <v>1850</v>
      </c>
      <c r="P466" s="2">
        <v>20</v>
      </c>
      <c r="Q466" s="2" t="s">
        <v>41</v>
      </c>
      <c r="R466" s="2" t="s">
        <v>42</v>
      </c>
      <c r="S466" s="3">
        <v>45769</v>
      </c>
      <c r="T466" s="6">
        <v>4</v>
      </c>
    </row>
    <row r="467" spans="1:20" x14ac:dyDescent="0.3">
      <c r="A467" s="2" t="s">
        <v>987</v>
      </c>
      <c r="B467" s="3">
        <v>45383</v>
      </c>
      <c r="C467" s="2" t="s">
        <v>138</v>
      </c>
      <c r="D467" s="2" t="s">
        <v>139</v>
      </c>
      <c r="E467" s="2" t="s">
        <v>77</v>
      </c>
      <c r="F467" s="2">
        <v>42</v>
      </c>
      <c r="G467" s="2" t="s">
        <v>35</v>
      </c>
      <c r="H467" s="2" t="s">
        <v>36</v>
      </c>
      <c r="I467" s="2" t="s">
        <v>245</v>
      </c>
      <c r="J467" s="2" t="s">
        <v>246</v>
      </c>
      <c r="K467" s="2" t="s">
        <v>130</v>
      </c>
      <c r="L467" s="2" t="s">
        <v>247</v>
      </c>
      <c r="M467" s="2">
        <v>4</v>
      </c>
      <c r="N467" s="2">
        <v>7996.8</v>
      </c>
      <c r="O467" s="2">
        <v>7480</v>
      </c>
      <c r="P467" s="2">
        <v>20</v>
      </c>
      <c r="Q467" s="2" t="s">
        <v>30</v>
      </c>
      <c r="R467" s="2" t="s">
        <v>42</v>
      </c>
      <c r="S467" s="3">
        <v>45385</v>
      </c>
      <c r="T467" s="6">
        <v>2</v>
      </c>
    </row>
    <row r="468" spans="1:20" x14ac:dyDescent="0.3">
      <c r="A468" s="2" t="s">
        <v>988</v>
      </c>
      <c r="B468" s="3">
        <v>45827</v>
      </c>
      <c r="C468" s="2" t="s">
        <v>693</v>
      </c>
      <c r="D468" s="2" t="s">
        <v>694</v>
      </c>
      <c r="E468" s="2" t="s">
        <v>23</v>
      </c>
      <c r="F468" s="2">
        <v>30</v>
      </c>
      <c r="G468" s="2" t="s">
        <v>211</v>
      </c>
      <c r="H468" s="2" t="s">
        <v>127</v>
      </c>
      <c r="I468" s="2" t="s">
        <v>143</v>
      </c>
      <c r="J468" s="2" t="s">
        <v>144</v>
      </c>
      <c r="K468" s="2" t="s">
        <v>130</v>
      </c>
      <c r="L468" s="2" t="s">
        <v>131</v>
      </c>
      <c r="M468" s="2">
        <v>4</v>
      </c>
      <c r="N468" s="2">
        <v>21996</v>
      </c>
      <c r="O468" s="2">
        <v>17200</v>
      </c>
      <c r="P468" s="2">
        <v>0</v>
      </c>
      <c r="Q468" s="2" t="s">
        <v>103</v>
      </c>
      <c r="R468" s="2" t="s">
        <v>57</v>
      </c>
      <c r="S468" s="3">
        <v>45836</v>
      </c>
      <c r="T468" s="6">
        <v>4</v>
      </c>
    </row>
    <row r="469" spans="1:20" x14ac:dyDescent="0.3">
      <c r="A469" s="2" t="s">
        <v>989</v>
      </c>
      <c r="B469" s="3">
        <v>45301</v>
      </c>
      <c r="C469" s="2" t="s">
        <v>990</v>
      </c>
      <c r="D469" s="2" t="s">
        <v>377</v>
      </c>
      <c r="E469" s="2" t="s">
        <v>23</v>
      </c>
      <c r="F469" s="2">
        <v>44</v>
      </c>
      <c r="G469" s="2" t="s">
        <v>35</v>
      </c>
      <c r="H469" s="2" t="s">
        <v>36</v>
      </c>
      <c r="I469" s="2" t="s">
        <v>155</v>
      </c>
      <c r="J469" s="2" t="s">
        <v>156</v>
      </c>
      <c r="K469" s="2" t="s">
        <v>114</v>
      </c>
      <c r="L469" s="2" t="s">
        <v>157</v>
      </c>
      <c r="M469" s="2">
        <v>2</v>
      </c>
      <c r="N469" s="2">
        <v>1998</v>
      </c>
      <c r="O469" s="2">
        <v>1220</v>
      </c>
      <c r="P469" s="2">
        <v>0</v>
      </c>
      <c r="Q469" s="2" t="s">
        <v>50</v>
      </c>
      <c r="R469" s="2" t="s">
        <v>42</v>
      </c>
      <c r="S469" s="3">
        <v>45306</v>
      </c>
      <c r="T469" s="6">
        <v>5</v>
      </c>
    </row>
    <row r="470" spans="1:20" x14ac:dyDescent="0.3">
      <c r="A470" s="2" t="s">
        <v>991</v>
      </c>
      <c r="B470" s="3">
        <v>45866</v>
      </c>
      <c r="C470" s="2" t="s">
        <v>665</v>
      </c>
      <c r="D470" s="2" t="s">
        <v>666</v>
      </c>
      <c r="E470" s="2" t="s">
        <v>77</v>
      </c>
      <c r="F470" s="2">
        <v>55</v>
      </c>
      <c r="G470" s="2" t="s">
        <v>165</v>
      </c>
      <c r="H470" s="2" t="s">
        <v>166</v>
      </c>
      <c r="I470" s="2" t="s">
        <v>304</v>
      </c>
      <c r="J470" s="2" t="s">
        <v>305</v>
      </c>
      <c r="K470" s="2" t="s">
        <v>28</v>
      </c>
      <c r="L470" s="2" t="s">
        <v>231</v>
      </c>
      <c r="M470" s="2">
        <v>2</v>
      </c>
      <c r="N470" s="2">
        <v>2518.6</v>
      </c>
      <c r="O470" s="2">
        <v>2160</v>
      </c>
      <c r="P470" s="2">
        <v>30</v>
      </c>
      <c r="Q470" s="2" t="s">
        <v>103</v>
      </c>
      <c r="R470" s="2" t="s">
        <v>42</v>
      </c>
      <c r="S470" s="3">
        <v>45872</v>
      </c>
      <c r="T470" s="6">
        <v>3</v>
      </c>
    </row>
    <row r="471" spans="1:20" x14ac:dyDescent="0.3">
      <c r="A471" s="2" t="s">
        <v>992</v>
      </c>
      <c r="B471" s="3">
        <v>45724</v>
      </c>
      <c r="C471" s="2" t="s">
        <v>141</v>
      </c>
      <c r="D471" s="2" t="s">
        <v>142</v>
      </c>
      <c r="E471" s="2" t="s">
        <v>23</v>
      </c>
      <c r="F471" s="2">
        <v>57</v>
      </c>
      <c r="G471" s="2" t="s">
        <v>207</v>
      </c>
      <c r="H471" s="2" t="s">
        <v>36</v>
      </c>
      <c r="I471" s="2" t="s">
        <v>143</v>
      </c>
      <c r="J471" s="2" t="s">
        <v>144</v>
      </c>
      <c r="K471" s="2" t="s">
        <v>130</v>
      </c>
      <c r="L471" s="2" t="s">
        <v>131</v>
      </c>
      <c r="M471" s="2">
        <v>5</v>
      </c>
      <c r="N471" s="2">
        <v>21996</v>
      </c>
      <c r="O471" s="2">
        <v>21500</v>
      </c>
      <c r="P471" s="2">
        <v>20</v>
      </c>
      <c r="Q471" s="2" t="s">
        <v>103</v>
      </c>
      <c r="R471" s="2" t="s">
        <v>42</v>
      </c>
      <c r="S471" s="3">
        <v>45727</v>
      </c>
      <c r="T471" s="6">
        <v>3</v>
      </c>
    </row>
    <row r="472" spans="1:20" x14ac:dyDescent="0.3">
      <c r="A472" s="2" t="s">
        <v>993</v>
      </c>
      <c r="B472" s="3">
        <v>45431</v>
      </c>
      <c r="C472" s="2" t="s">
        <v>906</v>
      </c>
      <c r="D472" s="2" t="s">
        <v>586</v>
      </c>
      <c r="E472" s="2" t="s">
        <v>77</v>
      </c>
      <c r="F472" s="2">
        <v>20</v>
      </c>
      <c r="G472" s="2" t="s">
        <v>69</v>
      </c>
      <c r="H472" s="2" t="s">
        <v>69</v>
      </c>
      <c r="I472" s="2" t="s">
        <v>92</v>
      </c>
      <c r="J472" s="2" t="s">
        <v>93</v>
      </c>
      <c r="K472" s="2" t="s">
        <v>87</v>
      </c>
      <c r="L472" s="2" t="s">
        <v>94</v>
      </c>
      <c r="M472" s="2">
        <v>4</v>
      </c>
      <c r="N472" s="2">
        <v>3837.6</v>
      </c>
      <c r="O472" s="2">
        <v>3720</v>
      </c>
      <c r="P472" s="2">
        <v>40</v>
      </c>
      <c r="Q472" s="2" t="s">
        <v>41</v>
      </c>
      <c r="R472" s="2" t="s">
        <v>31</v>
      </c>
      <c r="S472" s="3">
        <v>45442</v>
      </c>
      <c r="T472" s="6">
        <v>5</v>
      </c>
    </row>
    <row r="473" spans="1:20" x14ac:dyDescent="0.3">
      <c r="A473" s="2" t="s">
        <v>994</v>
      </c>
      <c r="B473" s="3">
        <v>45484</v>
      </c>
      <c r="C473" s="2" t="s">
        <v>269</v>
      </c>
      <c r="D473" s="2" t="s">
        <v>270</v>
      </c>
      <c r="E473" s="2" t="s">
        <v>77</v>
      </c>
      <c r="F473" s="2">
        <v>43</v>
      </c>
      <c r="G473" s="2" t="s">
        <v>161</v>
      </c>
      <c r="H473" s="2" t="s">
        <v>25</v>
      </c>
      <c r="I473" s="2" t="s">
        <v>252</v>
      </c>
      <c r="J473" s="2" t="s">
        <v>253</v>
      </c>
      <c r="K473" s="2" t="s">
        <v>28</v>
      </c>
      <c r="L473" s="2" t="s">
        <v>254</v>
      </c>
      <c r="M473" s="2">
        <v>1</v>
      </c>
      <c r="N473" s="2">
        <v>2999</v>
      </c>
      <c r="O473" s="2">
        <v>1900</v>
      </c>
      <c r="P473" s="2">
        <v>0</v>
      </c>
      <c r="Q473" s="2" t="s">
        <v>30</v>
      </c>
      <c r="R473" s="2" t="s">
        <v>42</v>
      </c>
      <c r="S473" s="3">
        <v>45490</v>
      </c>
      <c r="T473" s="6">
        <v>4</v>
      </c>
    </row>
    <row r="474" spans="1:20" x14ac:dyDescent="0.3">
      <c r="A474" s="2" t="s">
        <v>995</v>
      </c>
      <c r="B474" s="3">
        <v>45420</v>
      </c>
      <c r="C474" s="2" t="s">
        <v>996</v>
      </c>
      <c r="D474" s="2" t="s">
        <v>997</v>
      </c>
      <c r="E474" s="2" t="s">
        <v>23</v>
      </c>
      <c r="F474" s="2">
        <v>54</v>
      </c>
      <c r="G474" s="2" t="s">
        <v>161</v>
      </c>
      <c r="H474" s="2" t="s">
        <v>25</v>
      </c>
      <c r="I474" s="2" t="s">
        <v>304</v>
      </c>
      <c r="J474" s="2" t="s">
        <v>305</v>
      </c>
      <c r="K474" s="2" t="s">
        <v>28</v>
      </c>
      <c r="L474" s="2" t="s">
        <v>231</v>
      </c>
      <c r="M474" s="2">
        <v>1</v>
      </c>
      <c r="N474" s="2">
        <v>1619.1</v>
      </c>
      <c r="O474" s="2">
        <v>1080</v>
      </c>
      <c r="P474" s="2">
        <v>10</v>
      </c>
      <c r="Q474" s="2" t="s">
        <v>73</v>
      </c>
      <c r="R474" s="2" t="s">
        <v>42</v>
      </c>
      <c r="S474" s="3">
        <v>45425</v>
      </c>
      <c r="T474" s="6">
        <v>4</v>
      </c>
    </row>
    <row r="475" spans="1:20" x14ac:dyDescent="0.3">
      <c r="A475" s="2" t="s">
        <v>998</v>
      </c>
      <c r="B475" s="3">
        <v>45722</v>
      </c>
      <c r="C475" s="2" t="s">
        <v>999</v>
      </c>
      <c r="D475" s="2" t="s">
        <v>210</v>
      </c>
      <c r="E475" s="2" t="s">
        <v>23</v>
      </c>
      <c r="F475" s="2">
        <v>47</v>
      </c>
      <c r="G475" s="2" t="s">
        <v>101</v>
      </c>
      <c r="H475" s="2" t="s">
        <v>102</v>
      </c>
      <c r="I475" s="2" t="s">
        <v>245</v>
      </c>
      <c r="J475" s="2" t="s">
        <v>246</v>
      </c>
      <c r="K475" s="2" t="s">
        <v>130</v>
      </c>
      <c r="L475" s="2" t="s">
        <v>247</v>
      </c>
      <c r="M475" s="2">
        <v>4</v>
      </c>
      <c r="N475" s="2">
        <v>9996</v>
      </c>
      <c r="O475" s="2">
        <v>7480</v>
      </c>
      <c r="P475" s="2">
        <v>0</v>
      </c>
      <c r="Q475" s="2" t="s">
        <v>41</v>
      </c>
      <c r="R475" s="2" t="s">
        <v>42</v>
      </c>
      <c r="S475" s="3">
        <v>45726</v>
      </c>
      <c r="T475" s="6">
        <v>2</v>
      </c>
    </row>
    <row r="476" spans="1:20" x14ac:dyDescent="0.3">
      <c r="A476" s="2" t="s">
        <v>1000</v>
      </c>
      <c r="B476" s="3">
        <v>45564</v>
      </c>
      <c r="C476" s="2" t="s">
        <v>1001</v>
      </c>
      <c r="D476" s="2" t="s">
        <v>363</v>
      </c>
      <c r="E476" s="2" t="s">
        <v>77</v>
      </c>
      <c r="F476" s="2">
        <v>33</v>
      </c>
      <c r="G476" s="2" t="s">
        <v>46</v>
      </c>
      <c r="H476" s="2" t="s">
        <v>25</v>
      </c>
      <c r="I476" s="2" t="s">
        <v>222</v>
      </c>
      <c r="J476" s="2" t="s">
        <v>223</v>
      </c>
      <c r="K476" s="2" t="s">
        <v>114</v>
      </c>
      <c r="L476" s="2" t="s">
        <v>115</v>
      </c>
      <c r="M476" s="2">
        <v>4</v>
      </c>
      <c r="N476" s="2">
        <v>3236.4</v>
      </c>
      <c r="O476" s="2">
        <v>2040</v>
      </c>
      <c r="P476" s="2">
        <v>10</v>
      </c>
      <c r="Q476" s="2" t="s">
        <v>30</v>
      </c>
      <c r="R476" s="2" t="s">
        <v>57</v>
      </c>
      <c r="S476" s="3">
        <v>45570</v>
      </c>
      <c r="T476" s="6">
        <v>5</v>
      </c>
    </row>
    <row r="477" spans="1:20" x14ac:dyDescent="0.3">
      <c r="A477" s="2" t="s">
        <v>1002</v>
      </c>
      <c r="B477" s="3">
        <v>45304</v>
      </c>
      <c r="C477" s="2" t="s">
        <v>490</v>
      </c>
      <c r="D477" s="2" t="s">
        <v>139</v>
      </c>
      <c r="E477" s="2" t="s">
        <v>77</v>
      </c>
      <c r="F477" s="2">
        <v>33</v>
      </c>
      <c r="G477" s="2" t="s">
        <v>90</v>
      </c>
      <c r="H477" s="2" t="s">
        <v>91</v>
      </c>
      <c r="I477" s="2" t="s">
        <v>47</v>
      </c>
      <c r="J477" s="2" t="s">
        <v>48</v>
      </c>
      <c r="K477" s="2" t="s">
        <v>39</v>
      </c>
      <c r="L477" s="2" t="s">
        <v>49</v>
      </c>
      <c r="M477" s="2">
        <v>4</v>
      </c>
      <c r="N477" s="2">
        <v>1356.6</v>
      </c>
      <c r="O477" s="2">
        <v>840</v>
      </c>
      <c r="P477" s="2">
        <v>15</v>
      </c>
      <c r="Q477" s="2" t="s">
        <v>73</v>
      </c>
      <c r="R477" s="2" t="s">
        <v>42</v>
      </c>
      <c r="S477" s="3">
        <v>45313</v>
      </c>
      <c r="T477" s="6">
        <v>3</v>
      </c>
    </row>
    <row r="478" spans="1:20" x14ac:dyDescent="0.3">
      <c r="A478" s="2" t="s">
        <v>1003</v>
      </c>
      <c r="B478" s="3">
        <v>45825</v>
      </c>
      <c r="C478" s="2" t="s">
        <v>1004</v>
      </c>
      <c r="D478" s="2" t="s">
        <v>341</v>
      </c>
      <c r="E478" s="2" t="s">
        <v>23</v>
      </c>
      <c r="F478" s="2">
        <v>21</v>
      </c>
      <c r="G478" s="2" t="s">
        <v>101</v>
      </c>
      <c r="H478" s="2" t="s">
        <v>102</v>
      </c>
      <c r="I478" s="2" t="s">
        <v>47</v>
      </c>
      <c r="J478" s="2" t="s">
        <v>48</v>
      </c>
      <c r="K478" s="2" t="s">
        <v>39</v>
      </c>
      <c r="L478" s="2" t="s">
        <v>49</v>
      </c>
      <c r="M478" s="2">
        <v>3</v>
      </c>
      <c r="N478" s="2">
        <v>897.75</v>
      </c>
      <c r="O478" s="2">
        <v>630</v>
      </c>
      <c r="P478" s="2">
        <v>25</v>
      </c>
      <c r="Q478" s="2" t="s">
        <v>30</v>
      </c>
      <c r="R478" s="2" t="s">
        <v>1005</v>
      </c>
      <c r="S478" s="3">
        <v>45827</v>
      </c>
      <c r="T478" s="6">
        <v>3</v>
      </c>
    </row>
    <row r="479" spans="1:20" x14ac:dyDescent="0.3">
      <c r="A479" s="2" t="s">
        <v>1006</v>
      </c>
      <c r="B479" s="3">
        <v>45551</v>
      </c>
      <c r="C479" s="2" t="s">
        <v>1007</v>
      </c>
      <c r="D479" s="2" t="s">
        <v>210</v>
      </c>
      <c r="E479" s="2" t="s">
        <v>23</v>
      </c>
      <c r="F479" s="2">
        <v>19</v>
      </c>
      <c r="G479" s="2" t="s">
        <v>35</v>
      </c>
      <c r="H479" s="2" t="s">
        <v>36</v>
      </c>
      <c r="I479" s="2" t="s">
        <v>70</v>
      </c>
      <c r="J479" s="2" t="s">
        <v>71</v>
      </c>
      <c r="K479" s="2" t="s">
        <v>28</v>
      </c>
      <c r="L479" s="2" t="s">
        <v>72</v>
      </c>
      <c r="M479" s="2">
        <v>3</v>
      </c>
      <c r="N479" s="2">
        <v>4497</v>
      </c>
      <c r="O479" s="2">
        <v>2760</v>
      </c>
      <c r="P479" s="2">
        <v>0</v>
      </c>
      <c r="Q479" s="2" t="s">
        <v>30</v>
      </c>
      <c r="R479" s="2" t="s">
        <v>42</v>
      </c>
      <c r="S479" s="3">
        <v>45556</v>
      </c>
      <c r="T479" s="6">
        <v>5</v>
      </c>
    </row>
    <row r="480" spans="1:20" x14ac:dyDescent="0.3">
      <c r="A480" s="2" t="s">
        <v>1008</v>
      </c>
      <c r="B480" s="3">
        <v>45624</v>
      </c>
      <c r="C480" s="2" t="s">
        <v>1009</v>
      </c>
      <c r="D480" s="2" t="s">
        <v>1010</v>
      </c>
      <c r="E480" s="2" t="s">
        <v>23</v>
      </c>
      <c r="F480" s="2">
        <v>53</v>
      </c>
      <c r="G480" s="2" t="s">
        <v>78</v>
      </c>
      <c r="H480" s="2" t="s">
        <v>79</v>
      </c>
      <c r="I480" s="2" t="s">
        <v>128</v>
      </c>
      <c r="J480" s="2" t="s">
        <v>129</v>
      </c>
      <c r="K480" s="2" t="s">
        <v>130</v>
      </c>
      <c r="L480" s="2" t="s">
        <v>131</v>
      </c>
      <c r="M480" s="2">
        <v>5</v>
      </c>
      <c r="N480" s="2">
        <v>30870.25</v>
      </c>
      <c r="O480" s="2">
        <v>25500</v>
      </c>
      <c r="P480" s="2">
        <v>5</v>
      </c>
      <c r="Q480" s="2" t="s">
        <v>103</v>
      </c>
      <c r="R480" s="2" t="s">
        <v>57</v>
      </c>
      <c r="S480" s="3">
        <v>45629</v>
      </c>
      <c r="T480" s="6">
        <v>2</v>
      </c>
    </row>
    <row r="481" spans="1:20" x14ac:dyDescent="0.3">
      <c r="A481" s="2" t="s">
        <v>1011</v>
      </c>
      <c r="B481" s="3">
        <v>45335</v>
      </c>
      <c r="C481" s="2" t="s">
        <v>1012</v>
      </c>
      <c r="D481" s="2" t="s">
        <v>388</v>
      </c>
      <c r="E481" s="2" t="s">
        <v>23</v>
      </c>
      <c r="F481" s="2">
        <v>36</v>
      </c>
      <c r="G481" s="2" t="s">
        <v>101</v>
      </c>
      <c r="H481" s="2" t="s">
        <v>102</v>
      </c>
      <c r="I481" s="2" t="s">
        <v>85</v>
      </c>
      <c r="J481" s="2" t="s">
        <v>86</v>
      </c>
      <c r="K481" s="2" t="s">
        <v>87</v>
      </c>
      <c r="L481" s="2" t="s">
        <v>88</v>
      </c>
      <c r="M481" s="2">
        <v>5</v>
      </c>
      <c r="N481" s="2">
        <v>6295.5</v>
      </c>
      <c r="O481" s="2">
        <v>3950</v>
      </c>
      <c r="P481" s="2">
        <v>10</v>
      </c>
      <c r="Q481" s="2" t="s">
        <v>41</v>
      </c>
      <c r="R481" s="2" t="s">
        <v>57</v>
      </c>
      <c r="S481" s="3">
        <v>45338</v>
      </c>
      <c r="T481" s="6">
        <v>4</v>
      </c>
    </row>
    <row r="482" spans="1:20" x14ac:dyDescent="0.3">
      <c r="A482" s="2" t="s">
        <v>1013</v>
      </c>
      <c r="B482" s="3">
        <v>45453</v>
      </c>
      <c r="C482" s="2" t="s">
        <v>455</v>
      </c>
      <c r="D482" s="2" t="s">
        <v>311</v>
      </c>
      <c r="E482" s="2" t="s">
        <v>23</v>
      </c>
      <c r="F482" s="2">
        <v>42</v>
      </c>
      <c r="G482" s="2" t="s">
        <v>46</v>
      </c>
      <c r="H482" s="2" t="s">
        <v>25</v>
      </c>
      <c r="I482" s="2" t="s">
        <v>107</v>
      </c>
      <c r="J482" s="2" t="s">
        <v>108</v>
      </c>
      <c r="K482" s="2" t="s">
        <v>87</v>
      </c>
      <c r="L482" s="2" t="s">
        <v>88</v>
      </c>
      <c r="M482" s="2">
        <v>5</v>
      </c>
      <c r="N482" s="2">
        <v>2996.25</v>
      </c>
      <c r="O482" s="2">
        <v>2100</v>
      </c>
      <c r="P482" s="2">
        <v>25</v>
      </c>
      <c r="Q482" s="2" t="s">
        <v>73</v>
      </c>
      <c r="R482" s="2" t="s">
        <v>42</v>
      </c>
      <c r="S482" s="3">
        <v>45460</v>
      </c>
      <c r="T482" s="6">
        <v>3</v>
      </c>
    </row>
    <row r="483" spans="1:20" x14ac:dyDescent="0.3">
      <c r="A483" s="2" t="s">
        <v>1014</v>
      </c>
      <c r="B483" s="3">
        <v>46010</v>
      </c>
      <c r="C483" s="2" t="s">
        <v>523</v>
      </c>
      <c r="D483" s="2" t="s">
        <v>524</v>
      </c>
      <c r="E483" s="2" t="s">
        <v>77</v>
      </c>
      <c r="F483" s="2">
        <v>49</v>
      </c>
      <c r="G483" s="2" t="s">
        <v>69</v>
      </c>
      <c r="H483" s="2" t="s">
        <v>69</v>
      </c>
      <c r="I483" s="2" t="s">
        <v>252</v>
      </c>
      <c r="J483" s="2" t="s">
        <v>253</v>
      </c>
      <c r="K483" s="2" t="s">
        <v>28</v>
      </c>
      <c r="L483" s="2" t="s">
        <v>254</v>
      </c>
      <c r="M483" s="2">
        <v>4</v>
      </c>
      <c r="N483" s="2">
        <v>10196.6</v>
      </c>
      <c r="O483" s="2">
        <v>7600</v>
      </c>
      <c r="P483" s="2">
        <v>60</v>
      </c>
      <c r="Q483" s="2" t="s">
        <v>41</v>
      </c>
      <c r="R483" s="2" t="s">
        <v>65</v>
      </c>
      <c r="S483" s="3" t="s">
        <v>1604</v>
      </c>
      <c r="T483" s="6" t="s">
        <v>1604</v>
      </c>
    </row>
    <row r="484" spans="1:20" x14ac:dyDescent="0.3">
      <c r="A484" s="2" t="s">
        <v>1015</v>
      </c>
      <c r="B484" s="3">
        <v>45952</v>
      </c>
      <c r="C484" s="2" t="s">
        <v>729</v>
      </c>
      <c r="D484" s="2" t="s">
        <v>276</v>
      </c>
      <c r="E484" s="2" t="s">
        <v>77</v>
      </c>
      <c r="F484" s="2">
        <v>25</v>
      </c>
      <c r="G484" s="2" t="s">
        <v>61</v>
      </c>
      <c r="H484" s="2" t="s">
        <v>62</v>
      </c>
      <c r="I484" s="2" t="s">
        <v>177</v>
      </c>
      <c r="J484" s="2" t="s">
        <v>178</v>
      </c>
      <c r="K484" s="2" t="s">
        <v>87</v>
      </c>
      <c r="L484" s="2" t="s">
        <v>179</v>
      </c>
      <c r="M484" s="2">
        <v>2</v>
      </c>
      <c r="N484" s="2">
        <v>4998</v>
      </c>
      <c r="O484" s="2">
        <v>3240</v>
      </c>
      <c r="P484" s="2">
        <v>0</v>
      </c>
      <c r="Q484" s="2" t="s">
        <v>103</v>
      </c>
      <c r="R484" s="2" t="s">
        <v>42</v>
      </c>
      <c r="S484" s="3">
        <v>45956</v>
      </c>
      <c r="T484" s="6">
        <v>4</v>
      </c>
    </row>
    <row r="485" spans="1:20" x14ac:dyDescent="0.3">
      <c r="A485" s="2" t="s">
        <v>1016</v>
      </c>
      <c r="B485" s="3">
        <v>45332</v>
      </c>
      <c r="C485" s="2" t="s">
        <v>1017</v>
      </c>
      <c r="D485" s="2" t="s">
        <v>1018</v>
      </c>
      <c r="E485" s="2" t="s">
        <v>23</v>
      </c>
      <c r="F485" s="2">
        <v>25</v>
      </c>
      <c r="G485" s="2" t="s">
        <v>61</v>
      </c>
      <c r="H485" s="2" t="s">
        <v>62</v>
      </c>
      <c r="I485" s="2" t="s">
        <v>222</v>
      </c>
      <c r="J485" s="2" t="s">
        <v>223</v>
      </c>
      <c r="K485" s="2" t="s">
        <v>114</v>
      </c>
      <c r="L485" s="2" t="s">
        <v>115</v>
      </c>
      <c r="M485" s="2">
        <v>3</v>
      </c>
      <c r="N485" s="2">
        <v>1618.2</v>
      </c>
      <c r="O485" s="2">
        <v>1530</v>
      </c>
      <c r="P485" s="2">
        <v>40</v>
      </c>
      <c r="Q485" s="2" t="s">
        <v>30</v>
      </c>
      <c r="R485" s="2" t="s">
        <v>65</v>
      </c>
      <c r="S485" s="3" t="s">
        <v>1604</v>
      </c>
      <c r="T485" s="6" t="s">
        <v>1604</v>
      </c>
    </row>
    <row r="486" spans="1:20" x14ac:dyDescent="0.3">
      <c r="A486" s="2" t="s">
        <v>1019</v>
      </c>
      <c r="B486" s="3">
        <v>45483</v>
      </c>
      <c r="C486" s="2" t="s">
        <v>401</v>
      </c>
      <c r="D486" s="2" t="s">
        <v>402</v>
      </c>
      <c r="E486" s="2" t="s">
        <v>23</v>
      </c>
      <c r="F486" s="2">
        <v>53</v>
      </c>
      <c r="G486" s="2" t="s">
        <v>211</v>
      </c>
      <c r="H486" s="2" t="s">
        <v>127</v>
      </c>
      <c r="I486" s="2" t="s">
        <v>183</v>
      </c>
      <c r="J486" s="2" t="s">
        <v>184</v>
      </c>
      <c r="K486" s="2" t="s">
        <v>130</v>
      </c>
      <c r="L486" s="2" t="s">
        <v>185</v>
      </c>
      <c r="M486" s="2">
        <v>4</v>
      </c>
      <c r="N486" s="2">
        <v>12796.8</v>
      </c>
      <c r="O486" s="2">
        <v>12200</v>
      </c>
      <c r="P486" s="2">
        <v>20</v>
      </c>
      <c r="Q486" s="2" t="s">
        <v>50</v>
      </c>
      <c r="R486" s="2" t="s">
        <v>57</v>
      </c>
      <c r="S486" s="3">
        <v>45493</v>
      </c>
      <c r="T486" s="6">
        <v>3</v>
      </c>
    </row>
    <row r="487" spans="1:20" x14ac:dyDescent="0.3">
      <c r="A487" s="2" t="s">
        <v>1020</v>
      </c>
      <c r="B487" s="3">
        <v>45362</v>
      </c>
      <c r="C487" s="2" t="s">
        <v>272</v>
      </c>
      <c r="D487" s="2" t="s">
        <v>273</v>
      </c>
      <c r="E487" s="2" t="s">
        <v>23</v>
      </c>
      <c r="F487" s="2">
        <v>46</v>
      </c>
      <c r="G487" s="2" t="s">
        <v>173</v>
      </c>
      <c r="H487" s="2" t="s">
        <v>79</v>
      </c>
      <c r="I487" s="2" t="s">
        <v>63</v>
      </c>
      <c r="J487" s="2" t="s">
        <v>64</v>
      </c>
      <c r="K487" s="2" t="s">
        <v>39</v>
      </c>
      <c r="L487" s="2" t="s">
        <v>40</v>
      </c>
      <c r="M487" s="2">
        <v>3</v>
      </c>
      <c r="N487" s="2">
        <v>1437.6</v>
      </c>
      <c r="O487" s="2">
        <v>990</v>
      </c>
      <c r="P487" s="2">
        <v>20</v>
      </c>
      <c r="Q487" s="2" t="s">
        <v>50</v>
      </c>
      <c r="R487" s="2" t="s">
        <v>42</v>
      </c>
      <c r="S487" s="3">
        <v>45371</v>
      </c>
      <c r="T487" s="6">
        <v>2</v>
      </c>
    </row>
    <row r="488" spans="1:20" x14ac:dyDescent="0.3">
      <c r="A488" s="2" t="s">
        <v>1021</v>
      </c>
      <c r="B488" s="3">
        <v>45945</v>
      </c>
      <c r="C488" s="2" t="s">
        <v>337</v>
      </c>
      <c r="D488" s="2" t="s">
        <v>338</v>
      </c>
      <c r="E488" s="2" t="s">
        <v>77</v>
      </c>
      <c r="F488" s="2">
        <v>25</v>
      </c>
      <c r="G488" s="2" t="s">
        <v>165</v>
      </c>
      <c r="H488" s="2" t="s">
        <v>166</v>
      </c>
      <c r="I488" s="2" t="s">
        <v>177</v>
      </c>
      <c r="J488" s="2" t="s">
        <v>178</v>
      </c>
      <c r="K488" s="2" t="s">
        <v>87</v>
      </c>
      <c r="L488" s="2" t="s">
        <v>179</v>
      </c>
      <c r="M488" s="2">
        <v>2</v>
      </c>
      <c r="N488" s="2">
        <v>4998</v>
      </c>
      <c r="O488" s="2">
        <v>3240</v>
      </c>
      <c r="P488" s="2">
        <v>0</v>
      </c>
      <c r="Q488" s="2" t="s">
        <v>50</v>
      </c>
      <c r="R488" s="2" t="s">
        <v>57</v>
      </c>
      <c r="S488" s="3">
        <v>45952</v>
      </c>
      <c r="T488" s="6">
        <v>4</v>
      </c>
    </row>
    <row r="489" spans="1:20" x14ac:dyDescent="0.3">
      <c r="A489" s="2" t="s">
        <v>1022</v>
      </c>
      <c r="B489" s="3">
        <v>45620</v>
      </c>
      <c r="C489" s="2" t="s">
        <v>671</v>
      </c>
      <c r="D489" s="2" t="s">
        <v>60</v>
      </c>
      <c r="E489" s="2" t="s">
        <v>23</v>
      </c>
      <c r="F489" s="2">
        <v>38</v>
      </c>
      <c r="G489" s="2" t="s">
        <v>165</v>
      </c>
      <c r="H489" s="2" t="s">
        <v>166</v>
      </c>
      <c r="I489" s="2" t="s">
        <v>70</v>
      </c>
      <c r="J489" s="2" t="s">
        <v>71</v>
      </c>
      <c r="K489" s="2" t="s">
        <v>28</v>
      </c>
      <c r="L489" s="2" t="s">
        <v>72</v>
      </c>
      <c r="M489" s="2">
        <v>5</v>
      </c>
      <c r="N489" s="2">
        <v>4497</v>
      </c>
      <c r="O489" s="2">
        <v>4600</v>
      </c>
      <c r="P489" s="2">
        <v>40</v>
      </c>
      <c r="Q489" s="2" t="s">
        <v>50</v>
      </c>
      <c r="R489" s="2" t="s">
        <v>42</v>
      </c>
      <c r="S489" s="3">
        <v>45631</v>
      </c>
      <c r="T489" s="6">
        <v>4</v>
      </c>
    </row>
    <row r="490" spans="1:20" x14ac:dyDescent="0.3">
      <c r="A490" s="2" t="s">
        <v>1023</v>
      </c>
      <c r="B490" s="3">
        <v>45622</v>
      </c>
      <c r="C490" s="2" t="s">
        <v>775</v>
      </c>
      <c r="D490" s="2" t="s">
        <v>244</v>
      </c>
      <c r="E490" s="2" t="s">
        <v>77</v>
      </c>
      <c r="F490" s="2">
        <v>46</v>
      </c>
      <c r="G490" s="2" t="s">
        <v>126</v>
      </c>
      <c r="H490" s="2" t="s">
        <v>127</v>
      </c>
      <c r="I490" s="2" t="s">
        <v>229</v>
      </c>
      <c r="J490" s="2" t="s">
        <v>230</v>
      </c>
      <c r="K490" s="2" t="s">
        <v>28</v>
      </c>
      <c r="L490" s="2" t="s">
        <v>231</v>
      </c>
      <c r="M490" s="2">
        <v>1</v>
      </c>
      <c r="N490" s="2">
        <v>1899.05</v>
      </c>
      <c r="O490" s="2">
        <v>1230</v>
      </c>
      <c r="P490" s="2">
        <v>5</v>
      </c>
      <c r="Q490" s="2" t="s">
        <v>73</v>
      </c>
      <c r="R490" s="2" t="s">
        <v>57</v>
      </c>
      <c r="S490" s="3">
        <v>45626</v>
      </c>
      <c r="T490" s="6">
        <v>3</v>
      </c>
    </row>
    <row r="491" spans="1:20" x14ac:dyDescent="0.3">
      <c r="A491" s="2" t="s">
        <v>1024</v>
      </c>
      <c r="B491" s="3">
        <v>45324</v>
      </c>
      <c r="C491" s="2" t="s">
        <v>398</v>
      </c>
      <c r="D491" s="2" t="s">
        <v>399</v>
      </c>
      <c r="E491" s="2" t="s">
        <v>77</v>
      </c>
      <c r="F491" s="2">
        <v>49</v>
      </c>
      <c r="G491" s="2" t="s">
        <v>69</v>
      </c>
      <c r="H491" s="2" t="s">
        <v>69</v>
      </c>
      <c r="I491" s="2" t="s">
        <v>37</v>
      </c>
      <c r="J491" s="2" t="s">
        <v>38</v>
      </c>
      <c r="K491" s="2" t="s">
        <v>39</v>
      </c>
      <c r="L491" s="2" t="s">
        <v>40</v>
      </c>
      <c r="M491" s="2">
        <v>2</v>
      </c>
      <c r="N491" s="2">
        <v>1708.1</v>
      </c>
      <c r="O491" s="2">
        <v>1040</v>
      </c>
      <c r="P491" s="2">
        <v>5</v>
      </c>
      <c r="Q491" s="2" t="s">
        <v>73</v>
      </c>
      <c r="R491" s="2" t="s">
        <v>65</v>
      </c>
      <c r="S491" s="3" t="s">
        <v>1604</v>
      </c>
      <c r="T491" s="6" t="s">
        <v>1604</v>
      </c>
    </row>
    <row r="492" spans="1:20" x14ac:dyDescent="0.3">
      <c r="A492" s="2" t="s">
        <v>1025</v>
      </c>
      <c r="B492" s="3">
        <v>45949</v>
      </c>
      <c r="C492" s="2" t="s">
        <v>711</v>
      </c>
      <c r="D492" s="2" t="s">
        <v>712</v>
      </c>
      <c r="E492" s="2" t="s">
        <v>77</v>
      </c>
      <c r="F492" s="2">
        <v>58</v>
      </c>
      <c r="G492" s="2" t="s">
        <v>101</v>
      </c>
      <c r="H492" s="2" t="s">
        <v>102</v>
      </c>
      <c r="I492" s="2" t="s">
        <v>112</v>
      </c>
      <c r="J492" s="2" t="s">
        <v>113</v>
      </c>
      <c r="K492" s="2" t="s">
        <v>114</v>
      </c>
      <c r="L492" s="2" t="s">
        <v>115</v>
      </c>
      <c r="M492" s="2">
        <v>5</v>
      </c>
      <c r="N492" s="2">
        <v>2796</v>
      </c>
      <c r="O492" s="2">
        <v>1850</v>
      </c>
      <c r="P492" s="2">
        <v>20</v>
      </c>
      <c r="Q492" s="2" t="s">
        <v>73</v>
      </c>
      <c r="R492" s="2" t="s">
        <v>42</v>
      </c>
      <c r="S492" s="3">
        <v>45954</v>
      </c>
      <c r="T492" s="6">
        <v>3</v>
      </c>
    </row>
    <row r="493" spans="1:20" x14ac:dyDescent="0.3">
      <c r="A493" s="2" t="s">
        <v>1026</v>
      </c>
      <c r="B493" s="3">
        <v>45305</v>
      </c>
      <c r="C493" s="2" t="s">
        <v>1004</v>
      </c>
      <c r="D493" s="2" t="s">
        <v>341</v>
      </c>
      <c r="E493" s="2" t="s">
        <v>23</v>
      </c>
      <c r="F493" s="2">
        <v>21</v>
      </c>
      <c r="G493" s="2" t="s">
        <v>101</v>
      </c>
      <c r="H493" s="2" t="s">
        <v>102</v>
      </c>
      <c r="I493" s="2" t="s">
        <v>54</v>
      </c>
      <c r="J493" s="2" t="s">
        <v>55</v>
      </c>
      <c r="K493" s="2" t="s">
        <v>28</v>
      </c>
      <c r="L493" s="2" t="s">
        <v>56</v>
      </c>
      <c r="M493" s="2">
        <v>4</v>
      </c>
      <c r="N493" s="2">
        <v>2796</v>
      </c>
      <c r="O493" s="2">
        <v>1640</v>
      </c>
      <c r="P493" s="2">
        <v>0</v>
      </c>
      <c r="Q493" s="2" t="s">
        <v>41</v>
      </c>
      <c r="R493" s="2" t="s">
        <v>65</v>
      </c>
      <c r="S493" s="3" t="s">
        <v>1604</v>
      </c>
      <c r="T493" s="6" t="s">
        <v>1604</v>
      </c>
    </row>
    <row r="494" spans="1:20" x14ac:dyDescent="0.3">
      <c r="A494" s="2" t="s">
        <v>1027</v>
      </c>
      <c r="B494" s="3">
        <v>45717</v>
      </c>
      <c r="C494" s="2" t="s">
        <v>637</v>
      </c>
      <c r="D494" s="2" t="s">
        <v>638</v>
      </c>
      <c r="E494" s="2" t="s">
        <v>77</v>
      </c>
      <c r="F494" s="2">
        <v>47</v>
      </c>
      <c r="G494" s="2" t="s">
        <v>24</v>
      </c>
      <c r="H494" s="2" t="s">
        <v>25</v>
      </c>
      <c r="I494" s="2" t="s">
        <v>155</v>
      </c>
      <c r="J494" s="2" t="s">
        <v>156</v>
      </c>
      <c r="K494" s="2" t="s">
        <v>114</v>
      </c>
      <c r="L494" s="2" t="s">
        <v>157</v>
      </c>
      <c r="M494" s="2">
        <v>3</v>
      </c>
      <c r="N494" s="2">
        <v>2997</v>
      </c>
      <c r="O494" s="2">
        <v>1830</v>
      </c>
      <c r="P494" s="2">
        <v>0</v>
      </c>
      <c r="Q494" s="2" t="s">
        <v>73</v>
      </c>
      <c r="R494" s="2" t="s">
        <v>57</v>
      </c>
      <c r="S494" s="3">
        <v>45723</v>
      </c>
      <c r="T494" s="6">
        <v>3</v>
      </c>
    </row>
    <row r="495" spans="1:20" x14ac:dyDescent="0.3">
      <c r="A495" s="2" t="s">
        <v>1028</v>
      </c>
      <c r="B495" s="3">
        <v>45513</v>
      </c>
      <c r="C495" s="2" t="s">
        <v>420</v>
      </c>
      <c r="D495" s="2" t="s">
        <v>76</v>
      </c>
      <c r="E495" s="2" t="s">
        <v>77</v>
      </c>
      <c r="F495" s="2">
        <v>27</v>
      </c>
      <c r="G495" s="2" t="s">
        <v>69</v>
      </c>
      <c r="H495" s="2" t="s">
        <v>69</v>
      </c>
      <c r="I495" s="2" t="s">
        <v>229</v>
      </c>
      <c r="J495" s="2" t="s">
        <v>230</v>
      </c>
      <c r="K495" s="2" t="s">
        <v>28</v>
      </c>
      <c r="L495" s="2" t="s">
        <v>231</v>
      </c>
      <c r="M495" s="2">
        <v>2</v>
      </c>
      <c r="N495" s="2">
        <v>2798.6</v>
      </c>
      <c r="O495" s="2">
        <v>2460</v>
      </c>
      <c r="P495" s="2">
        <v>30</v>
      </c>
      <c r="Q495" s="2" t="s">
        <v>30</v>
      </c>
      <c r="R495" s="2" t="s">
        <v>42</v>
      </c>
      <c r="S495" s="3">
        <v>45523</v>
      </c>
      <c r="T495" s="6">
        <v>4</v>
      </c>
    </row>
    <row r="496" spans="1:20" x14ac:dyDescent="0.3">
      <c r="A496" s="2" t="s">
        <v>1029</v>
      </c>
      <c r="B496" s="3">
        <v>45875</v>
      </c>
      <c r="C496" s="2" t="s">
        <v>1030</v>
      </c>
      <c r="D496" s="2" t="s">
        <v>694</v>
      </c>
      <c r="E496" s="2" t="s">
        <v>23</v>
      </c>
      <c r="F496" s="2">
        <v>46</v>
      </c>
      <c r="G496" s="2" t="s">
        <v>122</v>
      </c>
      <c r="H496" s="2" t="s">
        <v>123</v>
      </c>
      <c r="I496" s="2" t="s">
        <v>177</v>
      </c>
      <c r="J496" s="2" t="s">
        <v>178</v>
      </c>
      <c r="K496" s="2" t="s">
        <v>87</v>
      </c>
      <c r="L496" s="2" t="s">
        <v>179</v>
      </c>
      <c r="M496" s="2">
        <v>1</v>
      </c>
      <c r="N496" s="2">
        <v>1874.25</v>
      </c>
      <c r="O496" s="2">
        <v>1620</v>
      </c>
      <c r="P496" s="2">
        <v>25</v>
      </c>
      <c r="Q496" s="2" t="s">
        <v>103</v>
      </c>
      <c r="R496" s="2" t="s">
        <v>31</v>
      </c>
      <c r="S496" s="3">
        <v>45887</v>
      </c>
      <c r="T496" s="6">
        <v>5</v>
      </c>
    </row>
    <row r="497" spans="1:20" x14ac:dyDescent="0.3">
      <c r="A497" s="2" t="s">
        <v>1031</v>
      </c>
      <c r="B497" s="3">
        <v>45398</v>
      </c>
      <c r="C497" s="2" t="s">
        <v>190</v>
      </c>
      <c r="D497" s="2" t="s">
        <v>191</v>
      </c>
      <c r="E497" s="2" t="s">
        <v>23</v>
      </c>
      <c r="F497" s="2">
        <v>45</v>
      </c>
      <c r="G497" s="2" t="s">
        <v>78</v>
      </c>
      <c r="H497" s="2" t="s">
        <v>79</v>
      </c>
      <c r="I497" s="2" t="s">
        <v>222</v>
      </c>
      <c r="J497" s="2" t="s">
        <v>223</v>
      </c>
      <c r="K497" s="2" t="s">
        <v>114</v>
      </c>
      <c r="L497" s="2" t="s">
        <v>115</v>
      </c>
      <c r="M497" s="2">
        <v>4</v>
      </c>
      <c r="N497" s="2">
        <v>2697</v>
      </c>
      <c r="O497" s="2">
        <v>2040</v>
      </c>
      <c r="P497" s="2">
        <v>25</v>
      </c>
      <c r="Q497" s="2" t="s">
        <v>30</v>
      </c>
      <c r="R497" s="2" t="s">
        <v>65</v>
      </c>
      <c r="S497" s="3" t="s">
        <v>1604</v>
      </c>
      <c r="T497" s="6" t="s">
        <v>1604</v>
      </c>
    </row>
    <row r="498" spans="1:20" x14ac:dyDescent="0.3">
      <c r="A498" s="2" t="s">
        <v>1032</v>
      </c>
      <c r="B498" s="3">
        <v>45906</v>
      </c>
      <c r="C498" s="2" t="s">
        <v>138</v>
      </c>
      <c r="D498" s="2" t="s">
        <v>139</v>
      </c>
      <c r="E498" s="2" t="s">
        <v>77</v>
      </c>
      <c r="F498" s="2">
        <v>42</v>
      </c>
      <c r="G498" s="2" t="s">
        <v>211</v>
      </c>
      <c r="H498" s="2" t="s">
        <v>127</v>
      </c>
      <c r="I498" s="2" t="s">
        <v>183</v>
      </c>
      <c r="J498" s="2" t="s">
        <v>184</v>
      </c>
      <c r="K498" s="2" t="s">
        <v>130</v>
      </c>
      <c r="L498" s="2" t="s">
        <v>185</v>
      </c>
      <c r="M498" s="2">
        <v>5</v>
      </c>
      <c r="N498" s="2">
        <v>14996.25</v>
      </c>
      <c r="O498" s="2">
        <v>15250</v>
      </c>
      <c r="P498" s="2">
        <v>25</v>
      </c>
      <c r="Q498" s="2" t="s">
        <v>41</v>
      </c>
      <c r="R498" s="2" t="s">
        <v>42</v>
      </c>
      <c r="S498" s="3">
        <v>45918</v>
      </c>
      <c r="T498" s="6">
        <v>5</v>
      </c>
    </row>
    <row r="499" spans="1:20" x14ac:dyDescent="0.3">
      <c r="A499" s="2" t="s">
        <v>1033</v>
      </c>
      <c r="B499" s="3">
        <v>45623</v>
      </c>
      <c r="C499" s="2" t="s">
        <v>196</v>
      </c>
      <c r="D499" s="2" t="s">
        <v>197</v>
      </c>
      <c r="E499" s="2" t="s">
        <v>23</v>
      </c>
      <c r="F499" s="2">
        <v>22</v>
      </c>
      <c r="G499" s="2" t="s">
        <v>154</v>
      </c>
      <c r="H499" s="2" t="s">
        <v>91</v>
      </c>
      <c r="I499" s="2" t="s">
        <v>47</v>
      </c>
      <c r="J499" s="2" t="s">
        <v>48</v>
      </c>
      <c r="K499" s="2" t="s">
        <v>39</v>
      </c>
      <c r="L499" s="2" t="s">
        <v>49</v>
      </c>
      <c r="M499" s="2">
        <v>5</v>
      </c>
      <c r="N499" s="2">
        <v>1596</v>
      </c>
      <c r="O499" s="2">
        <v>1050</v>
      </c>
      <c r="P499" s="2">
        <v>20</v>
      </c>
      <c r="Q499" s="2" t="s">
        <v>41</v>
      </c>
      <c r="R499" s="2" t="s">
        <v>42</v>
      </c>
      <c r="S499" s="3">
        <v>45632</v>
      </c>
      <c r="T499" s="6">
        <v>5</v>
      </c>
    </row>
    <row r="500" spans="1:20" x14ac:dyDescent="0.3">
      <c r="A500" s="2" t="s">
        <v>1034</v>
      </c>
      <c r="B500" s="3">
        <v>45292</v>
      </c>
      <c r="C500" s="2" t="s">
        <v>943</v>
      </c>
      <c r="D500" s="2" t="s">
        <v>206</v>
      </c>
      <c r="E500" s="2" t="s">
        <v>77</v>
      </c>
      <c r="F500" s="2">
        <v>42</v>
      </c>
      <c r="G500" s="2" t="s">
        <v>35</v>
      </c>
      <c r="H500" s="2" t="s">
        <v>36</v>
      </c>
      <c r="I500" s="2" t="s">
        <v>155</v>
      </c>
      <c r="J500" s="2" t="s">
        <v>156</v>
      </c>
      <c r="K500" s="2" t="s">
        <v>114</v>
      </c>
      <c r="L500" s="2" t="s">
        <v>157</v>
      </c>
      <c r="M500" s="2">
        <v>1</v>
      </c>
      <c r="N500" s="2">
        <v>899.1</v>
      </c>
      <c r="O500" s="2">
        <v>610</v>
      </c>
      <c r="P500" s="2">
        <v>10</v>
      </c>
      <c r="Q500" s="2" t="s">
        <v>41</v>
      </c>
      <c r="R500" s="2" t="s">
        <v>42</v>
      </c>
      <c r="S500" s="3">
        <v>45298</v>
      </c>
      <c r="T500" s="6">
        <v>4</v>
      </c>
    </row>
    <row r="501" spans="1:20" x14ac:dyDescent="0.3">
      <c r="A501" s="2" t="s">
        <v>1035</v>
      </c>
      <c r="B501" s="3">
        <v>45511</v>
      </c>
      <c r="C501" s="2" t="s">
        <v>1036</v>
      </c>
      <c r="D501" s="2" t="s">
        <v>1037</v>
      </c>
      <c r="E501" s="2" t="s">
        <v>23</v>
      </c>
      <c r="F501" s="2">
        <v>30</v>
      </c>
      <c r="G501" s="2" t="s">
        <v>161</v>
      </c>
      <c r="H501" s="2" t="s">
        <v>25</v>
      </c>
      <c r="I501" s="2" t="s">
        <v>85</v>
      </c>
      <c r="J501" s="2" t="s">
        <v>86</v>
      </c>
      <c r="K501" s="2" t="s">
        <v>87</v>
      </c>
      <c r="L501" s="2" t="s">
        <v>88</v>
      </c>
      <c r="M501" s="2">
        <v>3</v>
      </c>
      <c r="N501" s="2">
        <v>3777.3</v>
      </c>
      <c r="O501" s="2">
        <v>2370</v>
      </c>
      <c r="P501" s="2">
        <v>10</v>
      </c>
      <c r="Q501" s="2" t="s">
        <v>73</v>
      </c>
      <c r="R501" s="2" t="s">
        <v>42</v>
      </c>
      <c r="S501" s="3">
        <v>45520</v>
      </c>
      <c r="T501" s="6">
        <v>4</v>
      </c>
    </row>
    <row r="502" spans="1:20" x14ac:dyDescent="0.3">
      <c r="A502" s="2" t="s">
        <v>1038</v>
      </c>
      <c r="B502" s="3">
        <v>45451</v>
      </c>
      <c r="C502" s="2" t="s">
        <v>847</v>
      </c>
      <c r="D502" s="2" t="s">
        <v>402</v>
      </c>
      <c r="E502" s="2" t="s">
        <v>23</v>
      </c>
      <c r="F502" s="2">
        <v>43</v>
      </c>
      <c r="G502" s="2" t="s">
        <v>207</v>
      </c>
      <c r="H502" s="2" t="s">
        <v>36</v>
      </c>
      <c r="I502" s="2" t="s">
        <v>245</v>
      </c>
      <c r="J502" s="2" t="s">
        <v>246</v>
      </c>
      <c r="K502" s="2" t="s">
        <v>130</v>
      </c>
      <c r="L502" s="2" t="s">
        <v>247</v>
      </c>
      <c r="M502" s="2">
        <v>5</v>
      </c>
      <c r="N502" s="2">
        <v>10620.75</v>
      </c>
      <c r="O502" s="2">
        <v>9350</v>
      </c>
      <c r="P502" s="2">
        <v>15</v>
      </c>
      <c r="Q502" s="2" t="s">
        <v>30</v>
      </c>
      <c r="R502" s="2" t="s">
        <v>42</v>
      </c>
      <c r="S502" s="3">
        <v>45457</v>
      </c>
      <c r="T502" s="6">
        <v>3</v>
      </c>
    </row>
    <row r="503" spans="1:20" x14ac:dyDescent="0.3">
      <c r="A503" s="2" t="s">
        <v>1039</v>
      </c>
      <c r="B503" s="3">
        <v>45876</v>
      </c>
      <c r="C503" s="2" t="s">
        <v>1040</v>
      </c>
      <c r="D503" s="2" t="s">
        <v>315</v>
      </c>
      <c r="E503" s="2" t="s">
        <v>77</v>
      </c>
      <c r="F503" s="2">
        <v>53</v>
      </c>
      <c r="G503" s="2" t="s">
        <v>154</v>
      </c>
      <c r="H503" s="2" t="s">
        <v>91</v>
      </c>
      <c r="I503" s="2" t="s">
        <v>177</v>
      </c>
      <c r="J503" s="2" t="s">
        <v>178</v>
      </c>
      <c r="K503" s="2" t="s">
        <v>87</v>
      </c>
      <c r="L503" s="2" t="s">
        <v>179</v>
      </c>
      <c r="M503" s="2">
        <v>1</v>
      </c>
      <c r="N503" s="2">
        <v>1874.25</v>
      </c>
      <c r="O503" s="2">
        <v>1620</v>
      </c>
      <c r="P503" s="2">
        <v>25</v>
      </c>
      <c r="Q503" s="2" t="s">
        <v>103</v>
      </c>
      <c r="R503" s="2" t="s">
        <v>42</v>
      </c>
      <c r="S503" s="3">
        <v>45885</v>
      </c>
      <c r="T503" s="6">
        <v>3</v>
      </c>
    </row>
    <row r="504" spans="1:20" x14ac:dyDescent="0.3">
      <c r="A504" s="2" t="s">
        <v>1041</v>
      </c>
      <c r="B504" s="3">
        <v>45901</v>
      </c>
      <c r="C504" s="2" t="s">
        <v>1042</v>
      </c>
      <c r="D504" s="2" t="s">
        <v>238</v>
      </c>
      <c r="E504" s="2" t="s">
        <v>23</v>
      </c>
      <c r="F504" s="2">
        <v>33</v>
      </c>
      <c r="G504" s="2" t="s">
        <v>24</v>
      </c>
      <c r="H504" s="2" t="s">
        <v>25</v>
      </c>
      <c r="I504" s="2" t="s">
        <v>177</v>
      </c>
      <c r="J504" s="2" t="s">
        <v>178</v>
      </c>
      <c r="K504" s="2" t="s">
        <v>87</v>
      </c>
      <c r="L504" s="2" t="s">
        <v>179</v>
      </c>
      <c r="M504" s="2">
        <v>5</v>
      </c>
      <c r="N504" s="2">
        <v>8746.5</v>
      </c>
      <c r="O504" s="2">
        <v>8100</v>
      </c>
      <c r="P504" s="2">
        <v>30</v>
      </c>
      <c r="Q504" s="2" t="s">
        <v>73</v>
      </c>
      <c r="R504" s="2" t="s">
        <v>57</v>
      </c>
      <c r="S504" s="3">
        <v>45903</v>
      </c>
      <c r="T504" s="6">
        <v>4</v>
      </c>
    </row>
    <row r="505" spans="1:20" x14ac:dyDescent="0.3">
      <c r="A505" s="2" t="s">
        <v>1043</v>
      </c>
      <c r="B505" s="3">
        <v>45648</v>
      </c>
      <c r="C505" s="2" t="s">
        <v>1044</v>
      </c>
      <c r="D505" s="2" t="s">
        <v>1045</v>
      </c>
      <c r="E505" s="2" t="s">
        <v>77</v>
      </c>
      <c r="F505" s="2">
        <v>31</v>
      </c>
      <c r="G505" s="2" t="s">
        <v>122</v>
      </c>
      <c r="H505" s="2" t="s">
        <v>123</v>
      </c>
      <c r="I505" s="2" t="s">
        <v>229</v>
      </c>
      <c r="J505" s="2" t="s">
        <v>230</v>
      </c>
      <c r="K505" s="2" t="s">
        <v>28</v>
      </c>
      <c r="L505" s="2" t="s">
        <v>231</v>
      </c>
      <c r="M505" s="2">
        <v>2</v>
      </c>
      <c r="N505" s="2">
        <v>3998</v>
      </c>
      <c r="O505" s="2">
        <v>2460</v>
      </c>
      <c r="P505" s="2">
        <v>0</v>
      </c>
      <c r="Q505" s="2" t="s">
        <v>103</v>
      </c>
      <c r="R505" s="2" t="s">
        <v>42</v>
      </c>
      <c r="S505" s="3">
        <v>45654</v>
      </c>
      <c r="T505" s="6">
        <v>2</v>
      </c>
    </row>
    <row r="506" spans="1:20" x14ac:dyDescent="0.3">
      <c r="A506" s="2" t="s">
        <v>1046</v>
      </c>
      <c r="B506" s="3">
        <v>45618</v>
      </c>
      <c r="C506" s="2" t="s">
        <v>99</v>
      </c>
      <c r="D506" s="2" t="s">
        <v>100</v>
      </c>
      <c r="E506" s="2" t="s">
        <v>23</v>
      </c>
      <c r="F506" s="2">
        <v>34</v>
      </c>
      <c r="G506" s="2" t="s">
        <v>173</v>
      </c>
      <c r="H506" s="2" t="s">
        <v>79</v>
      </c>
      <c r="I506" s="2" t="s">
        <v>183</v>
      </c>
      <c r="J506" s="2" t="s">
        <v>184</v>
      </c>
      <c r="K506" s="2" t="s">
        <v>130</v>
      </c>
      <c r="L506" s="2" t="s">
        <v>185</v>
      </c>
      <c r="M506" s="2">
        <v>5</v>
      </c>
      <c r="N506" s="2">
        <v>16995.75</v>
      </c>
      <c r="O506" s="2">
        <v>15250</v>
      </c>
      <c r="P506" s="2">
        <v>15</v>
      </c>
      <c r="Q506" s="2" t="s">
        <v>30</v>
      </c>
      <c r="R506" s="2" t="s">
        <v>42</v>
      </c>
      <c r="S506" s="3">
        <v>45630</v>
      </c>
      <c r="T506" s="6">
        <v>5</v>
      </c>
    </row>
    <row r="507" spans="1:20" x14ac:dyDescent="0.3">
      <c r="A507" s="2" t="s">
        <v>1047</v>
      </c>
      <c r="B507" s="3">
        <v>45748</v>
      </c>
      <c r="C507" s="2" t="s">
        <v>930</v>
      </c>
      <c r="D507" s="2" t="s">
        <v>556</v>
      </c>
      <c r="E507" s="2" t="s">
        <v>23</v>
      </c>
      <c r="F507" s="2">
        <v>48</v>
      </c>
      <c r="G507" s="2" t="s">
        <v>46</v>
      </c>
      <c r="H507" s="2" t="s">
        <v>25</v>
      </c>
      <c r="I507" s="2" t="s">
        <v>304</v>
      </c>
      <c r="J507" s="2" t="s">
        <v>305</v>
      </c>
      <c r="K507" s="2" t="s">
        <v>28</v>
      </c>
      <c r="L507" s="2" t="s">
        <v>231</v>
      </c>
      <c r="M507" s="2">
        <v>4</v>
      </c>
      <c r="N507" s="2">
        <v>5756.8</v>
      </c>
      <c r="O507" s="2">
        <v>4320</v>
      </c>
      <c r="P507" s="2">
        <v>20</v>
      </c>
      <c r="Q507" s="2" t="s">
        <v>103</v>
      </c>
      <c r="R507" s="2" t="s">
        <v>42</v>
      </c>
      <c r="S507" s="3">
        <v>45752</v>
      </c>
      <c r="T507" s="6">
        <v>4</v>
      </c>
    </row>
    <row r="508" spans="1:20" x14ac:dyDescent="0.3">
      <c r="A508" s="2" t="s">
        <v>1048</v>
      </c>
      <c r="B508" s="3">
        <v>45376</v>
      </c>
      <c r="C508" s="2" t="s">
        <v>340</v>
      </c>
      <c r="D508" s="2" t="s">
        <v>341</v>
      </c>
      <c r="E508" s="2" t="s">
        <v>23</v>
      </c>
      <c r="F508" s="2">
        <v>21</v>
      </c>
      <c r="G508" s="2" t="s">
        <v>24</v>
      </c>
      <c r="H508" s="2" t="s">
        <v>25</v>
      </c>
      <c r="I508" s="2" t="s">
        <v>222</v>
      </c>
      <c r="J508" s="2" t="s">
        <v>223</v>
      </c>
      <c r="K508" s="2" t="s">
        <v>114</v>
      </c>
      <c r="L508" s="2" t="s">
        <v>115</v>
      </c>
      <c r="M508" s="2">
        <v>4</v>
      </c>
      <c r="N508" s="2">
        <v>2876.8</v>
      </c>
      <c r="O508" s="2">
        <v>2040</v>
      </c>
      <c r="P508" s="2">
        <v>20</v>
      </c>
      <c r="Q508" s="2" t="s">
        <v>73</v>
      </c>
      <c r="R508" s="2" t="s">
        <v>42</v>
      </c>
      <c r="S508" s="3">
        <v>45386</v>
      </c>
      <c r="T508" s="6">
        <v>5</v>
      </c>
    </row>
    <row r="509" spans="1:20" x14ac:dyDescent="0.3">
      <c r="A509" s="2" t="s">
        <v>1049</v>
      </c>
      <c r="B509" s="3">
        <v>46006</v>
      </c>
      <c r="C509" s="2" t="s">
        <v>700</v>
      </c>
      <c r="D509" s="2" t="s">
        <v>250</v>
      </c>
      <c r="E509" s="2" t="s">
        <v>23</v>
      </c>
      <c r="F509" s="2">
        <v>48</v>
      </c>
      <c r="G509" s="2" t="s">
        <v>173</v>
      </c>
      <c r="H509" s="2" t="s">
        <v>79</v>
      </c>
      <c r="I509" s="2" t="s">
        <v>37</v>
      </c>
      <c r="J509" s="2" t="s">
        <v>38</v>
      </c>
      <c r="K509" s="2" t="s">
        <v>39</v>
      </c>
      <c r="L509" s="2" t="s">
        <v>40</v>
      </c>
      <c r="M509" s="2">
        <v>5</v>
      </c>
      <c r="N509" s="2">
        <v>3820.75</v>
      </c>
      <c r="O509" s="2">
        <v>2600</v>
      </c>
      <c r="P509" s="2">
        <v>15</v>
      </c>
      <c r="Q509" s="2" t="s">
        <v>103</v>
      </c>
      <c r="R509" s="2" t="s">
        <v>42</v>
      </c>
      <c r="S509" s="3">
        <v>46018</v>
      </c>
      <c r="T509" s="6">
        <v>4</v>
      </c>
    </row>
    <row r="510" spans="1:20" x14ac:dyDescent="0.3">
      <c r="A510" s="2" t="s">
        <v>1050</v>
      </c>
      <c r="B510" s="3">
        <v>45866</v>
      </c>
      <c r="C510" s="2" t="s">
        <v>1051</v>
      </c>
      <c r="D510" s="2" t="s">
        <v>1052</v>
      </c>
      <c r="E510" s="2" t="s">
        <v>77</v>
      </c>
      <c r="F510" s="2">
        <v>47</v>
      </c>
      <c r="G510" s="2" t="s">
        <v>1604</v>
      </c>
      <c r="H510" s="2" t="s">
        <v>91</v>
      </c>
      <c r="I510" s="2" t="s">
        <v>304</v>
      </c>
      <c r="J510" s="2" t="s">
        <v>305</v>
      </c>
      <c r="K510" s="2" t="s">
        <v>28</v>
      </c>
      <c r="L510" s="2" t="s">
        <v>231</v>
      </c>
      <c r="M510" s="2">
        <v>1</v>
      </c>
      <c r="N510" s="2">
        <v>1439.2</v>
      </c>
      <c r="O510" s="2">
        <v>1080</v>
      </c>
      <c r="P510" s="2">
        <v>20</v>
      </c>
      <c r="Q510" s="2" t="s">
        <v>103</v>
      </c>
      <c r="R510" s="2" t="s">
        <v>42</v>
      </c>
      <c r="S510" s="3">
        <v>45878</v>
      </c>
      <c r="T510" s="6">
        <v>3</v>
      </c>
    </row>
    <row r="511" spans="1:20" x14ac:dyDescent="0.3">
      <c r="A511" s="2" t="s">
        <v>1053</v>
      </c>
      <c r="B511" s="3">
        <v>45407</v>
      </c>
      <c r="C511" s="2" t="s">
        <v>732</v>
      </c>
      <c r="D511" s="2" t="s">
        <v>733</v>
      </c>
      <c r="E511" s="2" t="s">
        <v>77</v>
      </c>
      <c r="F511" s="2">
        <v>33</v>
      </c>
      <c r="G511" s="2" t="s">
        <v>122</v>
      </c>
      <c r="H511" s="2" t="s">
        <v>123</v>
      </c>
      <c r="I511" s="2" t="s">
        <v>245</v>
      </c>
      <c r="J511" s="2" t="s">
        <v>246</v>
      </c>
      <c r="K511" s="2" t="s">
        <v>130</v>
      </c>
      <c r="L511" s="2" t="s">
        <v>247</v>
      </c>
      <c r="M511" s="2">
        <v>3</v>
      </c>
      <c r="N511" s="2">
        <v>6372.45</v>
      </c>
      <c r="O511" s="2">
        <v>5610</v>
      </c>
      <c r="P511" s="2">
        <v>15</v>
      </c>
      <c r="Q511" s="2" t="s">
        <v>41</v>
      </c>
      <c r="R511" s="2" t="s">
        <v>42</v>
      </c>
      <c r="S511" s="3">
        <v>45418</v>
      </c>
      <c r="T511" s="6">
        <v>2</v>
      </c>
    </row>
    <row r="512" spans="1:20" x14ac:dyDescent="0.3">
      <c r="A512" s="2" t="s">
        <v>1054</v>
      </c>
      <c r="B512" s="3">
        <v>45604</v>
      </c>
      <c r="C512" s="2" t="s">
        <v>441</v>
      </c>
      <c r="D512" s="2" t="s">
        <v>442</v>
      </c>
      <c r="E512" s="2" t="s">
        <v>77</v>
      </c>
      <c r="F512" s="2">
        <v>44</v>
      </c>
      <c r="G512" s="2" t="s">
        <v>211</v>
      </c>
      <c r="H512" s="2" t="s">
        <v>127</v>
      </c>
      <c r="I512" s="2" t="s">
        <v>155</v>
      </c>
      <c r="J512" s="2" t="s">
        <v>156</v>
      </c>
      <c r="K512" s="2" t="s">
        <v>114</v>
      </c>
      <c r="L512" s="2" t="s">
        <v>157</v>
      </c>
      <c r="M512" s="2">
        <v>4</v>
      </c>
      <c r="N512" s="2">
        <v>3596.4</v>
      </c>
      <c r="O512" s="2">
        <v>2440</v>
      </c>
      <c r="P512" s="2">
        <v>10</v>
      </c>
      <c r="Q512" s="2" t="s">
        <v>103</v>
      </c>
      <c r="R512" s="2" t="s">
        <v>42</v>
      </c>
      <c r="S512" s="3">
        <v>45609</v>
      </c>
      <c r="T512" s="6">
        <v>4</v>
      </c>
    </row>
    <row r="513" spans="1:20" x14ac:dyDescent="0.3">
      <c r="A513" s="2" t="s">
        <v>1055</v>
      </c>
      <c r="B513" s="3">
        <v>45993</v>
      </c>
      <c r="C513" s="2" t="s">
        <v>520</v>
      </c>
      <c r="D513" s="2" t="s">
        <v>506</v>
      </c>
      <c r="E513" s="2" t="s">
        <v>77</v>
      </c>
      <c r="F513" s="2">
        <v>36</v>
      </c>
      <c r="G513" s="2" t="s">
        <v>173</v>
      </c>
      <c r="H513" s="2" t="s">
        <v>79</v>
      </c>
      <c r="I513" s="2" t="s">
        <v>177</v>
      </c>
      <c r="J513" s="2" t="s">
        <v>178</v>
      </c>
      <c r="K513" s="2" t="s">
        <v>87</v>
      </c>
      <c r="L513" s="2" t="s">
        <v>179</v>
      </c>
      <c r="M513" s="2">
        <v>1</v>
      </c>
      <c r="N513" s="2">
        <v>2374.0500000000002</v>
      </c>
      <c r="O513" s="2">
        <v>1620</v>
      </c>
      <c r="P513" s="2">
        <v>5</v>
      </c>
      <c r="Q513" s="2" t="s">
        <v>73</v>
      </c>
      <c r="R513" s="2" t="s">
        <v>42</v>
      </c>
      <c r="S513" s="3">
        <v>46004</v>
      </c>
      <c r="T513" s="6">
        <v>3</v>
      </c>
    </row>
    <row r="514" spans="1:20" x14ac:dyDescent="0.3">
      <c r="A514" s="2" t="s">
        <v>1056</v>
      </c>
      <c r="B514" s="3">
        <v>45586</v>
      </c>
      <c r="C514" s="2" t="s">
        <v>1009</v>
      </c>
      <c r="D514" s="2" t="s">
        <v>1010</v>
      </c>
      <c r="E514" s="2" t="s">
        <v>23</v>
      </c>
      <c r="F514" s="2">
        <v>53</v>
      </c>
      <c r="G514" s="2" t="s">
        <v>126</v>
      </c>
      <c r="H514" s="2" t="s">
        <v>127</v>
      </c>
      <c r="I514" s="2" t="s">
        <v>85</v>
      </c>
      <c r="J514" s="2" t="s">
        <v>86</v>
      </c>
      <c r="K514" s="2" t="s">
        <v>87</v>
      </c>
      <c r="L514" s="2" t="s">
        <v>88</v>
      </c>
      <c r="M514" s="2">
        <v>1</v>
      </c>
      <c r="N514" s="2">
        <v>1119.2</v>
      </c>
      <c r="O514" s="2">
        <v>790</v>
      </c>
      <c r="P514" s="2">
        <v>20</v>
      </c>
      <c r="Q514" s="2" t="s">
        <v>103</v>
      </c>
      <c r="R514" s="2" t="s">
        <v>42</v>
      </c>
      <c r="S514" s="3">
        <v>45588</v>
      </c>
      <c r="T514" s="6">
        <v>4</v>
      </c>
    </row>
    <row r="515" spans="1:20" x14ac:dyDescent="0.3">
      <c r="A515" s="2" t="s">
        <v>1057</v>
      </c>
      <c r="B515" s="3">
        <v>45506</v>
      </c>
      <c r="C515" s="2" t="s">
        <v>886</v>
      </c>
      <c r="D515" s="2" t="s">
        <v>887</v>
      </c>
      <c r="E515" s="2" t="s">
        <v>77</v>
      </c>
      <c r="F515" s="2">
        <v>49</v>
      </c>
      <c r="G515" s="2" t="s">
        <v>154</v>
      </c>
      <c r="H515" s="2" t="s">
        <v>91</v>
      </c>
      <c r="I515" s="2" t="s">
        <v>70</v>
      </c>
      <c r="J515" s="2" t="s">
        <v>71</v>
      </c>
      <c r="K515" s="2" t="s">
        <v>28</v>
      </c>
      <c r="L515" s="2" t="s">
        <v>72</v>
      </c>
      <c r="M515" s="2">
        <v>5</v>
      </c>
      <c r="N515" s="2">
        <v>5996</v>
      </c>
      <c r="O515" s="2">
        <v>4600</v>
      </c>
      <c r="P515" s="2">
        <v>20</v>
      </c>
      <c r="Q515" s="2" t="s">
        <v>50</v>
      </c>
      <c r="R515" s="2" t="s">
        <v>42</v>
      </c>
      <c r="S515" s="3">
        <v>45517</v>
      </c>
      <c r="T515" s="6">
        <v>3</v>
      </c>
    </row>
    <row r="516" spans="1:20" x14ac:dyDescent="0.3">
      <c r="A516" s="2" t="s">
        <v>1058</v>
      </c>
      <c r="B516" s="3">
        <v>46003</v>
      </c>
      <c r="C516" s="2" t="s">
        <v>805</v>
      </c>
      <c r="D516" s="2" t="s">
        <v>806</v>
      </c>
      <c r="E516" s="2" t="s">
        <v>77</v>
      </c>
      <c r="F516" s="2">
        <v>46</v>
      </c>
      <c r="G516" s="2" t="s">
        <v>165</v>
      </c>
      <c r="H516" s="2" t="s">
        <v>166</v>
      </c>
      <c r="I516" s="2" t="s">
        <v>198</v>
      </c>
      <c r="J516" s="2" t="s">
        <v>199</v>
      </c>
      <c r="K516" s="2" t="s">
        <v>114</v>
      </c>
      <c r="L516" s="2" t="s">
        <v>200</v>
      </c>
      <c r="M516" s="2">
        <v>5</v>
      </c>
      <c r="N516" s="2">
        <v>6495</v>
      </c>
      <c r="O516" s="2">
        <v>3800</v>
      </c>
      <c r="P516" s="2">
        <v>0</v>
      </c>
      <c r="Q516" s="2" t="s">
        <v>41</v>
      </c>
      <c r="R516" s="2" t="s">
        <v>42</v>
      </c>
      <c r="S516" s="3">
        <v>46005</v>
      </c>
      <c r="T516" s="6">
        <v>4</v>
      </c>
    </row>
    <row r="517" spans="1:20" x14ac:dyDescent="0.3">
      <c r="A517" s="2" t="s">
        <v>1059</v>
      </c>
      <c r="B517" s="3">
        <v>45497</v>
      </c>
      <c r="C517" s="2" t="s">
        <v>1060</v>
      </c>
      <c r="D517" s="2" t="s">
        <v>625</v>
      </c>
      <c r="E517" s="2" t="s">
        <v>77</v>
      </c>
      <c r="F517" s="2">
        <v>23</v>
      </c>
      <c r="G517" s="2" t="s">
        <v>24</v>
      </c>
      <c r="H517" s="2" t="s">
        <v>25</v>
      </c>
      <c r="I517" s="2" t="s">
        <v>63</v>
      </c>
      <c r="J517" s="2" t="s">
        <v>64</v>
      </c>
      <c r="K517" s="2" t="s">
        <v>39</v>
      </c>
      <c r="L517" s="2" t="s">
        <v>40</v>
      </c>
      <c r="M517" s="2">
        <v>1</v>
      </c>
      <c r="N517" s="2">
        <v>569.04999999999995</v>
      </c>
      <c r="O517" s="2">
        <v>330</v>
      </c>
      <c r="P517" s="2">
        <v>5</v>
      </c>
      <c r="Q517" s="2" t="s">
        <v>103</v>
      </c>
      <c r="R517" s="2" t="s">
        <v>31</v>
      </c>
      <c r="S517" s="3">
        <v>45503</v>
      </c>
      <c r="T517" s="6">
        <v>4</v>
      </c>
    </row>
    <row r="518" spans="1:20" x14ac:dyDescent="0.3">
      <c r="A518" s="2" t="s">
        <v>1061</v>
      </c>
      <c r="B518" s="3">
        <v>45402</v>
      </c>
      <c r="C518" s="2" t="s">
        <v>805</v>
      </c>
      <c r="D518" s="2" t="s">
        <v>806</v>
      </c>
      <c r="E518" s="2" t="s">
        <v>77</v>
      </c>
      <c r="F518" s="2">
        <v>46</v>
      </c>
      <c r="G518" s="2" t="s">
        <v>35</v>
      </c>
      <c r="H518" s="2" t="s">
        <v>36</v>
      </c>
      <c r="I518" s="2" t="s">
        <v>92</v>
      </c>
      <c r="J518" s="2" t="s">
        <v>93</v>
      </c>
      <c r="K518" s="2" t="s">
        <v>87</v>
      </c>
      <c r="L518" s="2" t="s">
        <v>94</v>
      </c>
      <c r="M518" s="2">
        <v>4</v>
      </c>
      <c r="N518" s="2">
        <v>5436.6</v>
      </c>
      <c r="O518" s="2">
        <v>3720</v>
      </c>
      <c r="P518" s="2">
        <v>15</v>
      </c>
      <c r="Q518" s="2" t="s">
        <v>103</v>
      </c>
      <c r="R518" s="2" t="s">
        <v>65</v>
      </c>
      <c r="S518" s="3" t="s">
        <v>1604</v>
      </c>
      <c r="T518" s="6" t="s">
        <v>1604</v>
      </c>
    </row>
    <row r="519" spans="1:20" x14ac:dyDescent="0.3">
      <c r="A519" s="2" t="s">
        <v>1062</v>
      </c>
      <c r="B519" s="3">
        <v>46018</v>
      </c>
      <c r="C519" s="2" t="s">
        <v>240</v>
      </c>
      <c r="D519" s="2" t="s">
        <v>241</v>
      </c>
      <c r="E519" s="2" t="s">
        <v>23</v>
      </c>
      <c r="F519" s="2">
        <v>25</v>
      </c>
      <c r="G519" s="2" t="s">
        <v>126</v>
      </c>
      <c r="H519" s="2" t="s">
        <v>127</v>
      </c>
      <c r="I519" s="2" t="s">
        <v>37</v>
      </c>
      <c r="J519" s="2" t="s">
        <v>38</v>
      </c>
      <c r="K519" s="2" t="s">
        <v>39</v>
      </c>
      <c r="L519" s="2" t="s">
        <v>40</v>
      </c>
      <c r="M519" s="2">
        <v>5</v>
      </c>
      <c r="N519" s="2">
        <v>4270.25</v>
      </c>
      <c r="O519" s="2">
        <v>2600</v>
      </c>
      <c r="P519" s="2">
        <v>5</v>
      </c>
      <c r="Q519" s="2" t="s">
        <v>30</v>
      </c>
      <c r="R519" s="2" t="s">
        <v>42</v>
      </c>
      <c r="S519" s="3">
        <v>46028</v>
      </c>
      <c r="T519" s="6">
        <v>5</v>
      </c>
    </row>
    <row r="520" spans="1:20" x14ac:dyDescent="0.3">
      <c r="A520" s="2" t="s">
        <v>1063</v>
      </c>
      <c r="B520" s="3">
        <v>45866</v>
      </c>
      <c r="C520" s="2" t="s">
        <v>1064</v>
      </c>
      <c r="D520" s="2" t="s">
        <v>182</v>
      </c>
      <c r="E520" s="2" t="s">
        <v>23</v>
      </c>
      <c r="F520" s="2">
        <v>45</v>
      </c>
      <c r="G520" s="2" t="s">
        <v>24</v>
      </c>
      <c r="H520" s="2" t="s">
        <v>25</v>
      </c>
      <c r="I520" s="2" t="s">
        <v>304</v>
      </c>
      <c r="J520" s="2" t="s">
        <v>305</v>
      </c>
      <c r="K520" s="2" t="s">
        <v>28</v>
      </c>
      <c r="L520" s="2" t="s">
        <v>231</v>
      </c>
      <c r="M520" s="2">
        <v>5</v>
      </c>
      <c r="N520" s="2">
        <v>7196</v>
      </c>
      <c r="O520" s="2">
        <v>5400</v>
      </c>
      <c r="P520" s="2">
        <v>20</v>
      </c>
      <c r="Q520" s="2" t="s">
        <v>41</v>
      </c>
      <c r="R520" s="2" t="s">
        <v>42</v>
      </c>
      <c r="S520" s="3">
        <v>45874</v>
      </c>
      <c r="T520" s="6">
        <v>3</v>
      </c>
    </row>
    <row r="521" spans="1:20" x14ac:dyDescent="0.3">
      <c r="A521" s="2" t="s">
        <v>1065</v>
      </c>
      <c r="B521" s="3">
        <v>45310</v>
      </c>
      <c r="C521" s="2" t="s">
        <v>729</v>
      </c>
      <c r="D521" s="2" t="s">
        <v>276</v>
      </c>
      <c r="E521" s="2" t="s">
        <v>77</v>
      </c>
      <c r="F521" s="2">
        <v>25</v>
      </c>
      <c r="G521" s="2" t="s">
        <v>211</v>
      </c>
      <c r="H521" s="2" t="s">
        <v>127</v>
      </c>
      <c r="I521" s="2" t="s">
        <v>245</v>
      </c>
      <c r="J521" s="2" t="s">
        <v>246</v>
      </c>
      <c r="K521" s="2" t="s">
        <v>130</v>
      </c>
      <c r="L521" s="2" t="s">
        <v>247</v>
      </c>
      <c r="M521" s="2">
        <v>3</v>
      </c>
      <c r="N521" s="2">
        <v>6372.45</v>
      </c>
      <c r="O521" s="2">
        <v>5610</v>
      </c>
      <c r="P521" s="2">
        <v>15</v>
      </c>
      <c r="Q521" s="2" t="s">
        <v>50</v>
      </c>
      <c r="R521" s="2" t="s">
        <v>42</v>
      </c>
      <c r="S521" s="3">
        <v>45312</v>
      </c>
      <c r="T521" s="6">
        <v>4</v>
      </c>
    </row>
    <row r="522" spans="1:20" x14ac:dyDescent="0.3">
      <c r="A522" s="2" t="s">
        <v>1066</v>
      </c>
      <c r="B522" s="3">
        <v>45688</v>
      </c>
      <c r="C522" s="2" t="s">
        <v>266</v>
      </c>
      <c r="D522" s="2" t="s">
        <v>267</v>
      </c>
      <c r="E522" s="2" t="s">
        <v>77</v>
      </c>
      <c r="F522" s="2">
        <v>56</v>
      </c>
      <c r="G522" s="2" t="s">
        <v>207</v>
      </c>
      <c r="H522" s="2" t="s">
        <v>36</v>
      </c>
      <c r="I522" s="2" t="s">
        <v>304</v>
      </c>
      <c r="J522" s="2" t="s">
        <v>305</v>
      </c>
      <c r="K522" s="2" t="s">
        <v>28</v>
      </c>
      <c r="L522" s="2" t="s">
        <v>231</v>
      </c>
      <c r="M522" s="2">
        <v>2</v>
      </c>
      <c r="N522" s="2">
        <v>2698.5</v>
      </c>
      <c r="O522" s="2">
        <v>2160</v>
      </c>
      <c r="P522" s="2">
        <v>25</v>
      </c>
      <c r="Q522" s="2" t="s">
        <v>103</v>
      </c>
      <c r="R522" s="2" t="s">
        <v>31</v>
      </c>
      <c r="S522" s="3">
        <v>45692</v>
      </c>
      <c r="T522" s="6">
        <v>3</v>
      </c>
    </row>
    <row r="523" spans="1:20" x14ac:dyDescent="0.3">
      <c r="A523" s="2" t="s">
        <v>1067</v>
      </c>
      <c r="B523" s="3">
        <v>45683</v>
      </c>
      <c r="C523" s="2" t="s">
        <v>585</v>
      </c>
      <c r="D523" s="2" t="s">
        <v>586</v>
      </c>
      <c r="E523" s="2" t="s">
        <v>77</v>
      </c>
      <c r="F523" s="2">
        <v>51</v>
      </c>
      <c r="G523" s="2" t="s">
        <v>90</v>
      </c>
      <c r="H523" s="2" t="s">
        <v>91</v>
      </c>
      <c r="I523" s="2" t="s">
        <v>134</v>
      </c>
      <c r="J523" s="2" t="s">
        <v>135</v>
      </c>
      <c r="K523" s="2" t="s">
        <v>39</v>
      </c>
      <c r="L523" s="2" t="s">
        <v>136</v>
      </c>
      <c r="M523" s="2">
        <v>2</v>
      </c>
      <c r="N523" s="2">
        <v>358.2</v>
      </c>
      <c r="O523" s="2">
        <v>180</v>
      </c>
      <c r="P523" s="2">
        <v>10</v>
      </c>
      <c r="Q523" s="2" t="s">
        <v>103</v>
      </c>
      <c r="R523" s="2" t="s">
        <v>42</v>
      </c>
      <c r="S523" s="3">
        <v>45694</v>
      </c>
      <c r="T523" s="6">
        <v>4</v>
      </c>
    </row>
    <row r="524" spans="1:20" x14ac:dyDescent="0.3">
      <c r="A524" s="2" t="s">
        <v>1068</v>
      </c>
      <c r="B524" s="3">
        <v>45751</v>
      </c>
      <c r="C524" s="2" t="s">
        <v>133</v>
      </c>
      <c r="D524" s="2" t="s">
        <v>857</v>
      </c>
      <c r="E524" s="2" t="s">
        <v>77</v>
      </c>
      <c r="F524" s="2">
        <v>56</v>
      </c>
      <c r="G524" s="2" t="s">
        <v>173</v>
      </c>
      <c r="H524" s="2" t="s">
        <v>79</v>
      </c>
      <c r="I524" s="2" t="s">
        <v>70</v>
      </c>
      <c r="J524" s="2" t="s">
        <v>71</v>
      </c>
      <c r="K524" s="2" t="s">
        <v>28</v>
      </c>
      <c r="L524" s="2" t="s">
        <v>72</v>
      </c>
      <c r="M524" s="2">
        <v>2</v>
      </c>
      <c r="N524" s="2">
        <v>2548.3000000000002</v>
      </c>
      <c r="O524" s="2">
        <v>1840</v>
      </c>
      <c r="P524" s="2">
        <v>15</v>
      </c>
      <c r="Q524" s="2" t="s">
        <v>30</v>
      </c>
      <c r="R524" s="2" t="s">
        <v>42</v>
      </c>
      <c r="S524" s="3">
        <v>45761</v>
      </c>
      <c r="T524" s="6">
        <v>3</v>
      </c>
    </row>
    <row r="525" spans="1:20" x14ac:dyDescent="0.3">
      <c r="A525" s="2" t="s">
        <v>1069</v>
      </c>
      <c r="B525" s="3">
        <v>45732</v>
      </c>
      <c r="C525" s="2" t="s">
        <v>193</v>
      </c>
      <c r="D525" s="2" t="s">
        <v>194</v>
      </c>
      <c r="E525" s="2" t="s">
        <v>23</v>
      </c>
      <c r="F525" s="2">
        <v>19</v>
      </c>
      <c r="G525" s="2" t="s">
        <v>78</v>
      </c>
      <c r="H525" s="2" t="s">
        <v>79</v>
      </c>
      <c r="I525" s="2" t="s">
        <v>183</v>
      </c>
      <c r="J525" s="2" t="s">
        <v>184</v>
      </c>
      <c r="K525" s="2" t="s">
        <v>130</v>
      </c>
      <c r="L525" s="2" t="s">
        <v>185</v>
      </c>
      <c r="M525" s="2">
        <v>1</v>
      </c>
      <c r="N525" s="2">
        <v>3799.05</v>
      </c>
      <c r="O525" s="2">
        <v>3050</v>
      </c>
      <c r="P525" s="2">
        <v>5</v>
      </c>
      <c r="Q525" s="2" t="s">
        <v>30</v>
      </c>
      <c r="R525" s="2" t="s">
        <v>42</v>
      </c>
      <c r="S525" s="3">
        <v>45736</v>
      </c>
      <c r="T525" s="6">
        <v>2</v>
      </c>
    </row>
    <row r="526" spans="1:20" x14ac:dyDescent="0.3">
      <c r="A526" s="2" t="s">
        <v>1070</v>
      </c>
      <c r="B526" s="3">
        <v>45618</v>
      </c>
      <c r="C526" s="2" t="s">
        <v>732</v>
      </c>
      <c r="D526" s="2" t="s">
        <v>733</v>
      </c>
      <c r="E526" s="2" t="s">
        <v>77</v>
      </c>
      <c r="F526" s="2">
        <v>33</v>
      </c>
      <c r="G526" s="2" t="s">
        <v>122</v>
      </c>
      <c r="H526" s="2" t="s">
        <v>123</v>
      </c>
      <c r="I526" s="2" t="s">
        <v>143</v>
      </c>
      <c r="J526" s="2" t="s">
        <v>144</v>
      </c>
      <c r="K526" s="2" t="s">
        <v>130</v>
      </c>
      <c r="L526" s="2" t="s">
        <v>131</v>
      </c>
      <c r="M526" s="2">
        <v>4</v>
      </c>
      <c r="N526" s="2">
        <v>17596.8</v>
      </c>
      <c r="O526" s="2">
        <v>17200</v>
      </c>
      <c r="P526" s="2">
        <v>20</v>
      </c>
      <c r="Q526" s="2" t="s">
        <v>30</v>
      </c>
      <c r="R526" s="2" t="s">
        <v>57</v>
      </c>
      <c r="S526" s="3">
        <v>45623</v>
      </c>
      <c r="T526" s="6">
        <v>3</v>
      </c>
    </row>
    <row r="527" spans="1:20" x14ac:dyDescent="0.3">
      <c r="A527" s="2" t="s">
        <v>1071</v>
      </c>
      <c r="B527" s="3">
        <v>45426</v>
      </c>
      <c r="C527" s="2" t="s">
        <v>889</v>
      </c>
      <c r="D527" s="2" t="s">
        <v>890</v>
      </c>
      <c r="E527" s="2" t="s">
        <v>23</v>
      </c>
      <c r="F527" s="2">
        <v>53</v>
      </c>
      <c r="G527" s="2" t="s">
        <v>161</v>
      </c>
      <c r="H527" s="2" t="s">
        <v>25</v>
      </c>
      <c r="I527" s="2" t="s">
        <v>155</v>
      </c>
      <c r="J527" s="2" t="s">
        <v>156</v>
      </c>
      <c r="K527" s="2" t="s">
        <v>114</v>
      </c>
      <c r="L527" s="2" t="s">
        <v>157</v>
      </c>
      <c r="M527" s="2">
        <v>5</v>
      </c>
      <c r="N527" s="2">
        <v>3996</v>
      </c>
      <c r="O527" s="2">
        <v>3050</v>
      </c>
      <c r="P527" s="2">
        <v>20</v>
      </c>
      <c r="Q527" s="2" t="s">
        <v>50</v>
      </c>
      <c r="R527" s="2" t="s">
        <v>65</v>
      </c>
      <c r="S527" s="3" t="s">
        <v>1604</v>
      </c>
      <c r="T527" s="6" t="s">
        <v>1604</v>
      </c>
    </row>
    <row r="528" spans="1:20" x14ac:dyDescent="0.3">
      <c r="A528" s="2" t="s">
        <v>1072</v>
      </c>
      <c r="B528" s="3">
        <v>45919</v>
      </c>
      <c r="C528" s="2" t="s">
        <v>1073</v>
      </c>
      <c r="D528" s="2" t="s">
        <v>1074</v>
      </c>
      <c r="E528" s="2" t="s">
        <v>77</v>
      </c>
      <c r="F528" s="2">
        <v>38</v>
      </c>
      <c r="G528" s="2" t="s">
        <v>90</v>
      </c>
      <c r="H528" s="2" t="s">
        <v>91</v>
      </c>
      <c r="I528" s="2" t="s">
        <v>304</v>
      </c>
      <c r="J528" s="2" t="s">
        <v>305</v>
      </c>
      <c r="K528" s="2" t="s">
        <v>28</v>
      </c>
      <c r="L528" s="2" t="s">
        <v>231</v>
      </c>
      <c r="M528" s="2">
        <v>1</v>
      </c>
      <c r="N528" s="2">
        <v>1349.25</v>
      </c>
      <c r="O528" s="2">
        <v>1080</v>
      </c>
      <c r="P528" s="2">
        <v>25</v>
      </c>
      <c r="Q528" s="2" t="s">
        <v>73</v>
      </c>
      <c r="R528" s="2" t="s">
        <v>31</v>
      </c>
      <c r="S528" s="3">
        <v>45928</v>
      </c>
      <c r="T528" s="6">
        <v>3</v>
      </c>
    </row>
    <row r="529" spans="1:20" x14ac:dyDescent="0.3">
      <c r="A529" s="2" t="s">
        <v>1075</v>
      </c>
      <c r="B529" s="3">
        <v>45806</v>
      </c>
      <c r="C529" s="2" t="s">
        <v>458</v>
      </c>
      <c r="D529" s="2" t="s">
        <v>329</v>
      </c>
      <c r="E529" s="2" t="s">
        <v>77</v>
      </c>
      <c r="F529" s="2">
        <v>42</v>
      </c>
      <c r="G529" s="2" t="s">
        <v>211</v>
      </c>
      <c r="H529" s="2" t="s">
        <v>127</v>
      </c>
      <c r="I529" s="2" t="s">
        <v>319</v>
      </c>
      <c r="J529" s="2" t="s">
        <v>320</v>
      </c>
      <c r="K529" s="2" t="s">
        <v>28</v>
      </c>
      <c r="L529" s="2" t="s">
        <v>29</v>
      </c>
      <c r="M529" s="2">
        <v>4</v>
      </c>
      <c r="N529" s="2">
        <v>2877.6</v>
      </c>
      <c r="O529" s="2">
        <v>2840</v>
      </c>
      <c r="P529" s="2">
        <v>40</v>
      </c>
      <c r="Q529" s="2" t="s">
        <v>103</v>
      </c>
      <c r="R529" s="2" t="s">
        <v>42</v>
      </c>
      <c r="S529" s="3">
        <v>45810</v>
      </c>
      <c r="T529" s="6">
        <v>4</v>
      </c>
    </row>
    <row r="530" spans="1:20" x14ac:dyDescent="0.3">
      <c r="A530" s="2" t="s">
        <v>1076</v>
      </c>
      <c r="B530" s="3">
        <v>45523</v>
      </c>
      <c r="C530" s="2" t="s">
        <v>624</v>
      </c>
      <c r="D530" s="2" t="s">
        <v>625</v>
      </c>
      <c r="E530" s="2" t="s">
        <v>77</v>
      </c>
      <c r="F530" s="2">
        <v>47</v>
      </c>
      <c r="G530" s="2" t="s">
        <v>122</v>
      </c>
      <c r="H530" s="2" t="s">
        <v>123</v>
      </c>
      <c r="I530" s="2" t="s">
        <v>80</v>
      </c>
      <c r="J530" s="2" t="s">
        <v>81</v>
      </c>
      <c r="K530" s="2" t="s">
        <v>28</v>
      </c>
      <c r="L530" s="2" t="s">
        <v>29</v>
      </c>
      <c r="M530" s="2">
        <v>3</v>
      </c>
      <c r="N530" s="2">
        <v>1677.9</v>
      </c>
      <c r="O530" s="2">
        <v>1410</v>
      </c>
      <c r="P530" s="2">
        <v>30</v>
      </c>
      <c r="Q530" s="2" t="s">
        <v>30</v>
      </c>
      <c r="R530" s="2" t="s">
        <v>31</v>
      </c>
      <c r="S530" s="3">
        <v>45535</v>
      </c>
      <c r="T530" s="6">
        <v>4</v>
      </c>
    </row>
    <row r="531" spans="1:20" x14ac:dyDescent="0.3">
      <c r="A531" s="2" t="s">
        <v>1077</v>
      </c>
      <c r="B531" s="3">
        <v>45501</v>
      </c>
      <c r="C531" s="2" t="s">
        <v>769</v>
      </c>
      <c r="D531" s="2" t="s">
        <v>326</v>
      </c>
      <c r="E531" s="2" t="s">
        <v>23</v>
      </c>
      <c r="F531" s="2">
        <v>20</v>
      </c>
      <c r="G531" s="2" t="s">
        <v>78</v>
      </c>
      <c r="H531" s="2" t="s">
        <v>79</v>
      </c>
      <c r="I531" s="2" t="s">
        <v>63</v>
      </c>
      <c r="J531" s="2" t="s">
        <v>64</v>
      </c>
      <c r="K531" s="2" t="s">
        <v>39</v>
      </c>
      <c r="L531" s="2" t="s">
        <v>40</v>
      </c>
      <c r="M531" s="2">
        <v>5</v>
      </c>
      <c r="N531" s="2">
        <v>1797</v>
      </c>
      <c r="O531" s="2">
        <v>1650</v>
      </c>
      <c r="P531" s="2">
        <v>40</v>
      </c>
      <c r="Q531" s="2" t="s">
        <v>41</v>
      </c>
      <c r="R531" s="2" t="s">
        <v>57</v>
      </c>
      <c r="S531" s="3">
        <v>45510</v>
      </c>
      <c r="T531" s="6">
        <v>4</v>
      </c>
    </row>
    <row r="532" spans="1:20" x14ac:dyDescent="0.3">
      <c r="A532" s="2" t="s">
        <v>1078</v>
      </c>
      <c r="B532" s="3">
        <v>45729</v>
      </c>
      <c r="C532" s="2" t="s">
        <v>412</v>
      </c>
      <c r="D532" s="2" t="s">
        <v>413</v>
      </c>
      <c r="E532" s="2" t="s">
        <v>77</v>
      </c>
      <c r="F532" s="2">
        <v>38</v>
      </c>
      <c r="G532" s="2" t="s">
        <v>24</v>
      </c>
      <c r="H532" s="2" t="s">
        <v>25</v>
      </c>
      <c r="I532" s="2" t="s">
        <v>155</v>
      </c>
      <c r="J532" s="2" t="s">
        <v>156</v>
      </c>
      <c r="K532" s="2" t="s">
        <v>1079</v>
      </c>
      <c r="L532" s="2" t="s">
        <v>157</v>
      </c>
      <c r="M532" s="2">
        <v>4</v>
      </c>
      <c r="N532" s="2">
        <v>2997</v>
      </c>
      <c r="O532" s="2">
        <v>2440</v>
      </c>
      <c r="P532" s="2">
        <v>25</v>
      </c>
      <c r="Q532" s="2" t="s">
        <v>103</v>
      </c>
      <c r="R532" s="2" t="s">
        <v>65</v>
      </c>
      <c r="S532" s="3" t="s">
        <v>1604</v>
      </c>
      <c r="T532" s="6" t="s">
        <v>1604</v>
      </c>
    </row>
    <row r="533" spans="1:20" x14ac:dyDescent="0.3">
      <c r="A533" s="2" t="s">
        <v>1080</v>
      </c>
      <c r="B533" s="3">
        <v>45877</v>
      </c>
      <c r="C533" s="2" t="s">
        <v>523</v>
      </c>
      <c r="D533" s="2" t="s">
        <v>524</v>
      </c>
      <c r="E533" s="2" t="s">
        <v>77</v>
      </c>
      <c r="F533" s="2">
        <v>49</v>
      </c>
      <c r="G533" s="2" t="s">
        <v>24</v>
      </c>
      <c r="H533" s="2" t="s">
        <v>25</v>
      </c>
      <c r="I533" s="2" t="s">
        <v>112</v>
      </c>
      <c r="J533" s="2" t="s">
        <v>113</v>
      </c>
      <c r="K533" s="2" t="s">
        <v>114</v>
      </c>
      <c r="L533" s="2" t="s">
        <v>115</v>
      </c>
      <c r="M533" s="2">
        <v>1</v>
      </c>
      <c r="N533" s="2">
        <v>419.4</v>
      </c>
      <c r="O533" s="2">
        <v>370</v>
      </c>
      <c r="P533" s="2">
        <v>40</v>
      </c>
      <c r="Q533" s="2" t="s">
        <v>103</v>
      </c>
      <c r="R533" s="2" t="s">
        <v>57</v>
      </c>
      <c r="S533" s="3">
        <v>45879</v>
      </c>
      <c r="T533" s="6">
        <v>4</v>
      </c>
    </row>
    <row r="534" spans="1:20" x14ac:dyDescent="0.3">
      <c r="A534" s="2" t="s">
        <v>1081</v>
      </c>
      <c r="B534" s="3">
        <v>45823</v>
      </c>
      <c r="C534" s="2" t="s">
        <v>886</v>
      </c>
      <c r="D534" s="2" t="s">
        <v>887</v>
      </c>
      <c r="E534" s="2" t="s">
        <v>77</v>
      </c>
      <c r="F534" s="2">
        <v>49</v>
      </c>
      <c r="G534" s="2" t="s">
        <v>165</v>
      </c>
      <c r="H534" s="2" t="s">
        <v>166</v>
      </c>
      <c r="I534" s="2" t="s">
        <v>177</v>
      </c>
      <c r="J534" s="2" t="s">
        <v>178</v>
      </c>
      <c r="K534" s="2" t="s">
        <v>87</v>
      </c>
      <c r="L534" s="2" t="s">
        <v>179</v>
      </c>
      <c r="M534" s="2">
        <v>1</v>
      </c>
      <c r="N534" s="2">
        <v>1749.3</v>
      </c>
      <c r="O534" s="2">
        <v>1620</v>
      </c>
      <c r="P534" s="2">
        <v>30</v>
      </c>
      <c r="Q534" s="2" t="s">
        <v>50</v>
      </c>
      <c r="R534" s="2" t="s">
        <v>57</v>
      </c>
      <c r="S534" s="3">
        <v>45835</v>
      </c>
      <c r="T534" s="6">
        <v>2</v>
      </c>
    </row>
    <row r="535" spans="1:20" x14ac:dyDescent="0.3">
      <c r="A535" s="2" t="s">
        <v>1082</v>
      </c>
      <c r="B535" s="3">
        <v>45486</v>
      </c>
      <c r="C535" s="2" t="s">
        <v>1083</v>
      </c>
      <c r="D535" s="2" t="s">
        <v>1084</v>
      </c>
      <c r="E535" s="2" t="s">
        <v>77</v>
      </c>
      <c r="F535" s="2">
        <v>20</v>
      </c>
      <c r="G535" s="2" t="s">
        <v>61</v>
      </c>
      <c r="H535" s="2" t="s">
        <v>62</v>
      </c>
      <c r="I535" s="2" t="s">
        <v>47</v>
      </c>
      <c r="J535" s="2" t="s">
        <v>48</v>
      </c>
      <c r="K535" s="2" t="s">
        <v>39</v>
      </c>
      <c r="L535" s="2" t="s">
        <v>49</v>
      </c>
      <c r="M535" s="2">
        <v>3</v>
      </c>
      <c r="N535" s="2">
        <v>957.6</v>
      </c>
      <c r="O535" s="2">
        <v>630</v>
      </c>
      <c r="P535" s="2">
        <v>20</v>
      </c>
      <c r="Q535" s="2" t="s">
        <v>103</v>
      </c>
      <c r="R535" s="2" t="s">
        <v>42</v>
      </c>
      <c r="S535" s="3">
        <v>45494</v>
      </c>
      <c r="T535" s="6">
        <v>4</v>
      </c>
    </row>
    <row r="536" spans="1:20" x14ac:dyDescent="0.3">
      <c r="A536" s="2" t="s">
        <v>1085</v>
      </c>
      <c r="B536" s="3">
        <v>45919</v>
      </c>
      <c r="C536" s="2" t="s">
        <v>1086</v>
      </c>
      <c r="D536" s="2" t="s">
        <v>1087</v>
      </c>
      <c r="E536" s="2" t="s">
        <v>23</v>
      </c>
      <c r="F536" s="2">
        <v>22</v>
      </c>
      <c r="G536" s="2" t="s">
        <v>173</v>
      </c>
      <c r="H536" s="2" t="s">
        <v>79</v>
      </c>
      <c r="I536" s="2" t="s">
        <v>63</v>
      </c>
      <c r="J536" s="2" t="s">
        <v>64</v>
      </c>
      <c r="K536" s="2" t="s">
        <v>39</v>
      </c>
      <c r="L536" s="2" t="s">
        <v>40</v>
      </c>
      <c r="M536" s="2">
        <v>4</v>
      </c>
      <c r="N536" s="2">
        <v>2276.1999999999998</v>
      </c>
      <c r="O536" s="2">
        <v>1320</v>
      </c>
      <c r="P536" s="2">
        <v>5</v>
      </c>
      <c r="Q536" s="2" t="s">
        <v>50</v>
      </c>
      <c r="R536" s="2" t="s">
        <v>42</v>
      </c>
      <c r="S536" s="3">
        <v>45923</v>
      </c>
      <c r="T536" s="6">
        <v>3</v>
      </c>
    </row>
    <row r="537" spans="1:20" x14ac:dyDescent="0.3">
      <c r="A537" s="2" t="s">
        <v>1088</v>
      </c>
      <c r="B537" s="3">
        <v>45694</v>
      </c>
      <c r="C537" s="2" t="s">
        <v>732</v>
      </c>
      <c r="D537" s="2" t="s">
        <v>733</v>
      </c>
      <c r="E537" s="2" t="s">
        <v>77</v>
      </c>
      <c r="F537" s="2">
        <v>33</v>
      </c>
      <c r="G537" s="2" t="s">
        <v>126</v>
      </c>
      <c r="H537" s="2" t="s">
        <v>127</v>
      </c>
      <c r="I537" s="2" t="s">
        <v>63</v>
      </c>
      <c r="J537" s="2" t="s">
        <v>64</v>
      </c>
      <c r="K537" s="2" t="s">
        <v>39</v>
      </c>
      <c r="L537" s="2" t="s">
        <v>40</v>
      </c>
      <c r="M537" s="2">
        <v>1</v>
      </c>
      <c r="N537" s="2">
        <v>539.1</v>
      </c>
      <c r="O537" s="2">
        <v>330</v>
      </c>
      <c r="P537" s="2">
        <v>10</v>
      </c>
      <c r="Q537" s="2" t="s">
        <v>103</v>
      </c>
      <c r="R537" s="2" t="s">
        <v>65</v>
      </c>
      <c r="S537" s="3" t="s">
        <v>1604</v>
      </c>
      <c r="T537" s="6" t="s">
        <v>1604</v>
      </c>
    </row>
    <row r="538" spans="1:20" x14ac:dyDescent="0.3">
      <c r="A538" s="2" t="s">
        <v>1089</v>
      </c>
      <c r="B538" s="3">
        <v>46021</v>
      </c>
      <c r="C538" s="2" t="s">
        <v>398</v>
      </c>
      <c r="D538" s="2" t="s">
        <v>399</v>
      </c>
      <c r="E538" s="2" t="s">
        <v>77</v>
      </c>
      <c r="F538" s="2">
        <v>49</v>
      </c>
      <c r="G538" s="2" t="s">
        <v>61</v>
      </c>
      <c r="H538" s="2" t="s">
        <v>62</v>
      </c>
      <c r="I538" s="2" t="s">
        <v>54</v>
      </c>
      <c r="J538" s="2" t="s">
        <v>55</v>
      </c>
      <c r="K538" s="2" t="s">
        <v>28</v>
      </c>
      <c r="L538" s="2" t="s">
        <v>56</v>
      </c>
      <c r="M538" s="2">
        <v>3</v>
      </c>
      <c r="N538" s="2">
        <v>1572.75</v>
      </c>
      <c r="O538" s="2">
        <v>1230</v>
      </c>
      <c r="P538" s="2">
        <v>25</v>
      </c>
      <c r="Q538" s="2" t="s">
        <v>30</v>
      </c>
      <c r="R538" s="2" t="s">
        <v>31</v>
      </c>
      <c r="S538" s="3">
        <v>46024</v>
      </c>
      <c r="T538" s="6">
        <v>3</v>
      </c>
    </row>
    <row r="539" spans="1:20" x14ac:dyDescent="0.3">
      <c r="A539" s="2" t="s">
        <v>1090</v>
      </c>
      <c r="B539" s="3">
        <v>45408</v>
      </c>
      <c r="C539" s="2" t="s">
        <v>1091</v>
      </c>
      <c r="D539" s="2" t="s">
        <v>963</v>
      </c>
      <c r="E539" s="2" t="s">
        <v>77</v>
      </c>
      <c r="F539" s="2">
        <v>42</v>
      </c>
      <c r="G539" s="2" t="s">
        <v>211</v>
      </c>
      <c r="H539" s="2" t="s">
        <v>127</v>
      </c>
      <c r="I539" s="2" t="s">
        <v>54</v>
      </c>
      <c r="J539" s="2" t="s">
        <v>55</v>
      </c>
      <c r="K539" s="2" t="s">
        <v>28</v>
      </c>
      <c r="L539" s="2" t="s">
        <v>56</v>
      </c>
      <c r="M539" s="2">
        <v>5</v>
      </c>
      <c r="N539" s="2">
        <v>2446.5</v>
      </c>
      <c r="O539" s="2">
        <v>2050</v>
      </c>
      <c r="P539" s="2">
        <v>30</v>
      </c>
      <c r="Q539" s="2" t="s">
        <v>50</v>
      </c>
      <c r="R539" s="2" t="s">
        <v>65</v>
      </c>
      <c r="S539" s="3" t="s">
        <v>1604</v>
      </c>
      <c r="T539" s="6" t="s">
        <v>1604</v>
      </c>
    </row>
    <row r="540" spans="1:20" x14ac:dyDescent="0.3">
      <c r="A540" s="2" t="s">
        <v>1092</v>
      </c>
      <c r="B540" s="3">
        <v>45455</v>
      </c>
      <c r="C540" s="2" t="s">
        <v>595</v>
      </c>
      <c r="D540" s="2" t="s">
        <v>596</v>
      </c>
      <c r="E540" s="2" t="s">
        <v>23</v>
      </c>
      <c r="F540" s="2">
        <v>23</v>
      </c>
      <c r="G540" s="2" t="s">
        <v>165</v>
      </c>
      <c r="H540" s="2" t="s">
        <v>166</v>
      </c>
      <c r="I540" s="2" t="s">
        <v>26</v>
      </c>
      <c r="J540" s="2" t="s">
        <v>27</v>
      </c>
      <c r="K540" s="2" t="s">
        <v>28</v>
      </c>
      <c r="L540" s="2" t="s">
        <v>29</v>
      </c>
      <c r="M540" s="2">
        <v>2</v>
      </c>
      <c r="N540" s="2">
        <v>1948.5</v>
      </c>
      <c r="O540" s="2">
        <v>1580</v>
      </c>
      <c r="P540" s="2">
        <v>25</v>
      </c>
      <c r="Q540" s="2" t="s">
        <v>50</v>
      </c>
      <c r="R540" s="2" t="s">
        <v>57</v>
      </c>
      <c r="S540" s="3">
        <v>45467</v>
      </c>
      <c r="T540" s="6">
        <v>3</v>
      </c>
    </row>
    <row r="541" spans="1:20" x14ac:dyDescent="0.3">
      <c r="A541" s="2" t="s">
        <v>1093</v>
      </c>
      <c r="B541" s="3">
        <v>45458</v>
      </c>
      <c r="C541" s="2" t="s">
        <v>193</v>
      </c>
      <c r="D541" s="2" t="s">
        <v>194</v>
      </c>
      <c r="E541" s="2" t="s">
        <v>23</v>
      </c>
      <c r="F541" s="2">
        <v>19</v>
      </c>
      <c r="G541" s="2" t="s">
        <v>78</v>
      </c>
      <c r="H541" s="2" t="s">
        <v>79</v>
      </c>
      <c r="I541" s="2" t="s">
        <v>85</v>
      </c>
      <c r="J541" s="2" t="s">
        <v>86</v>
      </c>
      <c r="K541" s="2" t="s">
        <v>87</v>
      </c>
      <c r="L541" s="2" t="s">
        <v>88</v>
      </c>
      <c r="M541" s="2">
        <v>1</v>
      </c>
      <c r="N541" s="2">
        <v>979.3</v>
      </c>
      <c r="O541" s="2">
        <v>790</v>
      </c>
      <c r="P541" s="2">
        <v>30</v>
      </c>
      <c r="Q541" s="2" t="s">
        <v>41</v>
      </c>
      <c r="R541" s="2" t="s">
        <v>42</v>
      </c>
      <c r="S541" s="3">
        <v>45467</v>
      </c>
      <c r="T541" s="6">
        <v>4</v>
      </c>
    </row>
    <row r="542" spans="1:20" x14ac:dyDescent="0.3">
      <c r="A542" s="2" t="s">
        <v>1094</v>
      </c>
      <c r="B542" s="3">
        <v>45933</v>
      </c>
      <c r="C542" s="2" t="s">
        <v>967</v>
      </c>
      <c r="D542" s="2" t="s">
        <v>968</v>
      </c>
      <c r="E542" s="2" t="s">
        <v>23</v>
      </c>
      <c r="F542" s="2">
        <v>29</v>
      </c>
      <c r="G542" s="2" t="s">
        <v>69</v>
      </c>
      <c r="H542" s="2" t="s">
        <v>69</v>
      </c>
      <c r="I542" s="2" t="s">
        <v>252</v>
      </c>
      <c r="J542" s="2" t="s">
        <v>253</v>
      </c>
      <c r="K542" s="2" t="s">
        <v>28</v>
      </c>
      <c r="L542" s="2" t="s">
        <v>254</v>
      </c>
      <c r="M542" s="2">
        <v>2</v>
      </c>
      <c r="N542" s="2">
        <v>5998</v>
      </c>
      <c r="O542" s="2">
        <v>3800</v>
      </c>
      <c r="P542" s="2">
        <v>0</v>
      </c>
      <c r="Q542" s="2" t="s">
        <v>50</v>
      </c>
      <c r="R542" s="2" t="s">
        <v>57</v>
      </c>
      <c r="S542" s="3">
        <v>45939</v>
      </c>
      <c r="T542" s="6">
        <v>2</v>
      </c>
    </row>
    <row r="543" spans="1:20" x14ac:dyDescent="0.3">
      <c r="A543" s="2" t="s">
        <v>1095</v>
      </c>
      <c r="B543" s="3">
        <v>45761</v>
      </c>
      <c r="C543" s="2" t="s">
        <v>406</v>
      </c>
      <c r="D543" s="2" t="s">
        <v>407</v>
      </c>
      <c r="E543" s="2" t="s">
        <v>23</v>
      </c>
      <c r="F543" s="2">
        <v>37</v>
      </c>
      <c r="G543" s="2" t="s">
        <v>101</v>
      </c>
      <c r="H543" s="2" t="s">
        <v>102</v>
      </c>
      <c r="I543" s="2" t="s">
        <v>222</v>
      </c>
      <c r="J543" s="2" t="s">
        <v>223</v>
      </c>
      <c r="K543" s="2" t="s">
        <v>114</v>
      </c>
      <c r="L543" s="2" t="s">
        <v>115</v>
      </c>
      <c r="M543" s="2">
        <v>1</v>
      </c>
      <c r="N543" s="2">
        <v>539.4</v>
      </c>
      <c r="O543" s="2">
        <v>510</v>
      </c>
      <c r="P543" s="2">
        <v>40</v>
      </c>
      <c r="Q543" s="2" t="s">
        <v>30</v>
      </c>
      <c r="R543" s="2" t="s">
        <v>42</v>
      </c>
      <c r="S543" s="3">
        <v>45772</v>
      </c>
      <c r="T543" s="6">
        <v>5</v>
      </c>
    </row>
    <row r="544" spans="1:20" x14ac:dyDescent="0.3">
      <c r="A544" s="2" t="s">
        <v>1096</v>
      </c>
      <c r="B544" s="3">
        <v>45756</v>
      </c>
      <c r="C544" s="2" t="s">
        <v>775</v>
      </c>
      <c r="D544" s="2" t="s">
        <v>244</v>
      </c>
      <c r="E544" s="2" t="s">
        <v>77</v>
      </c>
      <c r="F544" s="2">
        <v>46</v>
      </c>
      <c r="G544" s="2" t="s">
        <v>61</v>
      </c>
      <c r="H544" s="2" t="s">
        <v>62</v>
      </c>
      <c r="I544" s="2" t="s">
        <v>54</v>
      </c>
      <c r="J544" s="2" t="s">
        <v>55</v>
      </c>
      <c r="K544" s="2" t="s">
        <v>28</v>
      </c>
      <c r="L544" s="2" t="s">
        <v>56</v>
      </c>
      <c r="M544" s="2">
        <v>5</v>
      </c>
      <c r="N544" s="2">
        <v>3495</v>
      </c>
      <c r="O544" s="2">
        <v>2050</v>
      </c>
      <c r="P544" s="2">
        <v>0</v>
      </c>
      <c r="Q544" s="2" t="s">
        <v>30</v>
      </c>
      <c r="R544" s="2" t="s">
        <v>65</v>
      </c>
      <c r="S544" s="3" t="s">
        <v>1604</v>
      </c>
      <c r="T544" s="6" t="s">
        <v>1604</v>
      </c>
    </row>
    <row r="545" spans="1:20" x14ac:dyDescent="0.3">
      <c r="A545" s="2" t="s">
        <v>1097</v>
      </c>
      <c r="B545" s="3">
        <v>45576</v>
      </c>
      <c r="C545" s="2" t="s">
        <v>581</v>
      </c>
      <c r="D545" s="2" t="s">
        <v>582</v>
      </c>
      <c r="E545" s="2" t="s">
        <v>23</v>
      </c>
      <c r="F545" s="2">
        <v>37</v>
      </c>
      <c r="G545" s="2" t="s">
        <v>154</v>
      </c>
      <c r="H545" s="2" t="s">
        <v>91</v>
      </c>
      <c r="I545" s="2" t="s">
        <v>26</v>
      </c>
      <c r="J545" s="2" t="s">
        <v>27</v>
      </c>
      <c r="K545" s="2" t="s">
        <v>28</v>
      </c>
      <c r="L545" s="2" t="s">
        <v>29</v>
      </c>
      <c r="M545" s="2">
        <v>2</v>
      </c>
      <c r="N545" s="2">
        <v>2338.1999999999998</v>
      </c>
      <c r="O545" s="2">
        <v>1580</v>
      </c>
      <c r="P545" s="2">
        <v>10</v>
      </c>
      <c r="Q545" s="2" t="s">
        <v>73</v>
      </c>
      <c r="R545" s="2" t="s">
        <v>31</v>
      </c>
      <c r="S545" s="3">
        <v>45583</v>
      </c>
      <c r="T545" s="6">
        <v>2</v>
      </c>
    </row>
    <row r="546" spans="1:20" x14ac:dyDescent="0.3">
      <c r="A546" s="2" t="s">
        <v>1098</v>
      </c>
      <c r="B546" s="3">
        <v>45440</v>
      </c>
      <c r="C546" s="2" t="s">
        <v>624</v>
      </c>
      <c r="D546" s="2" t="s">
        <v>625</v>
      </c>
      <c r="E546" s="2" t="s">
        <v>77</v>
      </c>
      <c r="F546" s="2">
        <v>47</v>
      </c>
      <c r="G546" s="2" t="s">
        <v>35</v>
      </c>
      <c r="H546" s="2" t="s">
        <v>36</v>
      </c>
      <c r="I546" s="2" t="s">
        <v>183</v>
      </c>
      <c r="J546" s="2" t="s">
        <v>184</v>
      </c>
      <c r="K546" s="2" t="s">
        <v>130</v>
      </c>
      <c r="L546" s="2" t="s">
        <v>185</v>
      </c>
      <c r="M546" s="2">
        <v>1</v>
      </c>
      <c r="N546" s="2">
        <v>3999</v>
      </c>
      <c r="O546" s="2">
        <v>3050</v>
      </c>
      <c r="P546" s="2">
        <v>0</v>
      </c>
      <c r="Q546" s="2" t="s">
        <v>73</v>
      </c>
      <c r="R546" s="2" t="s">
        <v>42</v>
      </c>
      <c r="S546" s="3">
        <v>45444</v>
      </c>
      <c r="T546" s="6">
        <v>3</v>
      </c>
    </row>
    <row r="547" spans="1:20" x14ac:dyDescent="0.3">
      <c r="A547" s="2" t="s">
        <v>1099</v>
      </c>
      <c r="B547" s="3">
        <v>45980</v>
      </c>
      <c r="C547" s="2" t="s">
        <v>438</v>
      </c>
      <c r="D547" s="2" t="s">
        <v>439</v>
      </c>
      <c r="E547" s="2" t="s">
        <v>23</v>
      </c>
      <c r="F547" s="2">
        <v>27</v>
      </c>
      <c r="G547" s="2" t="s">
        <v>78</v>
      </c>
      <c r="H547" s="2" t="s">
        <v>79</v>
      </c>
      <c r="I547" s="2" t="s">
        <v>63</v>
      </c>
      <c r="J547" s="2" t="s">
        <v>64</v>
      </c>
      <c r="K547" s="2" t="s">
        <v>39</v>
      </c>
      <c r="L547" s="2" t="s">
        <v>40</v>
      </c>
      <c r="M547" s="2">
        <v>5</v>
      </c>
      <c r="N547" s="2">
        <v>2246.25</v>
      </c>
      <c r="O547" s="2">
        <v>1650</v>
      </c>
      <c r="P547" s="2">
        <v>25</v>
      </c>
      <c r="Q547" s="2" t="s">
        <v>73</v>
      </c>
      <c r="R547" s="2" t="s">
        <v>42</v>
      </c>
      <c r="S547" s="3">
        <v>45986</v>
      </c>
      <c r="T547" s="6">
        <v>4</v>
      </c>
    </row>
    <row r="548" spans="1:20" x14ac:dyDescent="0.3">
      <c r="A548" s="2" t="s">
        <v>1100</v>
      </c>
      <c r="B548" s="3">
        <v>45669</v>
      </c>
      <c r="C548" s="2" t="s">
        <v>59</v>
      </c>
      <c r="D548" s="2" t="s">
        <v>60</v>
      </c>
      <c r="E548" s="2" t="s">
        <v>23</v>
      </c>
      <c r="F548" s="2">
        <v>37</v>
      </c>
      <c r="G548" s="2" t="s">
        <v>46</v>
      </c>
      <c r="H548" s="2" t="s">
        <v>25</v>
      </c>
      <c r="I548" s="2" t="s">
        <v>134</v>
      </c>
      <c r="J548" s="2" t="s">
        <v>135</v>
      </c>
      <c r="K548" s="2" t="s">
        <v>39</v>
      </c>
      <c r="L548" s="2" t="s">
        <v>136</v>
      </c>
      <c r="M548" s="2">
        <v>5</v>
      </c>
      <c r="N548" s="2">
        <v>945.25</v>
      </c>
      <c r="O548" s="2">
        <v>450</v>
      </c>
      <c r="P548" s="2">
        <v>5</v>
      </c>
      <c r="Q548" s="2" t="s">
        <v>41</v>
      </c>
      <c r="R548" s="2" t="s">
        <v>42</v>
      </c>
      <c r="S548" s="3">
        <v>45673</v>
      </c>
      <c r="T548" s="6">
        <v>3</v>
      </c>
    </row>
    <row r="549" spans="1:20" x14ac:dyDescent="0.3">
      <c r="A549" s="2" t="s">
        <v>1101</v>
      </c>
      <c r="B549" s="3">
        <v>46003</v>
      </c>
      <c r="C549" s="2" t="s">
        <v>21</v>
      </c>
      <c r="D549" s="2" t="s">
        <v>22</v>
      </c>
      <c r="E549" s="2" t="s">
        <v>23</v>
      </c>
      <c r="F549" s="2">
        <v>39</v>
      </c>
      <c r="G549" s="2" t="s">
        <v>126</v>
      </c>
      <c r="H549" s="2" t="s">
        <v>127</v>
      </c>
      <c r="I549" s="2" t="s">
        <v>112</v>
      </c>
      <c r="J549" s="2" t="s">
        <v>113</v>
      </c>
      <c r="K549" s="2" t="s">
        <v>114</v>
      </c>
      <c r="L549" s="2" t="s">
        <v>115</v>
      </c>
      <c r="M549" s="2">
        <v>4</v>
      </c>
      <c r="N549" s="2">
        <v>2376.6</v>
      </c>
      <c r="O549" s="2">
        <v>1480</v>
      </c>
      <c r="P549" s="2">
        <v>15</v>
      </c>
      <c r="Q549" s="2" t="s">
        <v>30</v>
      </c>
      <c r="R549" s="2" t="s">
        <v>65</v>
      </c>
      <c r="S549" s="3" t="s">
        <v>1604</v>
      </c>
      <c r="T549" s="6" t="s">
        <v>1604</v>
      </c>
    </row>
    <row r="550" spans="1:20" x14ac:dyDescent="0.3">
      <c r="A550" s="2" t="s">
        <v>1102</v>
      </c>
      <c r="B550" s="3">
        <v>45351</v>
      </c>
      <c r="C550" s="2" t="s">
        <v>1103</v>
      </c>
      <c r="D550" s="2" t="s">
        <v>1104</v>
      </c>
      <c r="E550" s="2" t="s">
        <v>77</v>
      </c>
      <c r="F550" s="2">
        <v>50</v>
      </c>
      <c r="G550" s="2" t="s">
        <v>46</v>
      </c>
      <c r="H550" s="2" t="s">
        <v>25</v>
      </c>
      <c r="I550" s="2" t="s">
        <v>37</v>
      </c>
      <c r="J550" s="2" t="s">
        <v>38</v>
      </c>
      <c r="K550" s="2" t="s">
        <v>39</v>
      </c>
      <c r="L550" s="2" t="s">
        <v>40</v>
      </c>
      <c r="M550" s="2">
        <v>5</v>
      </c>
      <c r="N550" s="2">
        <v>3596</v>
      </c>
      <c r="O550" s="2">
        <v>2600</v>
      </c>
      <c r="P550" s="2">
        <v>20</v>
      </c>
      <c r="Q550" s="2" t="s">
        <v>103</v>
      </c>
      <c r="R550" s="2" t="s">
        <v>65</v>
      </c>
      <c r="S550" s="3" t="s">
        <v>1604</v>
      </c>
      <c r="T550" s="6" t="s">
        <v>1604</v>
      </c>
    </row>
    <row r="551" spans="1:20" x14ac:dyDescent="0.3">
      <c r="A551" s="2" t="s">
        <v>1105</v>
      </c>
      <c r="B551" s="3">
        <v>45616</v>
      </c>
      <c r="C551" s="2" t="s">
        <v>1106</v>
      </c>
      <c r="D551" s="2" t="s">
        <v>953</v>
      </c>
      <c r="E551" s="2" t="s">
        <v>23</v>
      </c>
      <c r="F551" s="2">
        <v>25</v>
      </c>
      <c r="G551" s="2" t="s">
        <v>211</v>
      </c>
      <c r="H551" s="2" t="s">
        <v>127</v>
      </c>
      <c r="I551" s="2" t="s">
        <v>252</v>
      </c>
      <c r="J551" s="2" t="s">
        <v>253</v>
      </c>
      <c r="K551" s="2" t="s">
        <v>28</v>
      </c>
      <c r="L551" s="2" t="s">
        <v>254</v>
      </c>
      <c r="M551" s="2">
        <v>5</v>
      </c>
      <c r="N551" s="2">
        <v>8997</v>
      </c>
      <c r="O551" s="2">
        <v>9500</v>
      </c>
      <c r="P551" s="2">
        <v>40</v>
      </c>
      <c r="Q551" s="2" t="s">
        <v>50</v>
      </c>
      <c r="R551" s="2" t="s">
        <v>31</v>
      </c>
      <c r="S551" s="3">
        <v>45628</v>
      </c>
      <c r="T551" s="6">
        <v>5</v>
      </c>
    </row>
    <row r="552" spans="1:20" x14ac:dyDescent="0.3">
      <c r="A552" s="2" t="s">
        <v>1107</v>
      </c>
      <c r="B552" s="3">
        <v>45796</v>
      </c>
      <c r="C552" s="2" t="s">
        <v>967</v>
      </c>
      <c r="D552" s="2" t="s">
        <v>968</v>
      </c>
      <c r="E552" s="2" t="s">
        <v>23</v>
      </c>
      <c r="F552" s="2">
        <v>29</v>
      </c>
      <c r="G552" s="2" t="s">
        <v>90</v>
      </c>
      <c r="H552" s="2" t="s">
        <v>91</v>
      </c>
      <c r="I552" s="2" t="s">
        <v>85</v>
      </c>
      <c r="J552" s="2" t="s">
        <v>86</v>
      </c>
      <c r="K552" s="2" t="s">
        <v>87</v>
      </c>
      <c r="L552" s="2" t="s">
        <v>88</v>
      </c>
      <c r="M552" s="2">
        <v>3</v>
      </c>
      <c r="N552" s="2">
        <v>3567.45</v>
      </c>
      <c r="O552" s="2">
        <v>2370</v>
      </c>
      <c r="P552" s="2">
        <v>15</v>
      </c>
      <c r="Q552" s="2" t="s">
        <v>73</v>
      </c>
      <c r="R552" s="2" t="s">
        <v>42</v>
      </c>
      <c r="S552" s="3">
        <v>45798</v>
      </c>
      <c r="T552" s="6">
        <v>5</v>
      </c>
    </row>
    <row r="553" spans="1:20" x14ac:dyDescent="0.3">
      <c r="A553" s="2" t="s">
        <v>1108</v>
      </c>
      <c r="B553" s="3">
        <v>45932</v>
      </c>
      <c r="C553" s="2" t="s">
        <v>517</v>
      </c>
      <c r="D553" s="2" t="s">
        <v>518</v>
      </c>
      <c r="E553" s="2" t="s">
        <v>23</v>
      </c>
      <c r="F553" s="2">
        <v>38</v>
      </c>
      <c r="G553" s="2" t="s">
        <v>154</v>
      </c>
      <c r="H553" s="2" t="s">
        <v>91</v>
      </c>
      <c r="I553" s="2" t="s">
        <v>155</v>
      </c>
      <c r="J553" s="2" t="s">
        <v>156</v>
      </c>
      <c r="K553" s="2" t="s">
        <v>114</v>
      </c>
      <c r="L553" s="2" t="s">
        <v>157</v>
      </c>
      <c r="M553" s="2">
        <v>4</v>
      </c>
      <c r="N553" s="2">
        <v>2797.2</v>
      </c>
      <c r="O553" s="2">
        <v>2440</v>
      </c>
      <c r="P553" s="2">
        <v>30</v>
      </c>
      <c r="Q553" s="2" t="s">
        <v>73</v>
      </c>
      <c r="R553" s="2" t="s">
        <v>42</v>
      </c>
      <c r="S553" s="3">
        <v>45939</v>
      </c>
      <c r="T553" s="6">
        <v>4</v>
      </c>
    </row>
    <row r="554" spans="1:20" x14ac:dyDescent="0.3">
      <c r="A554" s="2" t="s">
        <v>1109</v>
      </c>
      <c r="B554" s="3">
        <v>45303</v>
      </c>
      <c r="C554" s="2" t="s">
        <v>398</v>
      </c>
      <c r="D554" s="2" t="s">
        <v>399</v>
      </c>
      <c r="E554" s="2" t="s">
        <v>77</v>
      </c>
      <c r="F554" s="2">
        <v>49</v>
      </c>
      <c r="G554" s="2" t="s">
        <v>35</v>
      </c>
      <c r="H554" s="2" t="s">
        <v>36</v>
      </c>
      <c r="I554" s="2" t="s">
        <v>128</v>
      </c>
      <c r="J554" s="2" t="s">
        <v>129</v>
      </c>
      <c r="K554" s="2" t="s">
        <v>130</v>
      </c>
      <c r="L554" s="2" t="s">
        <v>131</v>
      </c>
      <c r="M554" s="2">
        <v>1</v>
      </c>
      <c r="N554" s="2">
        <v>5199.2</v>
      </c>
      <c r="O554" s="2">
        <v>5100</v>
      </c>
      <c r="P554" s="2">
        <v>20</v>
      </c>
      <c r="Q554" s="2" t="s">
        <v>41</v>
      </c>
      <c r="R554" s="2" t="s">
        <v>65</v>
      </c>
      <c r="S554" s="3" t="s">
        <v>1604</v>
      </c>
      <c r="T554" s="6" t="s">
        <v>1604</v>
      </c>
    </row>
    <row r="555" spans="1:20" x14ac:dyDescent="0.3">
      <c r="A555" s="2" t="s">
        <v>1110</v>
      </c>
      <c r="B555" s="3">
        <v>45855</v>
      </c>
      <c r="C555" s="2" t="s">
        <v>852</v>
      </c>
      <c r="D555" s="2" t="s">
        <v>724</v>
      </c>
      <c r="E555" s="2" t="s">
        <v>77</v>
      </c>
      <c r="F555" s="2">
        <v>39</v>
      </c>
      <c r="G555" s="2" t="s">
        <v>161</v>
      </c>
      <c r="H555" s="2" t="s">
        <v>25</v>
      </c>
      <c r="I555" s="2" t="s">
        <v>229</v>
      </c>
      <c r="J555" s="2" t="s">
        <v>230</v>
      </c>
      <c r="K555" s="2" t="s">
        <v>28</v>
      </c>
      <c r="L555" s="2" t="s">
        <v>231</v>
      </c>
      <c r="M555" s="2">
        <v>3</v>
      </c>
      <c r="N555" s="2">
        <v>4497.75</v>
      </c>
      <c r="O555" s="2">
        <v>3690</v>
      </c>
      <c r="P555" s="2">
        <v>25</v>
      </c>
      <c r="Q555" s="2" t="s">
        <v>103</v>
      </c>
      <c r="R555" s="2" t="s">
        <v>31</v>
      </c>
      <c r="S555" s="3">
        <v>45866</v>
      </c>
      <c r="T555" s="6">
        <v>2</v>
      </c>
    </row>
    <row r="556" spans="1:20" x14ac:dyDescent="0.3">
      <c r="A556" s="2" t="s">
        <v>1111</v>
      </c>
      <c r="B556" s="3">
        <v>45471</v>
      </c>
      <c r="C556" s="2" t="s">
        <v>791</v>
      </c>
      <c r="D556" s="2" t="s">
        <v>792</v>
      </c>
      <c r="E556" s="2" t="s">
        <v>23</v>
      </c>
      <c r="F556" s="2">
        <v>42</v>
      </c>
      <c r="G556" s="2" t="s">
        <v>126</v>
      </c>
      <c r="H556" s="2" t="s">
        <v>127</v>
      </c>
      <c r="I556" s="2" t="s">
        <v>183</v>
      </c>
      <c r="J556" s="2" t="s">
        <v>184</v>
      </c>
      <c r="K556" s="2" t="s">
        <v>130</v>
      </c>
      <c r="L556" s="2" t="s">
        <v>185</v>
      </c>
      <c r="M556" s="2">
        <v>4</v>
      </c>
      <c r="N556" s="2">
        <v>9597.6</v>
      </c>
      <c r="O556" s="2">
        <v>12200</v>
      </c>
      <c r="P556" s="2">
        <v>40</v>
      </c>
      <c r="Q556" s="2" t="s">
        <v>73</v>
      </c>
      <c r="R556" s="2" t="s">
        <v>31</v>
      </c>
      <c r="S556" s="3">
        <v>45475</v>
      </c>
      <c r="T556" s="6">
        <v>5</v>
      </c>
    </row>
    <row r="557" spans="1:20" x14ac:dyDescent="0.3">
      <c r="A557" s="2" t="s">
        <v>1112</v>
      </c>
      <c r="B557" s="3">
        <v>45451</v>
      </c>
      <c r="C557" s="2" t="s">
        <v>310</v>
      </c>
      <c r="D557" s="2" t="s">
        <v>311</v>
      </c>
      <c r="E557" s="2" t="s">
        <v>23</v>
      </c>
      <c r="F557" s="2">
        <v>19</v>
      </c>
      <c r="G557" s="2" t="s">
        <v>126</v>
      </c>
      <c r="H557" s="2" t="s">
        <v>127</v>
      </c>
      <c r="I557" s="2" t="s">
        <v>63</v>
      </c>
      <c r="J557" s="2" t="s">
        <v>64</v>
      </c>
      <c r="K557" s="2" t="s">
        <v>39</v>
      </c>
      <c r="L557" s="2" t="s">
        <v>40</v>
      </c>
      <c r="M557" s="2">
        <v>4</v>
      </c>
      <c r="N557" s="2">
        <v>2396</v>
      </c>
      <c r="O557" s="2">
        <v>1320</v>
      </c>
      <c r="P557" s="2">
        <v>0</v>
      </c>
      <c r="Q557" s="2" t="s">
        <v>50</v>
      </c>
      <c r="R557" s="2" t="s">
        <v>42</v>
      </c>
      <c r="S557" s="3">
        <v>45462</v>
      </c>
      <c r="T557" s="6">
        <v>4</v>
      </c>
    </row>
    <row r="558" spans="1:20" x14ac:dyDescent="0.3">
      <c r="A558" s="2" t="s">
        <v>1113</v>
      </c>
      <c r="B558" s="3">
        <v>45860</v>
      </c>
      <c r="C558" s="2" t="s">
        <v>523</v>
      </c>
      <c r="D558" s="2" t="s">
        <v>524</v>
      </c>
      <c r="E558" s="2" t="s">
        <v>77</v>
      </c>
      <c r="F558" s="2">
        <v>49</v>
      </c>
      <c r="G558" s="2" t="s">
        <v>161</v>
      </c>
      <c r="H558" s="2" t="s">
        <v>25</v>
      </c>
      <c r="I558" s="2" t="s">
        <v>70</v>
      </c>
      <c r="J558" s="2" t="s">
        <v>71</v>
      </c>
      <c r="K558" s="2" t="s">
        <v>28</v>
      </c>
      <c r="L558" s="2" t="s">
        <v>72</v>
      </c>
      <c r="M558" s="2">
        <v>5</v>
      </c>
      <c r="N558" s="2">
        <v>5621.25</v>
      </c>
      <c r="O558" s="2">
        <v>4600</v>
      </c>
      <c r="P558" s="2">
        <v>25</v>
      </c>
      <c r="Q558" s="2" t="s">
        <v>41</v>
      </c>
      <c r="R558" s="2" t="s">
        <v>42</v>
      </c>
      <c r="S558" s="3">
        <v>45864</v>
      </c>
      <c r="T558" s="6">
        <v>4</v>
      </c>
    </row>
    <row r="559" spans="1:20" x14ac:dyDescent="0.3">
      <c r="A559" s="2" t="s">
        <v>1114</v>
      </c>
      <c r="B559" s="3">
        <v>45323</v>
      </c>
      <c r="C559" s="2" t="s">
        <v>345</v>
      </c>
      <c r="D559" s="2" t="s">
        <v>346</v>
      </c>
      <c r="E559" s="2" t="s">
        <v>23</v>
      </c>
      <c r="F559" s="2">
        <v>18</v>
      </c>
      <c r="G559" s="2" t="s">
        <v>165</v>
      </c>
      <c r="H559" s="2" t="s">
        <v>166</v>
      </c>
      <c r="I559" s="2" t="s">
        <v>92</v>
      </c>
      <c r="J559" s="2" t="s">
        <v>93</v>
      </c>
      <c r="K559" s="2" t="s">
        <v>87</v>
      </c>
      <c r="L559" s="2" t="s">
        <v>94</v>
      </c>
      <c r="M559" s="2">
        <v>5</v>
      </c>
      <c r="N559" s="2">
        <v>7195.5</v>
      </c>
      <c r="O559" s="2">
        <v>4650</v>
      </c>
      <c r="P559" s="2">
        <v>10</v>
      </c>
      <c r="Q559" s="2" t="s">
        <v>50</v>
      </c>
      <c r="R559" s="2" t="s">
        <v>65</v>
      </c>
      <c r="S559" s="3" t="s">
        <v>1604</v>
      </c>
      <c r="T559" s="6" t="s">
        <v>1604</v>
      </c>
    </row>
    <row r="560" spans="1:20" x14ac:dyDescent="0.3">
      <c r="A560" s="2" t="s">
        <v>1115</v>
      </c>
      <c r="B560" s="3">
        <v>45690</v>
      </c>
      <c r="C560" s="2" t="s">
        <v>390</v>
      </c>
      <c r="D560" s="2" t="s">
        <v>391</v>
      </c>
      <c r="E560" s="2" t="s">
        <v>23</v>
      </c>
      <c r="F560" s="2">
        <v>52</v>
      </c>
      <c r="G560" s="2" t="s">
        <v>69</v>
      </c>
      <c r="H560" s="2" t="s">
        <v>69</v>
      </c>
      <c r="I560" s="2" t="s">
        <v>143</v>
      </c>
      <c r="J560" s="2" t="s">
        <v>144</v>
      </c>
      <c r="K560" s="2" t="s">
        <v>130</v>
      </c>
      <c r="L560" s="2" t="s">
        <v>131</v>
      </c>
      <c r="M560" s="2">
        <v>3</v>
      </c>
      <c r="N560" s="2">
        <v>16497</v>
      </c>
      <c r="O560" s="2">
        <v>12900</v>
      </c>
      <c r="P560" s="2">
        <v>0</v>
      </c>
      <c r="Q560" s="2" t="s">
        <v>41</v>
      </c>
      <c r="R560" s="2" t="s">
        <v>42</v>
      </c>
      <c r="S560" s="3">
        <v>45693</v>
      </c>
      <c r="T560" s="6">
        <v>5</v>
      </c>
    </row>
    <row r="561" spans="1:20" x14ac:dyDescent="0.3">
      <c r="A561" s="2" t="s">
        <v>1116</v>
      </c>
      <c r="B561" s="3">
        <v>45535</v>
      </c>
      <c r="C561" s="2" t="s">
        <v>669</v>
      </c>
      <c r="D561" s="2" t="s">
        <v>509</v>
      </c>
      <c r="E561" s="2" t="s">
        <v>77</v>
      </c>
      <c r="F561" s="2">
        <v>28</v>
      </c>
      <c r="G561" s="2" t="s">
        <v>61</v>
      </c>
      <c r="H561" s="2" t="s">
        <v>62</v>
      </c>
      <c r="I561" s="2" t="s">
        <v>143</v>
      </c>
      <c r="J561" s="2" t="s">
        <v>144</v>
      </c>
      <c r="K561" s="2" t="s">
        <v>130</v>
      </c>
      <c r="L561" s="2" t="s">
        <v>131</v>
      </c>
      <c r="M561" s="2">
        <v>2</v>
      </c>
      <c r="N561" s="2">
        <v>8798.4</v>
      </c>
      <c r="O561" s="2">
        <v>8600</v>
      </c>
      <c r="P561" s="2">
        <v>20</v>
      </c>
      <c r="Q561" s="2" t="s">
        <v>30</v>
      </c>
      <c r="R561" s="2" t="s">
        <v>42</v>
      </c>
      <c r="S561" s="3">
        <v>45542</v>
      </c>
      <c r="T561" s="6">
        <v>2</v>
      </c>
    </row>
    <row r="562" spans="1:20" x14ac:dyDescent="0.3">
      <c r="A562" s="2" t="s">
        <v>1117</v>
      </c>
      <c r="B562" s="3">
        <v>45498</v>
      </c>
      <c r="C562" s="2" t="s">
        <v>926</v>
      </c>
      <c r="D562" s="2" t="s">
        <v>927</v>
      </c>
      <c r="E562" s="2" t="s">
        <v>23</v>
      </c>
      <c r="F562" s="2">
        <v>42</v>
      </c>
      <c r="G562" s="2" t="s">
        <v>61</v>
      </c>
      <c r="H562" s="2" t="s">
        <v>62</v>
      </c>
      <c r="I562" s="2" t="s">
        <v>112</v>
      </c>
      <c r="J562" s="2" t="s">
        <v>113</v>
      </c>
      <c r="K562" s="2" t="s">
        <v>114</v>
      </c>
      <c r="L562" s="2" t="s">
        <v>115</v>
      </c>
      <c r="M562" s="2">
        <v>1</v>
      </c>
      <c r="N562" s="2">
        <v>419.4</v>
      </c>
      <c r="O562" s="2">
        <v>370</v>
      </c>
      <c r="P562" s="2">
        <v>40</v>
      </c>
      <c r="Q562" s="2" t="s">
        <v>50</v>
      </c>
      <c r="R562" s="2" t="s">
        <v>42</v>
      </c>
      <c r="S562" s="3">
        <v>45503</v>
      </c>
      <c r="T562" s="6">
        <v>4</v>
      </c>
    </row>
    <row r="563" spans="1:20" x14ac:dyDescent="0.3">
      <c r="A563" s="2" t="s">
        <v>1118</v>
      </c>
      <c r="B563" s="3">
        <v>45787</v>
      </c>
      <c r="C563" s="2" t="s">
        <v>1051</v>
      </c>
      <c r="D563" s="2" t="s">
        <v>1052</v>
      </c>
      <c r="E563" s="2" t="s">
        <v>77</v>
      </c>
      <c r="F563" s="2">
        <v>47</v>
      </c>
      <c r="G563" s="2" t="s">
        <v>35</v>
      </c>
      <c r="H563" s="2" t="s">
        <v>36</v>
      </c>
      <c r="I563" s="2" t="s">
        <v>183</v>
      </c>
      <c r="J563" s="2" t="s">
        <v>184</v>
      </c>
      <c r="K563" s="2" t="s">
        <v>130</v>
      </c>
      <c r="L563" s="2" t="s">
        <v>185</v>
      </c>
      <c r="M563" s="2">
        <v>2</v>
      </c>
      <c r="N563" s="2">
        <v>7598.1</v>
      </c>
      <c r="O563" s="2">
        <v>6100</v>
      </c>
      <c r="P563" s="2">
        <v>5</v>
      </c>
      <c r="Q563" s="2" t="s">
        <v>50</v>
      </c>
      <c r="R563" s="2" t="s">
        <v>31</v>
      </c>
      <c r="S563" s="3">
        <v>45791</v>
      </c>
      <c r="T563" s="6">
        <v>4</v>
      </c>
    </row>
    <row r="564" spans="1:20" x14ac:dyDescent="0.3">
      <c r="A564" s="2" t="s">
        <v>1119</v>
      </c>
      <c r="B564" s="3">
        <v>45329</v>
      </c>
      <c r="C564" s="2" t="s">
        <v>310</v>
      </c>
      <c r="D564" s="2" t="s">
        <v>311</v>
      </c>
      <c r="E564" s="2" t="s">
        <v>23</v>
      </c>
      <c r="F564" s="2">
        <v>19</v>
      </c>
      <c r="G564" s="2" t="s">
        <v>165</v>
      </c>
      <c r="H564" s="2" t="s">
        <v>166</v>
      </c>
      <c r="I564" s="2" t="s">
        <v>85</v>
      </c>
      <c r="J564" s="2" t="s">
        <v>86</v>
      </c>
      <c r="K564" s="2" t="s">
        <v>87</v>
      </c>
      <c r="L564" s="2" t="s">
        <v>88</v>
      </c>
      <c r="M564" s="2">
        <v>5</v>
      </c>
      <c r="N564" s="2">
        <v>6645.25</v>
      </c>
      <c r="O564" s="2">
        <v>3950</v>
      </c>
      <c r="P564" s="2">
        <v>5</v>
      </c>
      <c r="Q564" s="2" t="s">
        <v>73</v>
      </c>
      <c r="R564" s="2" t="s">
        <v>42</v>
      </c>
      <c r="S564" s="3">
        <v>45331</v>
      </c>
      <c r="T564" s="6">
        <v>3</v>
      </c>
    </row>
    <row r="565" spans="1:20" x14ac:dyDescent="0.3">
      <c r="A565" s="2" t="s">
        <v>1120</v>
      </c>
      <c r="B565" s="3">
        <v>45633</v>
      </c>
      <c r="C565" s="2" t="s">
        <v>1121</v>
      </c>
      <c r="D565" s="2" t="s">
        <v>1122</v>
      </c>
      <c r="E565" s="2" t="s">
        <v>77</v>
      </c>
      <c r="F565" s="2">
        <v>47</v>
      </c>
      <c r="G565" s="2" t="s">
        <v>24</v>
      </c>
      <c r="H565" s="2" t="s">
        <v>25</v>
      </c>
      <c r="I565" s="2" t="s">
        <v>229</v>
      </c>
      <c r="J565" s="2" t="s">
        <v>230</v>
      </c>
      <c r="K565" s="2" t="s">
        <v>28</v>
      </c>
      <c r="L565" s="2" t="s">
        <v>231</v>
      </c>
      <c r="M565" s="2">
        <v>5</v>
      </c>
      <c r="N565" s="2">
        <v>7996</v>
      </c>
      <c r="O565" s="2">
        <v>6150</v>
      </c>
      <c r="P565" s="2">
        <v>20</v>
      </c>
      <c r="Q565" s="2" t="s">
        <v>73</v>
      </c>
      <c r="R565" s="2" t="s">
        <v>65</v>
      </c>
      <c r="S565" s="3" t="s">
        <v>1604</v>
      </c>
      <c r="T565" s="6" t="s">
        <v>1604</v>
      </c>
    </row>
    <row r="566" spans="1:20" x14ac:dyDescent="0.3">
      <c r="A566" s="2" t="s">
        <v>1123</v>
      </c>
      <c r="B566" s="3">
        <v>45611</v>
      </c>
      <c r="C566" s="2" t="s">
        <v>849</v>
      </c>
      <c r="D566" s="2" t="s">
        <v>850</v>
      </c>
      <c r="E566" s="2" t="s">
        <v>23</v>
      </c>
      <c r="F566" s="2">
        <v>21</v>
      </c>
      <c r="G566" s="2" t="s">
        <v>126</v>
      </c>
      <c r="H566" s="2" t="s">
        <v>127</v>
      </c>
      <c r="I566" s="2" t="s">
        <v>70</v>
      </c>
      <c r="J566" s="2" t="s">
        <v>71</v>
      </c>
      <c r="K566" s="2" t="s">
        <v>28</v>
      </c>
      <c r="L566" s="2" t="s">
        <v>72</v>
      </c>
      <c r="M566" s="2">
        <v>2</v>
      </c>
      <c r="N566" s="2">
        <v>2398.4</v>
      </c>
      <c r="O566" s="2">
        <v>1840</v>
      </c>
      <c r="P566" s="2">
        <v>20</v>
      </c>
      <c r="Q566" s="2" t="s">
        <v>41</v>
      </c>
      <c r="R566" s="2" t="s">
        <v>65</v>
      </c>
      <c r="S566" s="3" t="s">
        <v>1604</v>
      </c>
      <c r="T566" s="6" t="s">
        <v>1604</v>
      </c>
    </row>
    <row r="567" spans="1:20" x14ac:dyDescent="0.3">
      <c r="A567" s="2" t="s">
        <v>1124</v>
      </c>
      <c r="B567" s="3">
        <v>45618</v>
      </c>
      <c r="C567" s="2" t="s">
        <v>217</v>
      </c>
      <c r="D567" s="2" t="s">
        <v>218</v>
      </c>
      <c r="E567" s="2" t="s">
        <v>77</v>
      </c>
      <c r="F567" s="2">
        <v>18</v>
      </c>
      <c r="G567" s="2" t="s">
        <v>69</v>
      </c>
      <c r="H567" s="2" t="s">
        <v>69</v>
      </c>
      <c r="I567" s="2" t="s">
        <v>128</v>
      </c>
      <c r="J567" s="2" t="s">
        <v>129</v>
      </c>
      <c r="K567" s="2" t="s">
        <v>130</v>
      </c>
      <c r="L567" s="2" t="s">
        <v>131</v>
      </c>
      <c r="M567" s="2">
        <v>2</v>
      </c>
      <c r="N567" s="2">
        <v>11698.2</v>
      </c>
      <c r="O567" s="2">
        <v>10200</v>
      </c>
      <c r="P567" s="2">
        <v>10</v>
      </c>
      <c r="Q567" s="2" t="s">
        <v>41</v>
      </c>
      <c r="R567" s="2" t="s">
        <v>42</v>
      </c>
      <c r="S567" s="3">
        <v>45620</v>
      </c>
      <c r="T567" s="6">
        <v>3</v>
      </c>
    </row>
    <row r="568" spans="1:20" x14ac:dyDescent="0.3">
      <c r="A568" s="2" t="s">
        <v>1125</v>
      </c>
      <c r="B568" s="3">
        <v>45503</v>
      </c>
      <c r="C568" s="2" t="s">
        <v>133</v>
      </c>
      <c r="D568" s="2" t="s">
        <v>857</v>
      </c>
      <c r="E568" s="2" t="s">
        <v>77</v>
      </c>
      <c r="F568" s="2">
        <v>56</v>
      </c>
      <c r="G568" s="2" t="s">
        <v>211</v>
      </c>
      <c r="H568" s="2" t="s">
        <v>127</v>
      </c>
      <c r="I568" s="2" t="s">
        <v>222</v>
      </c>
      <c r="J568" s="2" t="s">
        <v>223</v>
      </c>
      <c r="K568" s="2" t="s">
        <v>114</v>
      </c>
      <c r="L568" s="2" t="s">
        <v>115</v>
      </c>
      <c r="M568" s="2">
        <v>3</v>
      </c>
      <c r="N568" s="2">
        <v>2157.6</v>
      </c>
      <c r="O568" s="2">
        <v>1530</v>
      </c>
      <c r="P568" s="2">
        <v>20</v>
      </c>
      <c r="Q568" s="2" t="s">
        <v>30</v>
      </c>
      <c r="R568" s="2" t="s">
        <v>31</v>
      </c>
      <c r="S568" s="3">
        <v>45509</v>
      </c>
      <c r="T568" s="6">
        <v>4</v>
      </c>
    </row>
    <row r="569" spans="1:20" x14ac:dyDescent="0.3">
      <c r="A569" s="2" t="s">
        <v>1126</v>
      </c>
      <c r="B569" s="3">
        <v>45467</v>
      </c>
      <c r="C569" s="2" t="s">
        <v>657</v>
      </c>
      <c r="D569" s="2" t="s">
        <v>658</v>
      </c>
      <c r="E569" s="2" t="s">
        <v>23</v>
      </c>
      <c r="F569" s="2">
        <v>31</v>
      </c>
      <c r="G569" s="2" t="s">
        <v>35</v>
      </c>
      <c r="H569" s="2" t="s">
        <v>36</v>
      </c>
      <c r="I569" s="2" t="s">
        <v>155</v>
      </c>
      <c r="J569" s="2" t="s">
        <v>156</v>
      </c>
      <c r="K569" s="2" t="s">
        <v>114</v>
      </c>
      <c r="L569" s="2" t="s">
        <v>157</v>
      </c>
      <c r="M569" s="2">
        <v>3</v>
      </c>
      <c r="N569" s="2">
        <v>1798.2</v>
      </c>
      <c r="O569" s="2">
        <v>1830</v>
      </c>
      <c r="P569" s="2">
        <v>40</v>
      </c>
      <c r="Q569" s="2" t="s">
        <v>73</v>
      </c>
      <c r="R569" s="2" t="s">
        <v>42</v>
      </c>
      <c r="S569" s="3">
        <v>45469</v>
      </c>
      <c r="T569" s="6">
        <v>5</v>
      </c>
    </row>
    <row r="570" spans="1:20" x14ac:dyDescent="0.3">
      <c r="A570" s="2" t="s">
        <v>1127</v>
      </c>
      <c r="B570" s="3">
        <v>45983</v>
      </c>
      <c r="C570" s="2" t="s">
        <v>818</v>
      </c>
      <c r="D570" s="2" t="s">
        <v>819</v>
      </c>
      <c r="E570" s="2" t="s">
        <v>23</v>
      </c>
      <c r="F570" s="2">
        <v>40</v>
      </c>
      <c r="G570" s="2" t="s">
        <v>69</v>
      </c>
      <c r="H570" s="2" t="s">
        <v>69</v>
      </c>
      <c r="I570" s="2" t="s">
        <v>47</v>
      </c>
      <c r="J570" s="2" t="s">
        <v>48</v>
      </c>
      <c r="K570" s="2" t="s">
        <v>39</v>
      </c>
      <c r="L570" s="2" t="s">
        <v>49</v>
      </c>
      <c r="M570" s="2">
        <v>1</v>
      </c>
      <c r="N570" s="2">
        <v>379.05</v>
      </c>
      <c r="O570" s="2">
        <v>210</v>
      </c>
      <c r="P570" s="2">
        <v>5</v>
      </c>
      <c r="Q570" s="2" t="s">
        <v>103</v>
      </c>
      <c r="R570" s="2" t="s">
        <v>42</v>
      </c>
      <c r="S570" s="3">
        <v>45987</v>
      </c>
      <c r="T570" s="6">
        <v>5</v>
      </c>
    </row>
    <row r="571" spans="1:20" x14ac:dyDescent="0.3">
      <c r="A571" s="2" t="s">
        <v>1128</v>
      </c>
      <c r="B571" s="3">
        <v>45923</v>
      </c>
      <c r="C571" s="2" t="s">
        <v>893</v>
      </c>
      <c r="D571" s="2" t="s">
        <v>894</v>
      </c>
      <c r="E571" s="2" t="s">
        <v>77</v>
      </c>
      <c r="F571" s="2">
        <v>42</v>
      </c>
      <c r="G571" s="2" t="s">
        <v>35</v>
      </c>
      <c r="H571" s="2" t="s">
        <v>36</v>
      </c>
      <c r="I571" s="2" t="s">
        <v>183</v>
      </c>
      <c r="J571" s="2" t="s">
        <v>184</v>
      </c>
      <c r="K571" s="2" t="s">
        <v>130</v>
      </c>
      <c r="L571" s="2" t="s">
        <v>185</v>
      </c>
      <c r="M571" s="2">
        <v>2</v>
      </c>
      <c r="N571" s="2">
        <v>7598.1</v>
      </c>
      <c r="O571" s="2">
        <v>6100</v>
      </c>
      <c r="P571" s="2">
        <v>5</v>
      </c>
      <c r="Q571" s="2" t="s">
        <v>103</v>
      </c>
      <c r="R571" s="2" t="s">
        <v>65</v>
      </c>
      <c r="S571" s="3" t="s">
        <v>1604</v>
      </c>
      <c r="T571" s="6" t="s">
        <v>1604</v>
      </c>
    </row>
    <row r="572" spans="1:20" x14ac:dyDescent="0.3">
      <c r="A572" s="2" t="s">
        <v>1129</v>
      </c>
      <c r="B572" s="3">
        <v>45426</v>
      </c>
      <c r="C572" s="2" t="s">
        <v>926</v>
      </c>
      <c r="D572" s="2" t="s">
        <v>927</v>
      </c>
      <c r="E572" s="2" t="s">
        <v>23</v>
      </c>
      <c r="F572" s="2">
        <v>42</v>
      </c>
      <c r="G572" s="2" t="s">
        <v>61</v>
      </c>
      <c r="H572" s="2" t="s">
        <v>62</v>
      </c>
      <c r="I572" s="2" t="s">
        <v>229</v>
      </c>
      <c r="J572" s="2" t="s">
        <v>230</v>
      </c>
      <c r="K572" s="2" t="s">
        <v>28</v>
      </c>
      <c r="L572" s="2" t="s">
        <v>231</v>
      </c>
      <c r="M572" s="2">
        <v>4</v>
      </c>
      <c r="N572" s="2">
        <v>6396.8</v>
      </c>
      <c r="O572" s="2">
        <v>4920</v>
      </c>
      <c r="P572" s="2">
        <v>20</v>
      </c>
      <c r="Q572" s="2" t="s">
        <v>103</v>
      </c>
      <c r="R572" s="2" t="s">
        <v>42</v>
      </c>
      <c r="S572" s="3">
        <v>45431</v>
      </c>
      <c r="T572" s="6">
        <v>4</v>
      </c>
    </row>
    <row r="573" spans="1:20" x14ac:dyDescent="0.3">
      <c r="A573" s="2" t="s">
        <v>1130</v>
      </c>
      <c r="B573" s="3">
        <v>45439</v>
      </c>
      <c r="C573" s="2" t="s">
        <v>1106</v>
      </c>
      <c r="D573" s="2" t="s">
        <v>953</v>
      </c>
      <c r="E573" s="2" t="s">
        <v>23</v>
      </c>
      <c r="F573" s="2">
        <v>25</v>
      </c>
      <c r="G573" s="2" t="s">
        <v>211</v>
      </c>
      <c r="H573" s="2" t="s">
        <v>127</v>
      </c>
      <c r="I573" s="2" t="s">
        <v>47</v>
      </c>
      <c r="J573" s="2" t="s">
        <v>48</v>
      </c>
      <c r="K573" s="2" t="s">
        <v>39</v>
      </c>
      <c r="L573" s="2" t="s">
        <v>49</v>
      </c>
      <c r="M573" s="2">
        <v>2</v>
      </c>
      <c r="N573" s="2">
        <v>598.5</v>
      </c>
      <c r="O573" s="2">
        <v>420</v>
      </c>
      <c r="P573" s="2">
        <v>25</v>
      </c>
      <c r="Q573" s="2" t="s">
        <v>41</v>
      </c>
      <c r="R573" s="2" t="s">
        <v>42</v>
      </c>
      <c r="S573" s="3">
        <v>45448</v>
      </c>
      <c r="T573" s="6">
        <v>2</v>
      </c>
    </row>
    <row r="574" spans="1:20" x14ac:dyDescent="0.3">
      <c r="A574" s="2" t="s">
        <v>1131</v>
      </c>
      <c r="B574" s="3">
        <v>45358</v>
      </c>
      <c r="C574" s="2" t="s">
        <v>340</v>
      </c>
      <c r="D574" s="2" t="s">
        <v>341</v>
      </c>
      <c r="E574" s="2" t="s">
        <v>23</v>
      </c>
      <c r="F574" s="2">
        <v>21</v>
      </c>
      <c r="G574" s="2" t="s">
        <v>69</v>
      </c>
      <c r="H574" s="2" t="s">
        <v>69</v>
      </c>
      <c r="I574" s="2" t="s">
        <v>245</v>
      </c>
      <c r="J574" s="2" t="s">
        <v>246</v>
      </c>
      <c r="K574" s="2" t="s">
        <v>130</v>
      </c>
      <c r="L574" s="2" t="s">
        <v>247</v>
      </c>
      <c r="M574" s="2">
        <v>4</v>
      </c>
      <c r="N574" s="2">
        <v>5997.6</v>
      </c>
      <c r="O574" s="2">
        <v>7480</v>
      </c>
      <c r="P574" s="2">
        <v>40</v>
      </c>
      <c r="Q574" s="2" t="s">
        <v>30</v>
      </c>
      <c r="R574" s="2" t="s">
        <v>42</v>
      </c>
      <c r="S574" s="3">
        <v>45365</v>
      </c>
      <c r="T574" s="6">
        <v>3</v>
      </c>
    </row>
    <row r="575" spans="1:20" x14ac:dyDescent="0.3">
      <c r="A575" s="2" t="s">
        <v>1132</v>
      </c>
      <c r="B575" s="3">
        <v>45812</v>
      </c>
      <c r="C575" s="2" t="s">
        <v>650</v>
      </c>
      <c r="D575" s="2" t="s">
        <v>638</v>
      </c>
      <c r="E575" s="2" t="s">
        <v>77</v>
      </c>
      <c r="F575" s="2">
        <v>25</v>
      </c>
      <c r="G575" s="2" t="s">
        <v>165</v>
      </c>
      <c r="H575" s="2" t="s">
        <v>166</v>
      </c>
      <c r="I575" s="2" t="s">
        <v>85</v>
      </c>
      <c r="J575" s="2" t="s">
        <v>86</v>
      </c>
      <c r="K575" s="2" t="s">
        <v>87</v>
      </c>
      <c r="L575" s="2" t="s">
        <v>88</v>
      </c>
      <c r="M575" s="2">
        <v>1</v>
      </c>
      <c r="N575" s="2">
        <v>1049.25</v>
      </c>
      <c r="O575" s="2">
        <v>790</v>
      </c>
      <c r="P575" s="2">
        <v>25</v>
      </c>
      <c r="Q575" s="2" t="s">
        <v>50</v>
      </c>
      <c r="R575" s="2" t="s">
        <v>31</v>
      </c>
      <c r="S575" s="3">
        <v>45815</v>
      </c>
      <c r="T575" s="6">
        <v>4</v>
      </c>
    </row>
    <row r="576" spans="1:20" x14ac:dyDescent="0.3">
      <c r="A576" s="2" t="s">
        <v>1133</v>
      </c>
      <c r="B576" s="3">
        <v>45837</v>
      </c>
      <c r="C576" s="2" t="s">
        <v>146</v>
      </c>
      <c r="D576" s="2" t="s">
        <v>147</v>
      </c>
      <c r="E576" s="2" t="s">
        <v>23</v>
      </c>
      <c r="F576" s="2">
        <v>45</v>
      </c>
      <c r="G576" s="2" t="s">
        <v>165</v>
      </c>
      <c r="H576" s="2" t="s">
        <v>166</v>
      </c>
      <c r="I576" s="2" t="s">
        <v>198</v>
      </c>
      <c r="J576" s="2" t="s">
        <v>199</v>
      </c>
      <c r="K576" s="2" t="s">
        <v>114</v>
      </c>
      <c r="L576" s="2" t="s">
        <v>200</v>
      </c>
      <c r="M576" s="2">
        <v>4</v>
      </c>
      <c r="N576" s="2">
        <v>4416.6000000000004</v>
      </c>
      <c r="O576" s="2">
        <v>3040</v>
      </c>
      <c r="P576" s="2">
        <v>15</v>
      </c>
      <c r="Q576" s="2" t="s">
        <v>50</v>
      </c>
      <c r="R576" s="2" t="s">
        <v>42</v>
      </c>
      <c r="S576" s="3">
        <v>45847</v>
      </c>
      <c r="T576" s="6">
        <v>3</v>
      </c>
    </row>
    <row r="577" spans="1:20" x14ac:dyDescent="0.3">
      <c r="A577" s="2" t="s">
        <v>1134</v>
      </c>
      <c r="B577" s="3">
        <v>45785</v>
      </c>
      <c r="C577" s="2" t="s">
        <v>152</v>
      </c>
      <c r="D577" s="2" t="s">
        <v>153</v>
      </c>
      <c r="E577" s="2" t="s">
        <v>23</v>
      </c>
      <c r="F577" s="2">
        <v>33</v>
      </c>
      <c r="G577" s="2" t="s">
        <v>46</v>
      </c>
      <c r="H577" s="2" t="s">
        <v>25</v>
      </c>
      <c r="I577" s="2" t="s">
        <v>183</v>
      </c>
      <c r="J577" s="2" t="s">
        <v>184</v>
      </c>
      <c r="K577" s="2" t="s">
        <v>130</v>
      </c>
      <c r="L577" s="2" t="s">
        <v>185</v>
      </c>
      <c r="M577" s="2">
        <v>2</v>
      </c>
      <c r="N577" s="2">
        <v>5598.6</v>
      </c>
      <c r="O577" s="2">
        <v>6100</v>
      </c>
      <c r="P577" s="2">
        <v>30</v>
      </c>
      <c r="Q577" s="2" t="s">
        <v>103</v>
      </c>
      <c r="R577" s="2" t="s">
        <v>65</v>
      </c>
      <c r="S577" s="3" t="s">
        <v>1604</v>
      </c>
      <c r="T577" s="6" t="s">
        <v>1604</v>
      </c>
    </row>
    <row r="578" spans="1:20" x14ac:dyDescent="0.3">
      <c r="A578" s="2" t="s">
        <v>1135</v>
      </c>
      <c r="B578" s="3">
        <v>45642</v>
      </c>
      <c r="C578" s="2" t="s">
        <v>401</v>
      </c>
      <c r="D578" s="2" t="s">
        <v>402</v>
      </c>
      <c r="E578" s="2" t="s">
        <v>23</v>
      </c>
      <c r="F578" s="2">
        <v>53</v>
      </c>
      <c r="G578" s="2" t="s">
        <v>90</v>
      </c>
      <c r="H578" s="2" t="s">
        <v>91</v>
      </c>
      <c r="I578" s="2" t="s">
        <v>319</v>
      </c>
      <c r="J578" s="2" t="s">
        <v>320</v>
      </c>
      <c r="K578" s="2" t="s">
        <v>28</v>
      </c>
      <c r="L578" s="2" t="s">
        <v>29</v>
      </c>
      <c r="M578" s="2">
        <v>1</v>
      </c>
      <c r="N578" s="2">
        <v>719.4</v>
      </c>
      <c r="O578" s="2">
        <v>710</v>
      </c>
      <c r="P578" s="2">
        <v>40</v>
      </c>
      <c r="Q578" s="2" t="s">
        <v>73</v>
      </c>
      <c r="R578" s="2" t="s">
        <v>65</v>
      </c>
      <c r="S578" s="3" t="s">
        <v>1604</v>
      </c>
      <c r="T578" s="6" t="s">
        <v>1604</v>
      </c>
    </row>
    <row r="579" spans="1:20" x14ac:dyDescent="0.3">
      <c r="A579" s="2" t="s">
        <v>1136</v>
      </c>
      <c r="B579" s="3">
        <v>45902</v>
      </c>
      <c r="C579" s="2" t="s">
        <v>1137</v>
      </c>
      <c r="D579" s="2" t="s">
        <v>1018</v>
      </c>
      <c r="E579" s="2" t="s">
        <v>23</v>
      </c>
      <c r="F579" s="2">
        <v>29</v>
      </c>
      <c r="G579" s="2" t="s">
        <v>126</v>
      </c>
      <c r="H579" s="2" t="s">
        <v>127</v>
      </c>
      <c r="I579" s="2" t="s">
        <v>222</v>
      </c>
      <c r="J579" s="2" t="s">
        <v>223</v>
      </c>
      <c r="K579" s="2" t="s">
        <v>114</v>
      </c>
      <c r="L579" s="2" t="s">
        <v>115</v>
      </c>
      <c r="M579" s="2">
        <v>1</v>
      </c>
      <c r="N579" s="2">
        <v>539.4</v>
      </c>
      <c r="O579" s="2">
        <v>510</v>
      </c>
      <c r="P579" s="2">
        <v>40</v>
      </c>
      <c r="Q579" s="2" t="s">
        <v>30</v>
      </c>
      <c r="R579" s="2" t="s">
        <v>42</v>
      </c>
      <c r="S579" s="3">
        <v>45910</v>
      </c>
      <c r="T579" s="6">
        <v>3</v>
      </c>
    </row>
    <row r="580" spans="1:20" x14ac:dyDescent="0.3">
      <c r="A580" s="2" t="s">
        <v>1138</v>
      </c>
      <c r="B580" s="3">
        <v>45904</v>
      </c>
      <c r="C580" s="2" t="s">
        <v>1103</v>
      </c>
      <c r="D580" s="2" t="s">
        <v>1104</v>
      </c>
      <c r="E580" s="2" t="s">
        <v>77</v>
      </c>
      <c r="F580" s="2">
        <v>50</v>
      </c>
      <c r="G580" s="2" t="s">
        <v>165</v>
      </c>
      <c r="H580" s="2" t="s">
        <v>166</v>
      </c>
      <c r="I580" s="2" t="s">
        <v>183</v>
      </c>
      <c r="J580" s="2" t="s">
        <v>184</v>
      </c>
      <c r="K580" s="2" t="s">
        <v>130</v>
      </c>
      <c r="L580" s="2" t="s">
        <v>185</v>
      </c>
      <c r="M580" s="2">
        <v>4</v>
      </c>
      <c r="N580" s="2">
        <v>15996</v>
      </c>
      <c r="O580" s="2">
        <v>12200</v>
      </c>
      <c r="P580" s="2">
        <v>0</v>
      </c>
      <c r="Q580" s="2" t="s">
        <v>73</v>
      </c>
      <c r="R580" s="2" t="s">
        <v>42</v>
      </c>
      <c r="S580" s="3">
        <v>45908</v>
      </c>
      <c r="T580" s="6">
        <v>2</v>
      </c>
    </row>
    <row r="581" spans="1:20" x14ac:dyDescent="0.3">
      <c r="A581" s="2" t="s">
        <v>1139</v>
      </c>
      <c r="B581" s="3">
        <v>45442</v>
      </c>
      <c r="C581" s="2" t="s">
        <v>52</v>
      </c>
      <c r="D581" s="2" t="s">
        <v>53</v>
      </c>
      <c r="E581" s="2" t="s">
        <v>23</v>
      </c>
      <c r="F581" s="2">
        <v>18</v>
      </c>
      <c r="G581" s="2" t="s">
        <v>61</v>
      </c>
      <c r="H581" s="2" t="s">
        <v>62</v>
      </c>
      <c r="I581" s="2" t="s">
        <v>222</v>
      </c>
      <c r="J581" s="2" t="s">
        <v>223</v>
      </c>
      <c r="K581" s="2" t="s">
        <v>114</v>
      </c>
      <c r="L581" s="2" t="s">
        <v>115</v>
      </c>
      <c r="M581" s="2">
        <v>3</v>
      </c>
      <c r="N581" s="2">
        <v>1887.9</v>
      </c>
      <c r="O581" s="2">
        <v>1530</v>
      </c>
      <c r="P581" s="2">
        <v>30</v>
      </c>
      <c r="Q581" s="2" t="s">
        <v>50</v>
      </c>
      <c r="R581" s="2" t="s">
        <v>65</v>
      </c>
      <c r="S581" s="3" t="s">
        <v>1604</v>
      </c>
      <c r="T581" s="6" t="s">
        <v>1604</v>
      </c>
    </row>
    <row r="582" spans="1:20" x14ac:dyDescent="0.3">
      <c r="A582" s="2" t="s">
        <v>1140</v>
      </c>
      <c r="B582" s="3">
        <v>45749</v>
      </c>
      <c r="C582" s="2" t="s">
        <v>970</v>
      </c>
      <c r="D582" s="2" t="s">
        <v>385</v>
      </c>
      <c r="E582" s="2" t="s">
        <v>23</v>
      </c>
      <c r="F582" s="2">
        <v>34</v>
      </c>
      <c r="G582" s="2" t="s">
        <v>154</v>
      </c>
      <c r="H582" s="2" t="s">
        <v>91</v>
      </c>
      <c r="I582" s="2" t="s">
        <v>107</v>
      </c>
      <c r="J582" s="2" t="s">
        <v>108</v>
      </c>
      <c r="K582" s="2" t="s">
        <v>87</v>
      </c>
      <c r="L582" s="2" t="s">
        <v>88</v>
      </c>
      <c r="M582" s="2">
        <v>3</v>
      </c>
      <c r="N582" s="2">
        <v>1917.6</v>
      </c>
      <c r="O582" s="2">
        <v>1260</v>
      </c>
      <c r="P582" s="2">
        <v>20</v>
      </c>
      <c r="Q582" s="2" t="s">
        <v>50</v>
      </c>
      <c r="R582" s="2" t="s">
        <v>57</v>
      </c>
      <c r="S582" s="3">
        <v>45761</v>
      </c>
      <c r="T582" s="6">
        <v>4</v>
      </c>
    </row>
    <row r="583" spans="1:20" x14ac:dyDescent="0.3">
      <c r="A583" s="2" t="s">
        <v>1141</v>
      </c>
      <c r="B583" s="3">
        <v>45737</v>
      </c>
      <c r="C583" s="2" t="s">
        <v>1142</v>
      </c>
      <c r="D583" s="2" t="s">
        <v>1143</v>
      </c>
      <c r="E583" s="2" t="s">
        <v>77</v>
      </c>
      <c r="F583" s="2">
        <v>57</v>
      </c>
      <c r="G583" s="2" t="s">
        <v>46</v>
      </c>
      <c r="H583" s="2" t="s">
        <v>25</v>
      </c>
      <c r="I583" s="2" t="s">
        <v>198</v>
      </c>
      <c r="J583" s="2" t="s">
        <v>199</v>
      </c>
      <c r="K583" s="2" t="s">
        <v>114</v>
      </c>
      <c r="L583" s="2" t="s">
        <v>200</v>
      </c>
      <c r="M583" s="2">
        <v>1</v>
      </c>
      <c r="N583" s="2">
        <v>909.3</v>
      </c>
      <c r="O583" s="2">
        <v>760</v>
      </c>
      <c r="P583" s="2">
        <v>30</v>
      </c>
      <c r="Q583" s="2" t="s">
        <v>30</v>
      </c>
      <c r="R583" s="2" t="s">
        <v>57</v>
      </c>
      <c r="S583" s="3">
        <v>45743</v>
      </c>
      <c r="T583" s="6">
        <v>2</v>
      </c>
    </row>
    <row r="584" spans="1:20" x14ac:dyDescent="0.3">
      <c r="A584" s="2" t="s">
        <v>1144</v>
      </c>
      <c r="B584" s="3">
        <v>45670</v>
      </c>
      <c r="C584" s="2" t="s">
        <v>495</v>
      </c>
      <c r="D584" s="2" t="s">
        <v>496</v>
      </c>
      <c r="E584" s="2" t="s">
        <v>77</v>
      </c>
      <c r="F584" s="2">
        <v>33</v>
      </c>
      <c r="G584" s="2" t="s">
        <v>24</v>
      </c>
      <c r="H584" s="2" t="s">
        <v>25</v>
      </c>
      <c r="I584" s="2" t="s">
        <v>80</v>
      </c>
      <c r="J584" s="2" t="s">
        <v>81</v>
      </c>
      <c r="K584" s="2" t="s">
        <v>28</v>
      </c>
      <c r="L584" s="2" t="s">
        <v>29</v>
      </c>
      <c r="M584" s="2">
        <v>5</v>
      </c>
      <c r="N584" s="2">
        <v>2996.25</v>
      </c>
      <c r="O584" s="2">
        <v>2350</v>
      </c>
      <c r="P584" s="2">
        <v>25</v>
      </c>
      <c r="Q584" s="2" t="s">
        <v>73</v>
      </c>
      <c r="R584" s="2" t="s">
        <v>57</v>
      </c>
      <c r="S584" s="3">
        <v>45676</v>
      </c>
      <c r="T584" s="6">
        <v>6</v>
      </c>
    </row>
    <row r="585" spans="1:20" x14ac:dyDescent="0.3">
      <c r="A585" s="2" t="s">
        <v>1145</v>
      </c>
      <c r="B585" s="3">
        <v>45532</v>
      </c>
      <c r="C585" s="2" t="s">
        <v>1146</v>
      </c>
      <c r="D585" s="2" t="s">
        <v>1147</v>
      </c>
      <c r="E585" s="2" t="s">
        <v>77</v>
      </c>
      <c r="F585" s="2">
        <v>47</v>
      </c>
      <c r="G585" s="2" t="s">
        <v>165</v>
      </c>
      <c r="H585" s="2" t="s">
        <v>166</v>
      </c>
      <c r="I585" s="2" t="s">
        <v>92</v>
      </c>
      <c r="J585" s="2" t="s">
        <v>93</v>
      </c>
      <c r="K585" s="2" t="s">
        <v>87</v>
      </c>
      <c r="L585" s="2" t="s">
        <v>94</v>
      </c>
      <c r="M585" s="2">
        <v>3</v>
      </c>
      <c r="N585" s="2">
        <v>3357.9</v>
      </c>
      <c r="O585" s="2">
        <v>2790</v>
      </c>
      <c r="P585" s="2">
        <v>30</v>
      </c>
      <c r="Q585" s="2" t="s">
        <v>103</v>
      </c>
      <c r="R585" s="2" t="s">
        <v>42</v>
      </c>
      <c r="S585" s="3">
        <v>45540</v>
      </c>
      <c r="T585" s="6">
        <v>4</v>
      </c>
    </row>
    <row r="586" spans="1:20" x14ac:dyDescent="0.3">
      <c r="A586" s="2" t="s">
        <v>1148</v>
      </c>
      <c r="B586" s="3">
        <v>45970</v>
      </c>
      <c r="C586" s="2" t="s">
        <v>863</v>
      </c>
      <c r="D586" s="2" t="s">
        <v>380</v>
      </c>
      <c r="E586" s="2" t="s">
        <v>77</v>
      </c>
      <c r="F586" s="2">
        <v>24</v>
      </c>
      <c r="G586" s="2" t="s">
        <v>101</v>
      </c>
      <c r="H586" s="2" t="s">
        <v>102</v>
      </c>
      <c r="I586" s="2" t="s">
        <v>252</v>
      </c>
      <c r="J586" s="2" t="s">
        <v>253</v>
      </c>
      <c r="K586" s="2" t="s">
        <v>28</v>
      </c>
      <c r="L586" s="2" t="s">
        <v>254</v>
      </c>
      <c r="M586" s="2">
        <v>2</v>
      </c>
      <c r="N586" s="2">
        <v>4198.6000000000004</v>
      </c>
      <c r="O586" s="2">
        <v>3800</v>
      </c>
      <c r="P586" s="2">
        <v>30</v>
      </c>
      <c r="Q586" s="2" t="s">
        <v>41</v>
      </c>
      <c r="R586" s="2" t="s">
        <v>57</v>
      </c>
      <c r="S586" s="3">
        <v>45978</v>
      </c>
      <c r="T586" s="6">
        <v>3</v>
      </c>
    </row>
    <row r="587" spans="1:20" x14ac:dyDescent="0.3">
      <c r="A587" s="2" t="s">
        <v>1149</v>
      </c>
      <c r="B587" s="3">
        <v>45587</v>
      </c>
      <c r="C587" s="2" t="s">
        <v>415</v>
      </c>
      <c r="D587" s="2" t="s">
        <v>416</v>
      </c>
      <c r="E587" s="2" t="s">
        <v>23</v>
      </c>
      <c r="F587" s="2">
        <v>49</v>
      </c>
      <c r="G587" s="2" t="s">
        <v>173</v>
      </c>
      <c r="H587" s="2" t="s">
        <v>79</v>
      </c>
      <c r="I587" s="2" t="s">
        <v>80</v>
      </c>
      <c r="J587" s="2" t="s">
        <v>81</v>
      </c>
      <c r="K587" s="2" t="s">
        <v>28</v>
      </c>
      <c r="L587" s="2" t="s">
        <v>29</v>
      </c>
      <c r="M587" s="2">
        <v>1</v>
      </c>
      <c r="N587" s="2">
        <v>799</v>
      </c>
      <c r="O587" s="2">
        <v>470</v>
      </c>
      <c r="P587" s="2">
        <v>0</v>
      </c>
      <c r="Q587" s="2" t="s">
        <v>30</v>
      </c>
      <c r="R587" s="2" t="s">
        <v>31</v>
      </c>
      <c r="S587" s="3">
        <v>45596</v>
      </c>
      <c r="T587" s="6">
        <v>5</v>
      </c>
    </row>
    <row r="588" spans="1:20" x14ac:dyDescent="0.3">
      <c r="A588" s="2" t="s">
        <v>1150</v>
      </c>
      <c r="B588" s="3">
        <v>45431</v>
      </c>
      <c r="C588" s="2" t="s">
        <v>351</v>
      </c>
      <c r="D588" s="2" t="s">
        <v>352</v>
      </c>
      <c r="E588" s="2" t="s">
        <v>77</v>
      </c>
      <c r="F588" s="2">
        <v>26</v>
      </c>
      <c r="G588" s="2" t="s">
        <v>173</v>
      </c>
      <c r="H588" s="2" t="s">
        <v>79</v>
      </c>
      <c r="I588" s="2" t="s">
        <v>92</v>
      </c>
      <c r="J588" s="2" t="s">
        <v>93</v>
      </c>
      <c r="K588" s="2" t="s">
        <v>87</v>
      </c>
      <c r="L588" s="2" t="s">
        <v>94</v>
      </c>
      <c r="M588" s="2">
        <v>4</v>
      </c>
      <c r="N588" s="2">
        <v>3837.6</v>
      </c>
      <c r="O588" s="2">
        <v>3720</v>
      </c>
      <c r="P588" s="2">
        <v>40</v>
      </c>
      <c r="Q588" s="2" t="s">
        <v>50</v>
      </c>
      <c r="R588" s="2" t="s">
        <v>42</v>
      </c>
      <c r="S588" s="3">
        <v>45442</v>
      </c>
      <c r="T588" s="6">
        <v>3</v>
      </c>
    </row>
    <row r="589" spans="1:20" x14ac:dyDescent="0.3">
      <c r="A589" s="2" t="s">
        <v>1151</v>
      </c>
      <c r="B589" s="3">
        <v>45757</v>
      </c>
      <c r="C589" s="2" t="s">
        <v>427</v>
      </c>
      <c r="D589" s="2" t="s">
        <v>407</v>
      </c>
      <c r="E589" s="2" t="s">
        <v>23</v>
      </c>
      <c r="F589" s="2">
        <v>40</v>
      </c>
      <c r="G589" s="2" t="s">
        <v>122</v>
      </c>
      <c r="H589" s="2" t="s">
        <v>123</v>
      </c>
      <c r="I589" s="2" t="s">
        <v>222</v>
      </c>
      <c r="J589" s="2" t="s">
        <v>223</v>
      </c>
      <c r="K589" s="2" t="s">
        <v>114</v>
      </c>
      <c r="L589" s="2" t="s">
        <v>115</v>
      </c>
      <c r="M589" s="2">
        <v>4</v>
      </c>
      <c r="N589" s="2">
        <v>2517.1999999999998</v>
      </c>
      <c r="O589" s="2">
        <v>2040</v>
      </c>
      <c r="P589" s="2">
        <v>30</v>
      </c>
      <c r="Q589" s="2" t="s">
        <v>41</v>
      </c>
      <c r="R589" s="2" t="s">
        <v>42</v>
      </c>
      <c r="S589" s="3">
        <v>45761</v>
      </c>
      <c r="T589" s="6">
        <v>5</v>
      </c>
    </row>
    <row r="590" spans="1:20" x14ac:dyDescent="0.3">
      <c r="A590" s="2" t="s">
        <v>1152</v>
      </c>
      <c r="B590" s="3">
        <v>45911</v>
      </c>
      <c r="C590" s="2" t="s">
        <v>685</v>
      </c>
      <c r="D590" s="2" t="s">
        <v>399</v>
      </c>
      <c r="E590" s="2" t="s">
        <v>77</v>
      </c>
      <c r="F590" s="2">
        <v>52</v>
      </c>
      <c r="G590" s="2" t="s">
        <v>101</v>
      </c>
      <c r="H590" s="2" t="s">
        <v>102</v>
      </c>
      <c r="I590" s="2" t="s">
        <v>177</v>
      </c>
      <c r="J590" s="2" t="s">
        <v>178</v>
      </c>
      <c r="K590" s="2" t="s">
        <v>87</v>
      </c>
      <c r="L590" s="2" t="s">
        <v>179</v>
      </c>
      <c r="M590" s="2">
        <v>2</v>
      </c>
      <c r="N590" s="2">
        <v>3998.4</v>
      </c>
      <c r="O590" s="2">
        <v>3240</v>
      </c>
      <c r="P590" s="2">
        <v>20</v>
      </c>
      <c r="Q590" s="2" t="s">
        <v>103</v>
      </c>
      <c r="R590" s="2" t="s">
        <v>65</v>
      </c>
      <c r="S590" s="3" t="s">
        <v>1604</v>
      </c>
      <c r="T590" s="6" t="s">
        <v>1604</v>
      </c>
    </row>
    <row r="591" spans="1:20" x14ac:dyDescent="0.3">
      <c r="A591" s="2" t="s">
        <v>1153</v>
      </c>
      <c r="B591" s="3">
        <v>45882</v>
      </c>
      <c r="C591" s="2" t="s">
        <v>460</v>
      </c>
      <c r="D591" s="2" t="s">
        <v>164</v>
      </c>
      <c r="E591" s="2" t="s">
        <v>77</v>
      </c>
      <c r="F591" s="2">
        <v>56</v>
      </c>
      <c r="G591" s="2" t="s">
        <v>24</v>
      </c>
      <c r="H591" s="2" t="s">
        <v>25</v>
      </c>
      <c r="I591" s="2" t="s">
        <v>26</v>
      </c>
      <c r="J591" s="2" t="s">
        <v>27</v>
      </c>
      <c r="K591" s="2" t="s">
        <v>28</v>
      </c>
      <c r="L591" s="2" t="s">
        <v>29</v>
      </c>
      <c r="M591" s="2">
        <v>5</v>
      </c>
      <c r="N591" s="2">
        <v>3897</v>
      </c>
      <c r="O591" s="2">
        <v>3950</v>
      </c>
      <c r="P591" s="2">
        <v>40</v>
      </c>
      <c r="Q591" s="2" t="s">
        <v>41</v>
      </c>
      <c r="R591" s="2" t="s">
        <v>42</v>
      </c>
      <c r="S591" s="3">
        <v>45893</v>
      </c>
      <c r="T591" s="6">
        <v>5</v>
      </c>
    </row>
    <row r="592" spans="1:20" x14ac:dyDescent="0.3">
      <c r="A592" s="2" t="s">
        <v>1154</v>
      </c>
      <c r="B592" s="3">
        <v>45999</v>
      </c>
      <c r="C592" s="2" t="s">
        <v>978</v>
      </c>
      <c r="D592" s="2" t="s">
        <v>341</v>
      </c>
      <c r="E592" s="2" t="s">
        <v>23</v>
      </c>
      <c r="F592" s="2">
        <v>52</v>
      </c>
      <c r="G592" s="2" t="s">
        <v>173</v>
      </c>
      <c r="H592" s="2" t="s">
        <v>79</v>
      </c>
      <c r="I592" s="2" t="s">
        <v>177</v>
      </c>
      <c r="J592" s="2" t="s">
        <v>178</v>
      </c>
      <c r="K592" s="2" t="s">
        <v>87</v>
      </c>
      <c r="L592" s="2" t="s">
        <v>179</v>
      </c>
      <c r="M592" s="2">
        <v>5</v>
      </c>
      <c r="N592" s="2">
        <v>9996</v>
      </c>
      <c r="O592" s="2">
        <v>8100</v>
      </c>
      <c r="P592" s="2">
        <v>20</v>
      </c>
      <c r="Q592" s="2" t="s">
        <v>103</v>
      </c>
      <c r="R592" s="2" t="s">
        <v>65</v>
      </c>
      <c r="S592" s="3" t="s">
        <v>1604</v>
      </c>
      <c r="T592" s="6" t="s">
        <v>1604</v>
      </c>
    </row>
    <row r="593" spans="1:20" x14ac:dyDescent="0.3">
      <c r="A593" s="2" t="s">
        <v>1155</v>
      </c>
      <c r="B593" s="3">
        <v>45372</v>
      </c>
      <c r="C593" s="2" t="s">
        <v>758</v>
      </c>
      <c r="D593" s="2" t="s">
        <v>635</v>
      </c>
      <c r="E593" s="2" t="s">
        <v>77</v>
      </c>
      <c r="F593" s="2">
        <v>57</v>
      </c>
      <c r="G593" s="2" t="s">
        <v>46</v>
      </c>
      <c r="H593" s="2" t="s">
        <v>25</v>
      </c>
      <c r="I593" s="2" t="s">
        <v>304</v>
      </c>
      <c r="J593" s="2" t="s">
        <v>305</v>
      </c>
      <c r="K593" s="2" t="s">
        <v>28</v>
      </c>
      <c r="L593" s="2" t="s">
        <v>231</v>
      </c>
      <c r="M593" s="2">
        <v>4</v>
      </c>
      <c r="N593" s="2">
        <v>6836.2</v>
      </c>
      <c r="O593" s="2">
        <v>4320</v>
      </c>
      <c r="P593" s="2">
        <v>5</v>
      </c>
      <c r="Q593" s="2" t="s">
        <v>50</v>
      </c>
      <c r="R593" s="2" t="s">
        <v>57</v>
      </c>
      <c r="S593" s="3">
        <v>45383</v>
      </c>
      <c r="T593" s="6">
        <v>4</v>
      </c>
    </row>
    <row r="594" spans="1:20" x14ac:dyDescent="0.3">
      <c r="A594" s="2" t="s">
        <v>1156</v>
      </c>
      <c r="B594" s="3">
        <v>45919</v>
      </c>
      <c r="C594" s="2" t="s">
        <v>1086</v>
      </c>
      <c r="D594" s="2" t="s">
        <v>1087</v>
      </c>
      <c r="E594" s="2" t="s">
        <v>23</v>
      </c>
      <c r="F594" s="2">
        <v>22</v>
      </c>
      <c r="G594" s="2" t="s">
        <v>126</v>
      </c>
      <c r="H594" s="2" t="s">
        <v>127</v>
      </c>
      <c r="I594" s="2" t="s">
        <v>222</v>
      </c>
      <c r="J594" s="2" t="s">
        <v>223</v>
      </c>
      <c r="K594" s="2" t="s">
        <v>114</v>
      </c>
      <c r="L594" s="2" t="s">
        <v>115</v>
      </c>
      <c r="M594" s="2">
        <v>1</v>
      </c>
      <c r="N594" s="2">
        <v>539.4</v>
      </c>
      <c r="O594" s="2">
        <v>510</v>
      </c>
      <c r="P594" s="2">
        <v>40</v>
      </c>
      <c r="Q594" s="2" t="s">
        <v>103</v>
      </c>
      <c r="R594" s="2" t="s">
        <v>65</v>
      </c>
      <c r="S594" s="3" t="s">
        <v>1604</v>
      </c>
      <c r="T594" s="6" t="s">
        <v>1604</v>
      </c>
    </row>
    <row r="595" spans="1:20" x14ac:dyDescent="0.3">
      <c r="A595" s="2" t="s">
        <v>1157</v>
      </c>
      <c r="B595" s="3">
        <v>45772</v>
      </c>
      <c r="C595" s="2" t="s">
        <v>33</v>
      </c>
      <c r="D595" s="2" t="s">
        <v>34</v>
      </c>
      <c r="E595" s="2" t="s">
        <v>23</v>
      </c>
      <c r="F595" s="2">
        <v>30</v>
      </c>
      <c r="G595" s="2" t="s">
        <v>126</v>
      </c>
      <c r="H595" s="2" t="s">
        <v>127</v>
      </c>
      <c r="I595" s="2" t="s">
        <v>134</v>
      </c>
      <c r="J595" s="2" t="s">
        <v>135</v>
      </c>
      <c r="K595" s="2" t="s">
        <v>39</v>
      </c>
      <c r="L595" s="2" t="s">
        <v>136</v>
      </c>
      <c r="M595" s="2">
        <v>3</v>
      </c>
      <c r="N595" s="2">
        <v>477.6</v>
      </c>
      <c r="O595" s="2">
        <v>270</v>
      </c>
      <c r="P595" s="2">
        <v>20</v>
      </c>
      <c r="Q595" s="2" t="s">
        <v>41</v>
      </c>
      <c r="R595" s="2" t="s">
        <v>42</v>
      </c>
      <c r="S595" s="3">
        <v>45774</v>
      </c>
      <c r="T595" s="6">
        <v>4</v>
      </c>
    </row>
    <row r="596" spans="1:20" x14ac:dyDescent="0.3">
      <c r="A596" s="2" t="s">
        <v>1158</v>
      </c>
      <c r="B596" s="3">
        <v>45869</v>
      </c>
      <c r="C596" s="2" t="s">
        <v>511</v>
      </c>
      <c r="D596" s="2" t="s">
        <v>512</v>
      </c>
      <c r="E596" s="2" t="s">
        <v>23</v>
      </c>
      <c r="F596" s="2">
        <v>53</v>
      </c>
      <c r="G596" s="2" t="s">
        <v>24</v>
      </c>
      <c r="H596" s="2" t="s">
        <v>25</v>
      </c>
      <c r="I596" s="2" t="s">
        <v>92</v>
      </c>
      <c r="J596" s="2" t="s">
        <v>93</v>
      </c>
      <c r="K596" s="2" t="s">
        <v>87</v>
      </c>
      <c r="L596" s="2" t="s">
        <v>94</v>
      </c>
      <c r="M596" s="2">
        <v>4</v>
      </c>
      <c r="N596" s="2">
        <v>5756.4</v>
      </c>
      <c r="O596" s="2">
        <v>3720</v>
      </c>
      <c r="P596" s="2">
        <v>10</v>
      </c>
      <c r="Q596" s="2" t="s">
        <v>50</v>
      </c>
      <c r="R596" s="2" t="s">
        <v>42</v>
      </c>
      <c r="S596" s="3">
        <v>45881</v>
      </c>
      <c r="T596" s="6">
        <v>4</v>
      </c>
    </row>
    <row r="597" spans="1:20" x14ac:dyDescent="0.3">
      <c r="A597" s="2" t="s">
        <v>1159</v>
      </c>
      <c r="B597" s="3">
        <v>45931</v>
      </c>
      <c r="C597" s="2" t="s">
        <v>374</v>
      </c>
      <c r="D597" s="2" t="s">
        <v>100</v>
      </c>
      <c r="E597" s="2" t="s">
        <v>23</v>
      </c>
      <c r="F597" s="2">
        <v>24</v>
      </c>
      <c r="G597" s="2" t="s">
        <v>35</v>
      </c>
      <c r="H597" s="2" t="s">
        <v>36</v>
      </c>
      <c r="I597" s="2" t="s">
        <v>37</v>
      </c>
      <c r="J597" s="2" t="s">
        <v>38</v>
      </c>
      <c r="K597" s="2" t="s">
        <v>39</v>
      </c>
      <c r="L597" s="2" t="s">
        <v>40</v>
      </c>
      <c r="M597" s="2">
        <v>1</v>
      </c>
      <c r="N597" s="2">
        <v>809.1</v>
      </c>
      <c r="O597" s="2">
        <v>520</v>
      </c>
      <c r="P597" s="2">
        <v>10</v>
      </c>
      <c r="Q597" s="2" t="s">
        <v>50</v>
      </c>
      <c r="R597" s="2" t="s">
        <v>42</v>
      </c>
      <c r="S597" s="3">
        <v>45937</v>
      </c>
      <c r="T597" s="6">
        <v>4</v>
      </c>
    </row>
    <row r="598" spans="1:20" x14ac:dyDescent="0.3">
      <c r="A598" s="2" t="s">
        <v>1160</v>
      </c>
      <c r="B598" s="3">
        <v>45427</v>
      </c>
      <c r="C598" s="2" t="s">
        <v>914</v>
      </c>
      <c r="D598" s="2" t="s">
        <v>260</v>
      </c>
      <c r="E598" s="2" t="s">
        <v>77</v>
      </c>
      <c r="F598" s="2">
        <v>45</v>
      </c>
      <c r="G598" s="2" t="s">
        <v>207</v>
      </c>
      <c r="H598" s="2" t="s">
        <v>36</v>
      </c>
      <c r="I598" s="2" t="s">
        <v>128</v>
      </c>
      <c r="J598" s="2" t="s">
        <v>129</v>
      </c>
      <c r="K598" s="2" t="s">
        <v>130</v>
      </c>
      <c r="L598" s="2" t="s">
        <v>131</v>
      </c>
      <c r="M598" s="2">
        <v>1</v>
      </c>
      <c r="N598" s="2">
        <v>6174.05</v>
      </c>
      <c r="O598" s="2">
        <v>5100</v>
      </c>
      <c r="P598" s="2">
        <v>5</v>
      </c>
      <c r="Q598" s="2" t="s">
        <v>50</v>
      </c>
      <c r="R598" s="2" t="s">
        <v>42</v>
      </c>
      <c r="S598" s="3">
        <v>45438</v>
      </c>
      <c r="T598" s="6">
        <v>3</v>
      </c>
    </row>
    <row r="599" spans="1:20" x14ac:dyDescent="0.3">
      <c r="A599" s="2" t="s">
        <v>1161</v>
      </c>
      <c r="B599" s="3">
        <v>45643</v>
      </c>
      <c r="C599" s="2" t="s">
        <v>351</v>
      </c>
      <c r="D599" s="2" t="s">
        <v>352</v>
      </c>
      <c r="E599" s="2" t="s">
        <v>77</v>
      </c>
      <c r="F599" s="2">
        <v>26</v>
      </c>
      <c r="G599" s="2" t="s">
        <v>173</v>
      </c>
      <c r="H599" s="2" t="s">
        <v>79</v>
      </c>
      <c r="I599" s="2" t="s">
        <v>155</v>
      </c>
      <c r="J599" s="2" t="s">
        <v>156</v>
      </c>
      <c r="K599" s="2" t="s">
        <v>114</v>
      </c>
      <c r="L599" s="2" t="s">
        <v>157</v>
      </c>
      <c r="M599" s="2">
        <v>2</v>
      </c>
      <c r="N599" s="2">
        <v>1198.8</v>
      </c>
      <c r="O599" s="2">
        <v>1220</v>
      </c>
      <c r="P599" s="2">
        <v>40</v>
      </c>
      <c r="Q599" s="2" t="s">
        <v>103</v>
      </c>
      <c r="R599" s="2" t="s">
        <v>57</v>
      </c>
      <c r="S599" s="3">
        <v>45651</v>
      </c>
      <c r="T599" s="6">
        <v>4</v>
      </c>
    </row>
    <row r="600" spans="1:20" x14ac:dyDescent="0.3">
      <c r="A600" s="2" t="s">
        <v>1162</v>
      </c>
      <c r="B600" s="3">
        <v>45968</v>
      </c>
      <c r="C600" s="2" t="s">
        <v>217</v>
      </c>
      <c r="D600" s="2" t="s">
        <v>218</v>
      </c>
      <c r="E600" s="2" t="s">
        <v>77</v>
      </c>
      <c r="F600" s="2">
        <v>18</v>
      </c>
      <c r="G600" s="2" t="s">
        <v>78</v>
      </c>
      <c r="H600" s="2" t="s">
        <v>79</v>
      </c>
      <c r="I600" s="2" t="s">
        <v>70</v>
      </c>
      <c r="J600" s="2" t="s">
        <v>71</v>
      </c>
      <c r="K600" s="2" t="s">
        <v>28</v>
      </c>
      <c r="L600" s="2" t="s">
        <v>72</v>
      </c>
      <c r="M600" s="2">
        <v>5</v>
      </c>
      <c r="N600" s="2">
        <v>5621.25</v>
      </c>
      <c r="O600" s="2">
        <v>4600</v>
      </c>
      <c r="P600" s="2">
        <v>25</v>
      </c>
      <c r="Q600" s="2" t="s">
        <v>73</v>
      </c>
      <c r="R600" s="2" t="s">
        <v>31</v>
      </c>
      <c r="S600" s="3">
        <v>45974</v>
      </c>
      <c r="T600" s="6">
        <v>3</v>
      </c>
    </row>
    <row r="601" spans="1:20" x14ac:dyDescent="0.3">
      <c r="A601" s="2" t="s">
        <v>1163</v>
      </c>
      <c r="B601" s="3">
        <v>45345</v>
      </c>
      <c r="C601" s="2" t="s">
        <v>190</v>
      </c>
      <c r="D601" s="2" t="s">
        <v>191</v>
      </c>
      <c r="E601" s="2" t="s">
        <v>23</v>
      </c>
      <c r="F601" s="2">
        <v>45</v>
      </c>
      <c r="G601" s="2" t="s">
        <v>61</v>
      </c>
      <c r="H601" s="2" t="s">
        <v>62</v>
      </c>
      <c r="I601" s="2" t="s">
        <v>47</v>
      </c>
      <c r="J601" s="2" t="s">
        <v>48</v>
      </c>
      <c r="K601" s="2" t="s">
        <v>39</v>
      </c>
      <c r="L601" s="2" t="s">
        <v>49</v>
      </c>
      <c r="M601" s="2">
        <v>4</v>
      </c>
      <c r="N601" s="2">
        <v>1276.8</v>
      </c>
      <c r="O601" s="2">
        <v>840</v>
      </c>
      <c r="P601" s="2">
        <v>20</v>
      </c>
      <c r="Q601" s="2" t="s">
        <v>103</v>
      </c>
      <c r="R601" s="2" t="s">
        <v>31</v>
      </c>
      <c r="S601" s="3">
        <v>45355</v>
      </c>
      <c r="T601" s="6">
        <v>4</v>
      </c>
    </row>
    <row r="602" spans="1:20" x14ac:dyDescent="0.3">
      <c r="A602" s="2" t="s">
        <v>1164</v>
      </c>
      <c r="B602" s="3">
        <v>45680</v>
      </c>
      <c r="C602" s="2" t="s">
        <v>938</v>
      </c>
      <c r="D602" s="2" t="s">
        <v>53</v>
      </c>
      <c r="E602" s="2" t="s">
        <v>23</v>
      </c>
      <c r="F602" s="2">
        <v>42</v>
      </c>
      <c r="G602" s="2" t="s">
        <v>101</v>
      </c>
      <c r="H602" s="2" t="s">
        <v>102</v>
      </c>
      <c r="I602" s="2" t="s">
        <v>128</v>
      </c>
      <c r="J602" s="2" t="s">
        <v>129</v>
      </c>
      <c r="K602" s="2" t="s">
        <v>130</v>
      </c>
      <c r="L602" s="2" t="s">
        <v>131</v>
      </c>
      <c r="M602" s="2">
        <v>2</v>
      </c>
      <c r="N602" s="2">
        <v>9098.6</v>
      </c>
      <c r="O602" s="2">
        <v>10200</v>
      </c>
      <c r="P602" s="2">
        <v>30</v>
      </c>
      <c r="Q602" s="2" t="s">
        <v>73</v>
      </c>
      <c r="R602" s="2" t="s">
        <v>42</v>
      </c>
      <c r="S602" s="3">
        <v>45689</v>
      </c>
      <c r="T602" s="6">
        <v>5</v>
      </c>
    </row>
    <row r="603" spans="1:20" x14ac:dyDescent="0.3">
      <c r="A603" s="2" t="s">
        <v>1165</v>
      </c>
      <c r="B603" s="3">
        <v>45986</v>
      </c>
      <c r="C603" s="2" t="s">
        <v>1036</v>
      </c>
      <c r="D603" s="2" t="s">
        <v>1037</v>
      </c>
      <c r="E603" s="2" t="s">
        <v>23</v>
      </c>
      <c r="F603" s="2">
        <v>30</v>
      </c>
      <c r="G603" s="2" t="s">
        <v>24</v>
      </c>
      <c r="H603" s="2" t="s">
        <v>25</v>
      </c>
      <c r="I603" s="2" t="s">
        <v>229</v>
      </c>
      <c r="J603" s="2" t="s">
        <v>230</v>
      </c>
      <c r="K603" s="2" t="s">
        <v>28</v>
      </c>
      <c r="L603" s="2" t="s">
        <v>231</v>
      </c>
      <c r="M603" s="2">
        <v>5</v>
      </c>
      <c r="N603" s="2">
        <v>7496.25</v>
      </c>
      <c r="O603" s="2">
        <v>6150</v>
      </c>
      <c r="P603" s="2">
        <v>25</v>
      </c>
      <c r="Q603" s="2" t="s">
        <v>103</v>
      </c>
      <c r="R603" s="2" t="s">
        <v>65</v>
      </c>
      <c r="S603" s="3" t="s">
        <v>1604</v>
      </c>
      <c r="T603" s="6" t="s">
        <v>1604</v>
      </c>
    </row>
    <row r="604" spans="1:20" x14ac:dyDescent="0.3">
      <c r="A604" s="2" t="s">
        <v>1166</v>
      </c>
      <c r="B604" s="3">
        <v>45959</v>
      </c>
      <c r="C604" s="2" t="s">
        <v>149</v>
      </c>
      <c r="D604" s="2" t="s">
        <v>150</v>
      </c>
      <c r="E604" s="2" t="s">
        <v>77</v>
      </c>
      <c r="F604" s="2">
        <v>35</v>
      </c>
      <c r="G604" s="2" t="s">
        <v>126</v>
      </c>
      <c r="H604" s="2" t="s">
        <v>127</v>
      </c>
      <c r="I604" s="2" t="s">
        <v>128</v>
      </c>
      <c r="J604" s="2" t="s">
        <v>129</v>
      </c>
      <c r="K604" s="2" t="s">
        <v>130</v>
      </c>
      <c r="L604" s="2" t="s">
        <v>131</v>
      </c>
      <c r="M604" s="2">
        <v>3</v>
      </c>
      <c r="N604" s="2">
        <v>18522.150000000001</v>
      </c>
      <c r="O604" s="2">
        <v>15300</v>
      </c>
      <c r="P604" s="2">
        <v>5</v>
      </c>
      <c r="Q604" s="2" t="s">
        <v>41</v>
      </c>
      <c r="R604" s="2" t="s">
        <v>31</v>
      </c>
      <c r="S604" s="3">
        <v>45970</v>
      </c>
      <c r="T604" s="6">
        <v>5</v>
      </c>
    </row>
    <row r="605" spans="1:20" x14ac:dyDescent="0.3">
      <c r="A605" s="2" t="s">
        <v>1167</v>
      </c>
      <c r="B605" s="3">
        <v>45764</v>
      </c>
      <c r="C605" s="2" t="s">
        <v>196</v>
      </c>
      <c r="D605" s="2" t="s">
        <v>197</v>
      </c>
      <c r="E605" s="2" t="s">
        <v>23</v>
      </c>
      <c r="F605" s="2">
        <v>22</v>
      </c>
      <c r="G605" s="2" t="s">
        <v>154</v>
      </c>
      <c r="H605" s="2" t="s">
        <v>91</v>
      </c>
      <c r="I605" s="2" t="s">
        <v>112</v>
      </c>
      <c r="J605" s="2" t="s">
        <v>113</v>
      </c>
      <c r="K605" s="2" t="s">
        <v>114</v>
      </c>
      <c r="L605" s="2" t="s">
        <v>115</v>
      </c>
      <c r="M605" s="2">
        <v>3</v>
      </c>
      <c r="N605" s="2">
        <v>1887.3</v>
      </c>
      <c r="O605" s="2">
        <v>1110</v>
      </c>
      <c r="P605" s="2">
        <v>10</v>
      </c>
      <c r="Q605" s="2" t="s">
        <v>41</v>
      </c>
      <c r="R605" s="2" t="s">
        <v>65</v>
      </c>
      <c r="S605" s="3" t="s">
        <v>1604</v>
      </c>
      <c r="T605" s="6" t="s">
        <v>1604</v>
      </c>
    </row>
    <row r="606" spans="1:20" x14ac:dyDescent="0.3">
      <c r="A606" s="2" t="s">
        <v>1168</v>
      </c>
      <c r="B606" s="3">
        <v>45302</v>
      </c>
      <c r="C606" s="2" t="s">
        <v>202</v>
      </c>
      <c r="D606" s="2" t="s">
        <v>203</v>
      </c>
      <c r="E606" s="2" t="s">
        <v>23</v>
      </c>
      <c r="F606" s="2">
        <v>45</v>
      </c>
      <c r="G606" s="2" t="s">
        <v>46</v>
      </c>
      <c r="H606" s="2" t="s">
        <v>25</v>
      </c>
      <c r="I606" s="2" t="s">
        <v>80</v>
      </c>
      <c r="J606" s="2" t="s">
        <v>81</v>
      </c>
      <c r="K606" s="2" t="s">
        <v>28</v>
      </c>
      <c r="L606" s="2" t="s">
        <v>29</v>
      </c>
      <c r="M606" s="2">
        <v>4</v>
      </c>
      <c r="N606" s="2">
        <v>3036.2</v>
      </c>
      <c r="O606" s="2">
        <v>1880</v>
      </c>
      <c r="P606" s="2">
        <v>5</v>
      </c>
      <c r="Q606" s="2" t="s">
        <v>50</v>
      </c>
      <c r="R606" s="2" t="s">
        <v>42</v>
      </c>
      <c r="S606" s="3" t="s">
        <v>1604</v>
      </c>
      <c r="T606" s="6">
        <v>5</v>
      </c>
    </row>
    <row r="607" spans="1:20" x14ac:dyDescent="0.3">
      <c r="A607" s="2" t="s">
        <v>1169</v>
      </c>
      <c r="B607" s="3">
        <v>45651</v>
      </c>
      <c r="C607" s="2" t="s">
        <v>215</v>
      </c>
      <c r="D607" s="2" t="s">
        <v>147</v>
      </c>
      <c r="E607" s="2" t="s">
        <v>23</v>
      </c>
      <c r="F607" s="2">
        <v>33</v>
      </c>
      <c r="G607" s="2" t="s">
        <v>35</v>
      </c>
      <c r="H607" s="2" t="s">
        <v>36</v>
      </c>
      <c r="I607" s="2" t="s">
        <v>128</v>
      </c>
      <c r="J607" s="2" t="s">
        <v>129</v>
      </c>
      <c r="K607" s="2" t="s">
        <v>130</v>
      </c>
      <c r="L607" s="2" t="s">
        <v>131</v>
      </c>
      <c r="M607" s="2">
        <v>2</v>
      </c>
      <c r="N607" s="2">
        <v>12998</v>
      </c>
      <c r="O607" s="2">
        <v>10200</v>
      </c>
      <c r="P607" s="2">
        <v>0</v>
      </c>
      <c r="Q607" s="2" t="s">
        <v>73</v>
      </c>
      <c r="R607" s="2" t="s">
        <v>65</v>
      </c>
      <c r="S607" s="3" t="s">
        <v>1604</v>
      </c>
      <c r="T607" s="6" t="s">
        <v>1604</v>
      </c>
    </row>
    <row r="608" spans="1:20" x14ac:dyDescent="0.3">
      <c r="A608" s="2" t="s">
        <v>1170</v>
      </c>
      <c r="B608" s="3">
        <v>45386</v>
      </c>
      <c r="C608" s="2" t="s">
        <v>941</v>
      </c>
      <c r="D608" s="2" t="s">
        <v>260</v>
      </c>
      <c r="E608" s="2" t="s">
        <v>77</v>
      </c>
      <c r="F608" s="2">
        <v>33</v>
      </c>
      <c r="G608" s="2" t="s">
        <v>154</v>
      </c>
      <c r="H608" s="2" t="s">
        <v>91</v>
      </c>
      <c r="I608" s="2" t="s">
        <v>155</v>
      </c>
      <c r="J608" s="2" t="s">
        <v>156</v>
      </c>
      <c r="K608" s="2" t="s">
        <v>114</v>
      </c>
      <c r="L608" s="2" t="s">
        <v>157</v>
      </c>
      <c r="M608" s="2">
        <v>1</v>
      </c>
      <c r="N608" s="2">
        <v>949.05</v>
      </c>
      <c r="O608" s="2">
        <v>610</v>
      </c>
      <c r="P608" s="2">
        <v>5</v>
      </c>
      <c r="Q608" s="2" t="s">
        <v>73</v>
      </c>
      <c r="R608" s="2" t="s">
        <v>57</v>
      </c>
      <c r="S608" s="3">
        <v>45397</v>
      </c>
      <c r="T608" s="6">
        <v>3</v>
      </c>
    </row>
    <row r="609" spans="1:20" x14ac:dyDescent="0.3">
      <c r="A609" s="2" t="s">
        <v>1171</v>
      </c>
      <c r="B609" s="3">
        <v>45676</v>
      </c>
      <c r="C609" s="2" t="s">
        <v>328</v>
      </c>
      <c r="D609" s="2" t="s">
        <v>329</v>
      </c>
      <c r="E609" s="2" t="s">
        <v>77</v>
      </c>
      <c r="F609" s="2">
        <v>47</v>
      </c>
      <c r="G609" s="2" t="s">
        <v>78</v>
      </c>
      <c r="H609" s="2" t="s">
        <v>79</v>
      </c>
      <c r="I609" s="2" t="s">
        <v>229</v>
      </c>
      <c r="J609" s="2" t="s">
        <v>230</v>
      </c>
      <c r="K609" s="2" t="s">
        <v>28</v>
      </c>
      <c r="L609" s="2" t="s">
        <v>231</v>
      </c>
      <c r="M609" s="2">
        <v>2</v>
      </c>
      <c r="N609" s="2">
        <v>3198.4</v>
      </c>
      <c r="O609" s="2">
        <v>2460</v>
      </c>
      <c r="P609" s="2">
        <v>20</v>
      </c>
      <c r="Q609" s="2" t="s">
        <v>41</v>
      </c>
      <c r="R609" s="2" t="s">
        <v>42</v>
      </c>
      <c r="S609" s="3">
        <v>45688</v>
      </c>
      <c r="T609" s="6">
        <v>3</v>
      </c>
    </row>
    <row r="610" spans="1:20" x14ac:dyDescent="0.3">
      <c r="A610" s="2" t="s">
        <v>1172</v>
      </c>
      <c r="B610" s="3">
        <v>45946</v>
      </c>
      <c r="C610" s="2" t="s">
        <v>237</v>
      </c>
      <c r="D610" s="2" t="s">
        <v>238</v>
      </c>
      <c r="E610" s="2" t="s">
        <v>23</v>
      </c>
      <c r="F610" s="2">
        <v>47</v>
      </c>
      <c r="G610" s="2" t="s">
        <v>207</v>
      </c>
      <c r="H610" s="2" t="s">
        <v>36</v>
      </c>
      <c r="I610" s="2" t="s">
        <v>134</v>
      </c>
      <c r="J610" s="2" t="s">
        <v>135</v>
      </c>
      <c r="K610" s="2" t="s">
        <v>39</v>
      </c>
      <c r="L610" s="2" t="s">
        <v>136</v>
      </c>
      <c r="M610" s="2">
        <v>3</v>
      </c>
      <c r="N610" s="2">
        <v>477.6</v>
      </c>
      <c r="O610" s="2">
        <v>270</v>
      </c>
      <c r="P610" s="2">
        <v>20</v>
      </c>
      <c r="Q610" s="2" t="s">
        <v>30</v>
      </c>
      <c r="R610" s="2" t="s">
        <v>57</v>
      </c>
      <c r="S610" s="3">
        <v>45949</v>
      </c>
      <c r="T610" s="6">
        <v>4</v>
      </c>
    </row>
    <row r="611" spans="1:20" x14ac:dyDescent="0.3">
      <c r="A611" s="2" t="s">
        <v>1173</v>
      </c>
      <c r="B611" s="3">
        <v>45355</v>
      </c>
      <c r="C611" s="2" t="s">
        <v>209</v>
      </c>
      <c r="D611" s="2" t="s">
        <v>210</v>
      </c>
      <c r="E611" s="2" t="s">
        <v>23</v>
      </c>
      <c r="F611" s="2">
        <v>27</v>
      </c>
      <c r="G611" s="2" t="s">
        <v>165</v>
      </c>
      <c r="H611" s="2" t="s">
        <v>166</v>
      </c>
      <c r="I611" s="2" t="s">
        <v>183</v>
      </c>
      <c r="J611" s="2" t="s">
        <v>184</v>
      </c>
      <c r="K611" s="2" t="s">
        <v>130</v>
      </c>
      <c r="L611" s="2" t="s">
        <v>185</v>
      </c>
      <c r="M611" s="2">
        <v>1</v>
      </c>
      <c r="N611" s="2">
        <v>3199.2</v>
      </c>
      <c r="O611" s="2">
        <v>3050</v>
      </c>
      <c r="P611" s="2">
        <v>20</v>
      </c>
      <c r="Q611" s="2" t="s">
        <v>41</v>
      </c>
      <c r="R611" s="2" t="s">
        <v>42</v>
      </c>
      <c r="S611" s="3">
        <v>45364</v>
      </c>
      <c r="T611" s="6">
        <v>3</v>
      </c>
    </row>
    <row r="612" spans="1:20" x14ac:dyDescent="0.3">
      <c r="A612" s="2" t="s">
        <v>1174</v>
      </c>
      <c r="B612" s="3">
        <v>45795</v>
      </c>
      <c r="C612" s="2" t="s">
        <v>220</v>
      </c>
      <c r="D612" s="2" t="s">
        <v>221</v>
      </c>
      <c r="E612" s="2" t="s">
        <v>23</v>
      </c>
      <c r="F612" s="2">
        <v>53</v>
      </c>
      <c r="G612" s="2" t="s">
        <v>165</v>
      </c>
      <c r="H612" s="2" t="s">
        <v>166</v>
      </c>
      <c r="I612" s="2" t="s">
        <v>319</v>
      </c>
      <c r="J612" s="2" t="s">
        <v>320</v>
      </c>
      <c r="K612" s="2" t="s">
        <v>28</v>
      </c>
      <c r="L612" s="2" t="s">
        <v>29</v>
      </c>
      <c r="M612" s="2">
        <v>4</v>
      </c>
      <c r="N612" s="2">
        <v>4556.2</v>
      </c>
      <c r="O612" s="2">
        <v>2840</v>
      </c>
      <c r="P612" s="2">
        <v>5</v>
      </c>
      <c r="Q612" s="2" t="s">
        <v>30</v>
      </c>
      <c r="R612" s="2" t="s">
        <v>65</v>
      </c>
      <c r="S612" s="3" t="s">
        <v>1604</v>
      </c>
      <c r="T612" s="6" t="s">
        <v>1604</v>
      </c>
    </row>
    <row r="613" spans="1:20" x14ac:dyDescent="0.3">
      <c r="A613" s="2" t="s">
        <v>1175</v>
      </c>
      <c r="B613" s="3">
        <v>45733</v>
      </c>
      <c r="C613" s="2" t="s">
        <v>778</v>
      </c>
      <c r="D613" s="2" t="s">
        <v>779</v>
      </c>
      <c r="E613" s="2" t="s">
        <v>23</v>
      </c>
      <c r="F613" s="2">
        <v>56</v>
      </c>
      <c r="G613" s="2" t="s">
        <v>69</v>
      </c>
      <c r="H613" s="2" t="s">
        <v>69</v>
      </c>
      <c r="I613" s="2" t="s">
        <v>63</v>
      </c>
      <c r="J613" s="2" t="s">
        <v>64</v>
      </c>
      <c r="K613" s="2" t="s">
        <v>39</v>
      </c>
      <c r="L613" s="2" t="s">
        <v>40</v>
      </c>
      <c r="M613" s="2">
        <v>3</v>
      </c>
      <c r="N613" s="2">
        <v>1707.15</v>
      </c>
      <c r="O613" s="2">
        <v>990</v>
      </c>
      <c r="P613" s="2">
        <v>5</v>
      </c>
      <c r="Q613" s="2" t="s">
        <v>73</v>
      </c>
      <c r="R613" s="2" t="s">
        <v>42</v>
      </c>
      <c r="S613" s="3">
        <v>45736</v>
      </c>
      <c r="T613" s="6">
        <v>4</v>
      </c>
    </row>
    <row r="614" spans="1:20" x14ac:dyDescent="0.3">
      <c r="A614" s="2" t="s">
        <v>1176</v>
      </c>
      <c r="B614" s="3">
        <v>45748</v>
      </c>
      <c r="C614" s="2" t="s">
        <v>805</v>
      </c>
      <c r="D614" s="2" t="s">
        <v>806</v>
      </c>
      <c r="E614" s="2" t="s">
        <v>77</v>
      </c>
      <c r="F614" s="2">
        <v>46</v>
      </c>
      <c r="G614" s="2" t="s">
        <v>101</v>
      </c>
      <c r="H614" s="2" t="s">
        <v>102</v>
      </c>
      <c r="I614" s="2" t="s">
        <v>252</v>
      </c>
      <c r="J614" s="2" t="s">
        <v>253</v>
      </c>
      <c r="K614" s="2" t="s">
        <v>28</v>
      </c>
      <c r="L614" s="2" t="s">
        <v>254</v>
      </c>
      <c r="M614" s="2">
        <v>1</v>
      </c>
      <c r="N614" s="2">
        <v>2999</v>
      </c>
      <c r="O614" s="2">
        <v>1900</v>
      </c>
      <c r="P614" s="2">
        <v>0</v>
      </c>
      <c r="Q614" s="2" t="s">
        <v>103</v>
      </c>
      <c r="R614" s="2" t="s">
        <v>42</v>
      </c>
      <c r="S614" s="3">
        <v>45752</v>
      </c>
      <c r="T614" s="6">
        <v>4</v>
      </c>
    </row>
    <row r="615" spans="1:20" x14ac:dyDescent="0.3">
      <c r="A615" s="2" t="s">
        <v>1177</v>
      </c>
      <c r="B615" s="3">
        <v>45692</v>
      </c>
      <c r="C615" s="2" t="s">
        <v>930</v>
      </c>
      <c r="D615" s="2" t="s">
        <v>556</v>
      </c>
      <c r="E615" s="2" t="s">
        <v>23</v>
      </c>
      <c r="F615" s="2">
        <v>48</v>
      </c>
      <c r="G615" s="2" t="s">
        <v>161</v>
      </c>
      <c r="H615" s="2" t="s">
        <v>25</v>
      </c>
      <c r="I615" s="2" t="s">
        <v>112</v>
      </c>
      <c r="J615" s="2" t="s">
        <v>113</v>
      </c>
      <c r="K615" s="2" t="s">
        <v>114</v>
      </c>
      <c r="L615" s="2" t="s">
        <v>115</v>
      </c>
      <c r="M615" s="2">
        <v>4</v>
      </c>
      <c r="N615" s="2">
        <v>1677.6</v>
      </c>
      <c r="O615" s="2">
        <v>1480</v>
      </c>
      <c r="P615" s="2">
        <v>40</v>
      </c>
      <c r="Q615" s="2" t="s">
        <v>103</v>
      </c>
      <c r="R615" s="2" t="s">
        <v>42</v>
      </c>
      <c r="S615" s="3">
        <v>45695</v>
      </c>
      <c r="T615" s="6">
        <v>4</v>
      </c>
    </row>
    <row r="616" spans="1:20" x14ac:dyDescent="0.3">
      <c r="A616" s="2" t="s">
        <v>1178</v>
      </c>
      <c r="B616" s="3">
        <v>45295</v>
      </c>
      <c r="C616" s="2" t="s">
        <v>152</v>
      </c>
      <c r="D616" s="2" t="s">
        <v>153</v>
      </c>
      <c r="E616" s="2" t="s">
        <v>23</v>
      </c>
      <c r="F616" s="2">
        <v>33</v>
      </c>
      <c r="G616" s="2" t="s">
        <v>101</v>
      </c>
      <c r="H616" s="2" t="s">
        <v>102</v>
      </c>
      <c r="I616" s="2" t="s">
        <v>229</v>
      </c>
      <c r="J616" s="2" t="s">
        <v>230</v>
      </c>
      <c r="K616" s="2" t="s">
        <v>28</v>
      </c>
      <c r="L616" s="2" t="s">
        <v>231</v>
      </c>
      <c r="M616" s="2">
        <v>5</v>
      </c>
      <c r="N616" s="2">
        <v>7496.25</v>
      </c>
      <c r="O616" s="2">
        <v>6150</v>
      </c>
      <c r="P616" s="2">
        <v>25</v>
      </c>
      <c r="Q616" s="2" t="s">
        <v>41</v>
      </c>
      <c r="R616" s="2" t="s">
        <v>31</v>
      </c>
      <c r="S616" s="3">
        <v>45301</v>
      </c>
      <c r="T616" s="6">
        <v>5</v>
      </c>
    </row>
    <row r="617" spans="1:20" x14ac:dyDescent="0.3">
      <c r="A617" s="2" t="s">
        <v>1179</v>
      </c>
      <c r="B617" s="3">
        <v>45348</v>
      </c>
      <c r="C617" s="2" t="s">
        <v>105</v>
      </c>
      <c r="D617" s="2" t="s">
        <v>106</v>
      </c>
      <c r="E617" s="2" t="s">
        <v>77</v>
      </c>
      <c r="F617" s="2">
        <v>45</v>
      </c>
      <c r="G617" s="2" t="s">
        <v>211</v>
      </c>
      <c r="H617" s="2" t="s">
        <v>127</v>
      </c>
      <c r="I617" s="2" t="s">
        <v>222</v>
      </c>
      <c r="J617" s="2" t="s">
        <v>223</v>
      </c>
      <c r="K617" s="2" t="s">
        <v>114</v>
      </c>
      <c r="L617" s="2" t="s">
        <v>115</v>
      </c>
      <c r="M617" s="2">
        <v>3</v>
      </c>
      <c r="N617" s="2">
        <v>2562.15</v>
      </c>
      <c r="O617" s="2">
        <v>1530</v>
      </c>
      <c r="P617" s="2">
        <v>5</v>
      </c>
      <c r="Q617" s="2" t="s">
        <v>103</v>
      </c>
      <c r="R617" s="2" t="s">
        <v>57</v>
      </c>
      <c r="S617" s="3">
        <v>45354</v>
      </c>
      <c r="T617" s="6">
        <v>4</v>
      </c>
    </row>
    <row r="618" spans="1:20" x14ac:dyDescent="0.3">
      <c r="A618" s="2" t="s">
        <v>1180</v>
      </c>
      <c r="B618" s="3">
        <v>45472</v>
      </c>
      <c r="C618" s="2" t="s">
        <v>429</v>
      </c>
      <c r="D618" s="2" t="s">
        <v>315</v>
      </c>
      <c r="E618" s="2" t="s">
        <v>77</v>
      </c>
      <c r="F618" s="2">
        <v>23</v>
      </c>
      <c r="G618" s="2" t="s">
        <v>24</v>
      </c>
      <c r="H618" s="2" t="s">
        <v>25</v>
      </c>
      <c r="I618" s="2" t="s">
        <v>47</v>
      </c>
      <c r="J618" s="2" t="s">
        <v>48</v>
      </c>
      <c r="K618" s="2" t="s">
        <v>39</v>
      </c>
      <c r="L618" s="2" t="s">
        <v>49</v>
      </c>
      <c r="M618" s="2">
        <v>2</v>
      </c>
      <c r="N618" s="2">
        <v>638.4</v>
      </c>
      <c r="O618" s="2">
        <v>420</v>
      </c>
      <c r="P618" s="2">
        <v>20</v>
      </c>
      <c r="Q618" s="2" t="s">
        <v>103</v>
      </c>
      <c r="R618" s="2" t="s">
        <v>42</v>
      </c>
      <c r="S618" s="3">
        <v>45484</v>
      </c>
      <c r="T618" s="6">
        <v>4</v>
      </c>
    </row>
    <row r="619" spans="1:20" x14ac:dyDescent="0.3">
      <c r="A619" s="2" t="s">
        <v>1181</v>
      </c>
      <c r="B619" s="3">
        <v>45790</v>
      </c>
      <c r="C619" s="2" t="s">
        <v>351</v>
      </c>
      <c r="D619" s="2" t="s">
        <v>1182</v>
      </c>
      <c r="E619" s="2" t="s">
        <v>77</v>
      </c>
      <c r="F619" s="2">
        <v>26</v>
      </c>
      <c r="G619" s="2" t="s">
        <v>61</v>
      </c>
      <c r="H619" s="2" t="s">
        <v>62</v>
      </c>
      <c r="I619" s="2" t="s">
        <v>177</v>
      </c>
      <c r="J619" s="2" t="s">
        <v>178</v>
      </c>
      <c r="K619" s="2" t="s">
        <v>87</v>
      </c>
      <c r="L619" s="2" t="s">
        <v>179</v>
      </c>
      <c r="M619" s="2">
        <v>2</v>
      </c>
      <c r="N619" s="2">
        <v>4498.2</v>
      </c>
      <c r="O619" s="2">
        <v>3240</v>
      </c>
      <c r="P619" s="2">
        <v>10</v>
      </c>
      <c r="Q619" s="2" t="s">
        <v>73</v>
      </c>
      <c r="R619" s="2" t="s">
        <v>42</v>
      </c>
      <c r="S619" s="3">
        <v>45792</v>
      </c>
      <c r="T619" s="6">
        <v>4</v>
      </c>
    </row>
    <row r="620" spans="1:20" x14ac:dyDescent="0.3">
      <c r="A620" s="2" t="s">
        <v>1183</v>
      </c>
      <c r="B620" s="3">
        <v>45792</v>
      </c>
      <c r="C620" s="2" t="s">
        <v>938</v>
      </c>
      <c r="D620" s="2" t="s">
        <v>53</v>
      </c>
      <c r="E620" s="2" t="s">
        <v>23</v>
      </c>
      <c r="F620" s="2">
        <v>42</v>
      </c>
      <c r="G620" s="2" t="s">
        <v>46</v>
      </c>
      <c r="H620" s="2" t="s">
        <v>25</v>
      </c>
      <c r="I620" s="2" t="s">
        <v>222</v>
      </c>
      <c r="J620" s="2" t="s">
        <v>223</v>
      </c>
      <c r="K620" s="2" t="s">
        <v>114</v>
      </c>
      <c r="L620" s="2" t="s">
        <v>115</v>
      </c>
      <c r="M620" s="2">
        <v>3</v>
      </c>
      <c r="N620" s="2">
        <v>1618.2</v>
      </c>
      <c r="O620" s="2">
        <v>1530</v>
      </c>
      <c r="P620" s="2">
        <v>40</v>
      </c>
      <c r="Q620" s="2" t="s">
        <v>50</v>
      </c>
      <c r="R620" s="2" t="s">
        <v>57</v>
      </c>
      <c r="S620" s="3">
        <v>45801</v>
      </c>
      <c r="T620" s="6">
        <v>2</v>
      </c>
    </row>
    <row r="621" spans="1:20" x14ac:dyDescent="0.3">
      <c r="A621" s="2" t="s">
        <v>1184</v>
      </c>
      <c r="B621" s="3">
        <v>45329</v>
      </c>
      <c r="C621" s="2" t="s">
        <v>345</v>
      </c>
      <c r="D621" s="2" t="s">
        <v>346</v>
      </c>
      <c r="E621" s="2" t="s">
        <v>23</v>
      </c>
      <c r="F621" s="2">
        <v>18</v>
      </c>
      <c r="G621" s="2" t="s">
        <v>24</v>
      </c>
      <c r="H621" s="2" t="s">
        <v>25</v>
      </c>
      <c r="I621" s="2" t="s">
        <v>183</v>
      </c>
      <c r="J621" s="2" t="s">
        <v>184</v>
      </c>
      <c r="K621" s="2" t="s">
        <v>130</v>
      </c>
      <c r="L621" s="2" t="s">
        <v>185</v>
      </c>
      <c r="M621" s="2">
        <v>1</v>
      </c>
      <c r="N621" s="2">
        <v>2799.3</v>
      </c>
      <c r="O621" s="2">
        <v>3050</v>
      </c>
      <c r="P621" s="2">
        <v>30</v>
      </c>
      <c r="Q621" s="2" t="s">
        <v>73</v>
      </c>
      <c r="R621" s="2" t="s">
        <v>42</v>
      </c>
      <c r="S621" s="3">
        <v>45341</v>
      </c>
      <c r="T621" s="6">
        <v>5</v>
      </c>
    </row>
    <row r="622" spans="1:20" x14ac:dyDescent="0.3">
      <c r="A622" s="2" t="s">
        <v>1185</v>
      </c>
      <c r="B622" s="3">
        <v>45986</v>
      </c>
      <c r="C622" s="2" t="s">
        <v>523</v>
      </c>
      <c r="D622" s="2" t="s">
        <v>524</v>
      </c>
      <c r="E622" s="2" t="s">
        <v>77</v>
      </c>
      <c r="F622" s="2">
        <v>49</v>
      </c>
      <c r="G622" s="2" t="s">
        <v>173</v>
      </c>
      <c r="H622" s="2" t="s">
        <v>79</v>
      </c>
      <c r="I622" s="2" t="s">
        <v>177</v>
      </c>
      <c r="J622" s="2" t="s">
        <v>178</v>
      </c>
      <c r="K622" s="2" t="s">
        <v>87</v>
      </c>
      <c r="L622" s="2" t="s">
        <v>179</v>
      </c>
      <c r="M622" s="2">
        <v>5</v>
      </c>
      <c r="N622" s="2">
        <v>10620.75</v>
      </c>
      <c r="O622" s="2">
        <v>8100</v>
      </c>
      <c r="P622" s="2">
        <v>15</v>
      </c>
      <c r="Q622" s="2" t="s">
        <v>73</v>
      </c>
      <c r="R622" s="2" t="s">
        <v>42</v>
      </c>
      <c r="S622" s="3">
        <v>45990</v>
      </c>
      <c r="T622" s="6">
        <v>5</v>
      </c>
    </row>
    <row r="623" spans="1:20" x14ac:dyDescent="0.3">
      <c r="A623" s="2" t="s">
        <v>1186</v>
      </c>
      <c r="B623" s="3">
        <v>45961</v>
      </c>
      <c r="C623" s="2" t="s">
        <v>805</v>
      </c>
      <c r="D623" s="2" t="s">
        <v>806</v>
      </c>
      <c r="E623" s="2" t="s">
        <v>77</v>
      </c>
      <c r="F623" s="2">
        <v>46</v>
      </c>
      <c r="G623" s="2" t="s">
        <v>101</v>
      </c>
      <c r="H623" s="2" t="s">
        <v>102</v>
      </c>
      <c r="I623" s="2" t="s">
        <v>155</v>
      </c>
      <c r="J623" s="2" t="s">
        <v>156</v>
      </c>
      <c r="K623" s="2" t="s">
        <v>114</v>
      </c>
      <c r="L623" s="2" t="s">
        <v>157</v>
      </c>
      <c r="M623" s="2">
        <v>1</v>
      </c>
      <c r="N623" s="2">
        <v>849.15</v>
      </c>
      <c r="O623" s="2">
        <v>610</v>
      </c>
      <c r="P623" s="2">
        <v>15</v>
      </c>
      <c r="Q623" s="2" t="s">
        <v>30</v>
      </c>
      <c r="R623" s="2" t="s">
        <v>42</v>
      </c>
      <c r="S623" s="3">
        <v>45965</v>
      </c>
      <c r="T623" s="6">
        <v>2</v>
      </c>
    </row>
    <row r="624" spans="1:20" x14ac:dyDescent="0.3">
      <c r="A624" s="2" t="s">
        <v>1187</v>
      </c>
      <c r="B624" s="3">
        <v>45606</v>
      </c>
      <c r="C624" s="2" t="s">
        <v>280</v>
      </c>
      <c r="D624" s="2" t="s">
        <v>281</v>
      </c>
      <c r="E624" s="2" t="s">
        <v>77</v>
      </c>
      <c r="F624" s="2">
        <v>53</v>
      </c>
      <c r="G624" s="2" t="s">
        <v>61</v>
      </c>
      <c r="H624" s="2" t="s">
        <v>62</v>
      </c>
      <c r="I624" s="2" t="s">
        <v>155</v>
      </c>
      <c r="J624" s="2" t="s">
        <v>156</v>
      </c>
      <c r="K624" s="2" t="s">
        <v>114</v>
      </c>
      <c r="L624" s="2" t="s">
        <v>157</v>
      </c>
      <c r="M624" s="2">
        <v>2</v>
      </c>
      <c r="N624" s="2">
        <v>1898.1</v>
      </c>
      <c r="O624" s="2">
        <v>1220</v>
      </c>
      <c r="P624" s="2">
        <v>5</v>
      </c>
      <c r="Q624" s="2" t="s">
        <v>73</v>
      </c>
      <c r="R624" s="2" t="s">
        <v>42</v>
      </c>
      <c r="S624" s="3">
        <v>45615</v>
      </c>
      <c r="T624" s="6">
        <v>4</v>
      </c>
    </row>
    <row r="625" spans="1:20" x14ac:dyDescent="0.3">
      <c r="A625" s="2" t="s">
        <v>1188</v>
      </c>
      <c r="B625" s="3">
        <v>45356</v>
      </c>
      <c r="C625" s="2" t="s">
        <v>398</v>
      </c>
      <c r="D625" s="2" t="s">
        <v>399</v>
      </c>
      <c r="E625" s="2" t="s">
        <v>77</v>
      </c>
      <c r="F625" s="2">
        <v>49</v>
      </c>
      <c r="G625" s="2" t="s">
        <v>122</v>
      </c>
      <c r="H625" s="2" t="s">
        <v>123</v>
      </c>
      <c r="I625" s="2" t="s">
        <v>183</v>
      </c>
      <c r="J625" s="2" t="s">
        <v>184</v>
      </c>
      <c r="K625" s="2" t="s">
        <v>130</v>
      </c>
      <c r="L625" s="2" t="s">
        <v>185</v>
      </c>
      <c r="M625" s="2">
        <v>4</v>
      </c>
      <c r="N625" s="2">
        <v>11997</v>
      </c>
      <c r="O625" s="2">
        <v>12200</v>
      </c>
      <c r="P625" s="2">
        <v>25</v>
      </c>
      <c r="Q625" s="2" t="s">
        <v>73</v>
      </c>
      <c r="R625" s="2" t="s">
        <v>31</v>
      </c>
      <c r="S625" s="3">
        <v>45367</v>
      </c>
      <c r="T625" s="6">
        <v>3</v>
      </c>
    </row>
    <row r="626" spans="1:20" x14ac:dyDescent="0.3">
      <c r="A626" s="2" t="s">
        <v>1189</v>
      </c>
      <c r="B626" s="3">
        <v>45621</v>
      </c>
      <c r="C626" s="2" t="s">
        <v>1190</v>
      </c>
      <c r="D626" s="2" t="s">
        <v>451</v>
      </c>
      <c r="E626" s="2" t="s">
        <v>77</v>
      </c>
      <c r="F626" s="2">
        <v>28</v>
      </c>
      <c r="G626" s="2" t="s">
        <v>24</v>
      </c>
      <c r="H626" s="2" t="s">
        <v>25</v>
      </c>
      <c r="I626" s="2" t="s">
        <v>198</v>
      </c>
      <c r="J626" s="2" t="s">
        <v>199</v>
      </c>
      <c r="K626" s="2" t="s">
        <v>114</v>
      </c>
      <c r="L626" s="2" t="s">
        <v>200</v>
      </c>
      <c r="M626" s="2">
        <v>2</v>
      </c>
      <c r="N626" s="2">
        <v>1948.5</v>
      </c>
      <c r="O626" s="2">
        <v>1520</v>
      </c>
      <c r="P626" s="2">
        <v>25</v>
      </c>
      <c r="Q626" s="2" t="s">
        <v>73</v>
      </c>
      <c r="R626" s="2" t="s">
        <v>42</v>
      </c>
      <c r="S626" s="3">
        <v>45627</v>
      </c>
      <c r="T626" s="6">
        <v>3</v>
      </c>
    </row>
    <row r="627" spans="1:20" x14ac:dyDescent="0.3">
      <c r="A627" s="2" t="s">
        <v>1191</v>
      </c>
      <c r="B627" s="3">
        <v>45717</v>
      </c>
      <c r="C627" s="2" t="s">
        <v>441</v>
      </c>
      <c r="D627" s="2" t="s">
        <v>442</v>
      </c>
      <c r="E627" s="2" t="s">
        <v>77</v>
      </c>
      <c r="F627" s="2">
        <v>44</v>
      </c>
      <c r="G627" s="2" t="s">
        <v>211</v>
      </c>
      <c r="H627" s="2" t="s">
        <v>127</v>
      </c>
      <c r="I627" s="2" t="s">
        <v>222</v>
      </c>
      <c r="J627" s="2" t="s">
        <v>223</v>
      </c>
      <c r="K627" s="2" t="s">
        <v>114</v>
      </c>
      <c r="L627" s="2" t="s">
        <v>115</v>
      </c>
      <c r="M627" s="2">
        <v>2</v>
      </c>
      <c r="N627" s="2">
        <v>1078.8</v>
      </c>
      <c r="O627" s="2">
        <v>1020</v>
      </c>
      <c r="P627" s="2">
        <v>40</v>
      </c>
      <c r="Q627" s="2" t="s">
        <v>30</v>
      </c>
      <c r="R627" s="2" t="s">
        <v>65</v>
      </c>
      <c r="S627" s="3" t="s">
        <v>1604</v>
      </c>
      <c r="T627" s="6" t="s">
        <v>1604</v>
      </c>
    </row>
    <row r="628" spans="1:20" x14ac:dyDescent="0.3">
      <c r="A628" s="2" t="s">
        <v>1192</v>
      </c>
      <c r="B628" s="3">
        <v>45333</v>
      </c>
      <c r="C628" s="2" t="s">
        <v>689</v>
      </c>
      <c r="D628" s="2" t="s">
        <v>690</v>
      </c>
      <c r="E628" s="2" t="s">
        <v>77</v>
      </c>
      <c r="F628" s="2">
        <v>45</v>
      </c>
      <c r="G628" s="2" t="s">
        <v>69</v>
      </c>
      <c r="H628" s="2" t="s">
        <v>69</v>
      </c>
      <c r="I628" s="2" t="s">
        <v>92</v>
      </c>
      <c r="J628" s="2" t="s">
        <v>93</v>
      </c>
      <c r="K628" s="2" t="s">
        <v>87</v>
      </c>
      <c r="L628" s="2" t="s">
        <v>94</v>
      </c>
      <c r="M628" s="2">
        <v>5</v>
      </c>
      <c r="N628" s="2">
        <v>5596.5</v>
      </c>
      <c r="O628" s="2">
        <v>4650</v>
      </c>
      <c r="P628" s="2">
        <v>30</v>
      </c>
      <c r="Q628" s="2" t="s">
        <v>30</v>
      </c>
      <c r="R628" s="2" t="s">
        <v>42</v>
      </c>
      <c r="S628" s="3">
        <v>45342</v>
      </c>
      <c r="T628" s="6">
        <v>3</v>
      </c>
    </row>
    <row r="629" spans="1:20" x14ac:dyDescent="0.3">
      <c r="A629" s="2" t="s">
        <v>1193</v>
      </c>
      <c r="B629" s="3">
        <v>45298</v>
      </c>
      <c r="C629" s="2" t="s">
        <v>685</v>
      </c>
      <c r="D629" s="2" t="s">
        <v>399</v>
      </c>
      <c r="E629" s="2" t="s">
        <v>77</v>
      </c>
      <c r="F629" s="2">
        <v>52</v>
      </c>
      <c r="G629" s="2" t="s">
        <v>78</v>
      </c>
      <c r="H629" s="2" t="s">
        <v>79</v>
      </c>
      <c r="I629" s="2" t="s">
        <v>54</v>
      </c>
      <c r="J629" s="2" t="s">
        <v>55</v>
      </c>
      <c r="K629" s="2" t="s">
        <v>28</v>
      </c>
      <c r="L629" s="2" t="s">
        <v>56</v>
      </c>
      <c r="M629" s="2">
        <v>5</v>
      </c>
      <c r="N629" s="2">
        <v>2796</v>
      </c>
      <c r="O629" s="2">
        <v>2050</v>
      </c>
      <c r="P629" s="2">
        <v>20</v>
      </c>
      <c r="Q629" s="2" t="s">
        <v>103</v>
      </c>
      <c r="R629" s="2" t="s">
        <v>31</v>
      </c>
      <c r="S629" s="3">
        <v>45307</v>
      </c>
      <c r="T629" s="6">
        <v>3</v>
      </c>
    </row>
    <row r="630" spans="1:20" x14ac:dyDescent="0.3">
      <c r="A630" s="2" t="s">
        <v>1194</v>
      </c>
      <c r="B630" s="3">
        <v>45503</v>
      </c>
      <c r="C630" s="2" t="s">
        <v>387</v>
      </c>
      <c r="D630" s="2" t="s">
        <v>388</v>
      </c>
      <c r="E630" s="2" t="s">
        <v>23</v>
      </c>
      <c r="F630" s="2">
        <v>32</v>
      </c>
      <c r="G630" s="2" t="s">
        <v>207</v>
      </c>
      <c r="H630" s="2" t="s">
        <v>36</v>
      </c>
      <c r="I630" s="2" t="s">
        <v>112</v>
      </c>
      <c r="J630" s="2" t="s">
        <v>113</v>
      </c>
      <c r="K630" s="2" t="s">
        <v>114</v>
      </c>
      <c r="L630" s="2" t="s">
        <v>115</v>
      </c>
      <c r="M630" s="2">
        <v>4</v>
      </c>
      <c r="N630" s="2">
        <v>1957.2</v>
      </c>
      <c r="O630" s="2">
        <v>1480</v>
      </c>
      <c r="P630" s="2">
        <v>30</v>
      </c>
      <c r="Q630" s="2" t="s">
        <v>30</v>
      </c>
      <c r="R630" s="2" t="s">
        <v>42</v>
      </c>
      <c r="S630" s="3">
        <v>45514</v>
      </c>
      <c r="T630" s="6">
        <v>2</v>
      </c>
    </row>
    <row r="631" spans="1:20" x14ac:dyDescent="0.3">
      <c r="A631" s="2" t="s">
        <v>1195</v>
      </c>
      <c r="B631" s="3">
        <v>45902</v>
      </c>
      <c r="C631" s="2" t="s">
        <v>967</v>
      </c>
      <c r="D631" s="2" t="s">
        <v>968</v>
      </c>
      <c r="E631" s="2" t="s">
        <v>23</v>
      </c>
      <c r="F631" s="2">
        <v>29</v>
      </c>
      <c r="G631" s="2" t="s">
        <v>101</v>
      </c>
      <c r="H631" s="2" t="s">
        <v>102</v>
      </c>
      <c r="I631" s="2" t="s">
        <v>155</v>
      </c>
      <c r="J631" s="2" t="s">
        <v>156</v>
      </c>
      <c r="K631" s="2" t="s">
        <v>114</v>
      </c>
      <c r="L631" s="2" t="s">
        <v>157</v>
      </c>
      <c r="M631" s="2">
        <v>1</v>
      </c>
      <c r="N631" s="2">
        <v>799.2</v>
      </c>
      <c r="O631" s="2">
        <v>610</v>
      </c>
      <c r="P631" s="2">
        <v>20</v>
      </c>
      <c r="Q631" s="2" t="s">
        <v>41</v>
      </c>
      <c r="R631" s="2" t="s">
        <v>42</v>
      </c>
      <c r="S631" s="3">
        <v>45904</v>
      </c>
      <c r="T631" s="6">
        <v>4</v>
      </c>
    </row>
    <row r="632" spans="1:20" x14ac:dyDescent="0.3">
      <c r="A632" s="2" t="s">
        <v>1196</v>
      </c>
      <c r="B632" s="3">
        <v>45488</v>
      </c>
      <c r="C632" s="2" t="s">
        <v>517</v>
      </c>
      <c r="D632" s="2" t="s">
        <v>518</v>
      </c>
      <c r="E632" s="2" t="s">
        <v>23</v>
      </c>
      <c r="F632" s="2">
        <v>38</v>
      </c>
      <c r="G632" s="2" t="s">
        <v>69</v>
      </c>
      <c r="H632" s="2" t="s">
        <v>69</v>
      </c>
      <c r="I632" s="2" t="s">
        <v>155</v>
      </c>
      <c r="J632" s="2" t="s">
        <v>156</v>
      </c>
      <c r="K632" s="2" t="s">
        <v>114</v>
      </c>
      <c r="L632" s="2" t="s">
        <v>157</v>
      </c>
      <c r="M632" s="2">
        <v>3</v>
      </c>
      <c r="N632" s="2">
        <v>2547.4499999999998</v>
      </c>
      <c r="O632" s="2">
        <v>1830</v>
      </c>
      <c r="P632" s="2">
        <v>15</v>
      </c>
      <c r="Q632" s="2" t="s">
        <v>103</v>
      </c>
      <c r="R632" s="2" t="s">
        <v>57</v>
      </c>
      <c r="S632" s="3">
        <v>45500</v>
      </c>
      <c r="T632" s="6">
        <v>4</v>
      </c>
    </row>
    <row r="633" spans="1:20" x14ac:dyDescent="0.3">
      <c r="A633" s="2" t="s">
        <v>1197</v>
      </c>
      <c r="B633" s="3">
        <v>45575</v>
      </c>
      <c r="C633" s="2" t="s">
        <v>1086</v>
      </c>
      <c r="D633" s="2" t="s">
        <v>1087</v>
      </c>
      <c r="E633" s="2" t="s">
        <v>23</v>
      </c>
      <c r="F633" s="2">
        <v>22</v>
      </c>
      <c r="G633" s="2" t="s">
        <v>154</v>
      </c>
      <c r="H633" s="2" t="s">
        <v>91</v>
      </c>
      <c r="I633" s="2" t="s">
        <v>229</v>
      </c>
      <c r="J633" s="2" t="s">
        <v>230</v>
      </c>
      <c r="K633" s="2" t="s">
        <v>28</v>
      </c>
      <c r="L633" s="2" t="s">
        <v>231</v>
      </c>
      <c r="M633" s="2">
        <v>2</v>
      </c>
      <c r="N633" s="2">
        <v>2398.8000000000002</v>
      </c>
      <c r="O633" s="2">
        <v>2460</v>
      </c>
      <c r="P633" s="2">
        <v>40</v>
      </c>
      <c r="Q633" s="2" t="s">
        <v>103</v>
      </c>
      <c r="R633" s="2" t="s">
        <v>42</v>
      </c>
      <c r="S633" s="3">
        <v>45579</v>
      </c>
      <c r="T633" s="6">
        <v>2</v>
      </c>
    </row>
    <row r="634" spans="1:20" x14ac:dyDescent="0.3">
      <c r="A634" s="2" t="s">
        <v>1198</v>
      </c>
      <c r="B634" s="3">
        <v>45347</v>
      </c>
      <c r="C634" s="2" t="s">
        <v>1199</v>
      </c>
      <c r="D634" s="2" t="s">
        <v>1200</v>
      </c>
      <c r="E634" s="2" t="s">
        <v>77</v>
      </c>
      <c r="F634" s="2">
        <v>31</v>
      </c>
      <c r="G634" s="2" t="s">
        <v>35</v>
      </c>
      <c r="H634" s="2" t="s">
        <v>36</v>
      </c>
      <c r="I634" s="2" t="s">
        <v>70</v>
      </c>
      <c r="J634" s="2" t="s">
        <v>71</v>
      </c>
      <c r="K634" s="2" t="s">
        <v>28</v>
      </c>
      <c r="L634" s="2" t="s">
        <v>72</v>
      </c>
      <c r="M634" s="2">
        <v>4</v>
      </c>
      <c r="N634" s="2">
        <v>4796.8</v>
      </c>
      <c r="O634" s="2">
        <v>3680</v>
      </c>
      <c r="P634" s="2">
        <v>20</v>
      </c>
      <c r="Q634" s="2" t="s">
        <v>41</v>
      </c>
      <c r="R634" s="2" t="s">
        <v>65</v>
      </c>
      <c r="S634" s="3" t="s">
        <v>1604</v>
      </c>
      <c r="T634" s="6" t="s">
        <v>1604</v>
      </c>
    </row>
    <row r="635" spans="1:20" x14ac:dyDescent="0.3">
      <c r="A635" s="2" t="s">
        <v>1201</v>
      </c>
      <c r="B635" s="3">
        <v>45756</v>
      </c>
      <c r="C635" s="2" t="s">
        <v>599</v>
      </c>
      <c r="D635" s="2" t="s">
        <v>600</v>
      </c>
      <c r="E635" s="2" t="s">
        <v>77</v>
      </c>
      <c r="F635" s="2">
        <v>32</v>
      </c>
      <c r="G635" s="2" t="s">
        <v>69</v>
      </c>
      <c r="H635" s="2" t="s">
        <v>69</v>
      </c>
      <c r="I635" s="2" t="s">
        <v>177</v>
      </c>
      <c r="J635" s="2" t="s">
        <v>178</v>
      </c>
      <c r="K635" s="2" t="s">
        <v>87</v>
      </c>
      <c r="L635" s="2" t="s">
        <v>179</v>
      </c>
      <c r="M635" s="2">
        <v>1</v>
      </c>
      <c r="N635" s="2">
        <v>2249.1</v>
      </c>
      <c r="O635" s="2">
        <v>1620</v>
      </c>
      <c r="P635" s="2">
        <v>10</v>
      </c>
      <c r="Q635" s="2" t="s">
        <v>30</v>
      </c>
      <c r="R635" s="2" t="s">
        <v>57</v>
      </c>
      <c r="S635" s="3">
        <v>45758</v>
      </c>
      <c r="T635" s="6">
        <v>5</v>
      </c>
    </row>
    <row r="636" spans="1:20" x14ac:dyDescent="0.3">
      <c r="A636" s="2" t="s">
        <v>1202</v>
      </c>
      <c r="B636" s="3">
        <v>45819</v>
      </c>
      <c r="C636" s="2" t="s">
        <v>674</v>
      </c>
      <c r="D636" s="2" t="s">
        <v>675</v>
      </c>
      <c r="E636" s="2" t="s">
        <v>23</v>
      </c>
      <c r="F636" s="2">
        <v>51</v>
      </c>
      <c r="G636" s="2" t="s">
        <v>46</v>
      </c>
      <c r="H636" s="2" t="s">
        <v>25</v>
      </c>
      <c r="I636" s="2" t="s">
        <v>304</v>
      </c>
      <c r="J636" s="2" t="s">
        <v>305</v>
      </c>
      <c r="K636" s="2" t="s">
        <v>28</v>
      </c>
      <c r="L636" s="2" t="s">
        <v>231</v>
      </c>
      <c r="M636" s="2">
        <v>4</v>
      </c>
      <c r="N636" s="2">
        <v>5397</v>
      </c>
      <c r="O636" s="2">
        <v>4320</v>
      </c>
      <c r="P636" s="2">
        <v>25</v>
      </c>
      <c r="Q636" s="2" t="s">
        <v>103</v>
      </c>
      <c r="R636" s="2" t="s">
        <v>42</v>
      </c>
      <c r="S636" s="3">
        <v>45831</v>
      </c>
      <c r="T636" s="6">
        <v>4</v>
      </c>
    </row>
    <row r="637" spans="1:20" x14ac:dyDescent="0.3">
      <c r="A637" s="2" t="s">
        <v>1203</v>
      </c>
      <c r="B637" s="3">
        <v>45527</v>
      </c>
      <c r="C637" s="2" t="s">
        <v>471</v>
      </c>
      <c r="D637" s="2" t="s">
        <v>472</v>
      </c>
      <c r="E637" s="2" t="s">
        <v>23</v>
      </c>
      <c r="F637" s="2">
        <v>37</v>
      </c>
      <c r="G637" s="2" t="s">
        <v>126</v>
      </c>
      <c r="H637" s="2" t="s">
        <v>127</v>
      </c>
      <c r="I637" s="2" t="s">
        <v>304</v>
      </c>
      <c r="J637" s="2" t="s">
        <v>305</v>
      </c>
      <c r="K637" s="2" t="s">
        <v>28</v>
      </c>
      <c r="L637" s="2" t="s">
        <v>231</v>
      </c>
      <c r="M637" s="2">
        <v>1</v>
      </c>
      <c r="N637" s="2">
        <v>1529.15</v>
      </c>
      <c r="O637" s="2">
        <v>1080</v>
      </c>
      <c r="P637" s="2">
        <v>15</v>
      </c>
      <c r="Q637" s="2" t="s">
        <v>103</v>
      </c>
      <c r="R637" s="2" t="s">
        <v>57</v>
      </c>
      <c r="S637" s="3">
        <v>45532</v>
      </c>
      <c r="T637" s="6">
        <v>5</v>
      </c>
    </row>
    <row r="638" spans="1:20" x14ac:dyDescent="0.3">
      <c r="A638" s="2" t="s">
        <v>1204</v>
      </c>
      <c r="B638" s="3">
        <v>45517</v>
      </c>
      <c r="C638" s="2" t="s">
        <v>462</v>
      </c>
      <c r="D638" s="2" t="s">
        <v>76</v>
      </c>
      <c r="E638" s="2" t="s">
        <v>77</v>
      </c>
      <c r="F638" s="2">
        <v>43</v>
      </c>
      <c r="G638" s="2" t="s">
        <v>101</v>
      </c>
      <c r="H638" s="2" t="s">
        <v>102</v>
      </c>
      <c r="I638" s="2" t="s">
        <v>198</v>
      </c>
      <c r="J638" s="2" t="s">
        <v>199</v>
      </c>
      <c r="K638" s="2" t="s">
        <v>114</v>
      </c>
      <c r="L638" s="2" t="s">
        <v>200</v>
      </c>
      <c r="M638" s="2">
        <v>4</v>
      </c>
      <c r="N638" s="2">
        <v>5196</v>
      </c>
      <c r="O638" s="2">
        <v>3040</v>
      </c>
      <c r="P638" s="2">
        <v>0</v>
      </c>
      <c r="Q638" s="2" t="s">
        <v>103</v>
      </c>
      <c r="R638" s="2" t="s">
        <v>42</v>
      </c>
      <c r="S638" s="3">
        <v>45522</v>
      </c>
      <c r="T638" s="6">
        <v>5</v>
      </c>
    </row>
    <row r="639" spans="1:20" x14ac:dyDescent="0.3">
      <c r="A639" s="2" t="s">
        <v>1205</v>
      </c>
      <c r="B639" s="3">
        <v>45474</v>
      </c>
      <c r="C639" s="2" t="s">
        <v>711</v>
      </c>
      <c r="D639" s="2" t="s">
        <v>712</v>
      </c>
      <c r="E639" s="2" t="s">
        <v>77</v>
      </c>
      <c r="F639" s="2">
        <v>58</v>
      </c>
      <c r="G639" s="2" t="s">
        <v>211</v>
      </c>
      <c r="H639" s="2" t="s">
        <v>127</v>
      </c>
      <c r="I639" s="2" t="s">
        <v>252</v>
      </c>
      <c r="J639" s="2" t="s">
        <v>253</v>
      </c>
      <c r="K639" s="2" t="s">
        <v>28</v>
      </c>
      <c r="L639" s="2" t="s">
        <v>254</v>
      </c>
      <c r="M639" s="2">
        <v>4</v>
      </c>
      <c r="N639" s="2">
        <v>10196.6</v>
      </c>
      <c r="O639" s="2">
        <v>7600</v>
      </c>
      <c r="P639" s="2">
        <v>15</v>
      </c>
      <c r="Q639" s="2" t="s">
        <v>41</v>
      </c>
      <c r="R639" s="2" t="s">
        <v>42</v>
      </c>
      <c r="S639" s="3">
        <v>45479</v>
      </c>
      <c r="T639" s="6">
        <v>4</v>
      </c>
    </row>
    <row r="640" spans="1:20" x14ac:dyDescent="0.3">
      <c r="A640" s="2" t="s">
        <v>1206</v>
      </c>
      <c r="B640" s="3">
        <v>45422</v>
      </c>
      <c r="C640" s="2" t="s">
        <v>624</v>
      </c>
      <c r="D640" s="2" t="s">
        <v>625</v>
      </c>
      <c r="E640" s="2" t="s">
        <v>77</v>
      </c>
      <c r="F640" s="2">
        <v>47</v>
      </c>
      <c r="G640" s="2" t="s">
        <v>24</v>
      </c>
      <c r="H640" s="2" t="s">
        <v>25</v>
      </c>
      <c r="I640" s="2" t="s">
        <v>128</v>
      </c>
      <c r="J640" s="2" t="s">
        <v>129</v>
      </c>
      <c r="K640" s="2" t="s">
        <v>130</v>
      </c>
      <c r="L640" s="2" t="s">
        <v>131</v>
      </c>
      <c r="M640" s="2">
        <v>2</v>
      </c>
      <c r="N640" s="2">
        <v>12348.1</v>
      </c>
      <c r="O640" s="2">
        <v>10200</v>
      </c>
      <c r="P640" s="2">
        <v>5</v>
      </c>
      <c r="Q640" s="2" t="s">
        <v>103</v>
      </c>
      <c r="R640" s="2" t="s">
        <v>42</v>
      </c>
      <c r="S640" s="3">
        <v>45430</v>
      </c>
      <c r="T640" s="6">
        <v>3</v>
      </c>
    </row>
    <row r="641" spans="1:20" x14ac:dyDescent="0.3">
      <c r="A641" s="2" t="s">
        <v>1207</v>
      </c>
      <c r="B641" s="3">
        <v>45643</v>
      </c>
      <c r="C641" s="2" t="s">
        <v>215</v>
      </c>
      <c r="D641" s="2" t="s">
        <v>147</v>
      </c>
      <c r="E641" s="2" t="s">
        <v>23</v>
      </c>
      <c r="F641" s="2">
        <v>33</v>
      </c>
      <c r="G641" s="2" t="s">
        <v>35</v>
      </c>
      <c r="H641" s="2" t="s">
        <v>36</v>
      </c>
      <c r="I641" s="2" t="s">
        <v>155</v>
      </c>
      <c r="J641" s="2" t="s">
        <v>156</v>
      </c>
      <c r="K641" s="2" t="s">
        <v>114</v>
      </c>
      <c r="L641" s="2" t="s">
        <v>157</v>
      </c>
      <c r="M641" s="2">
        <v>2</v>
      </c>
      <c r="N641" s="2">
        <v>1798.2</v>
      </c>
      <c r="O641" s="2">
        <v>1220</v>
      </c>
      <c r="P641" s="2">
        <v>10</v>
      </c>
      <c r="Q641" s="2" t="s">
        <v>50</v>
      </c>
      <c r="R641" s="2" t="s">
        <v>65</v>
      </c>
      <c r="S641" s="3" t="s">
        <v>1604</v>
      </c>
      <c r="T641" s="6" t="s">
        <v>1604</v>
      </c>
    </row>
    <row r="642" spans="1:20" x14ac:dyDescent="0.3">
      <c r="A642" s="2" t="s">
        <v>1208</v>
      </c>
      <c r="B642" s="3">
        <v>45527</v>
      </c>
      <c r="C642" s="2" t="s">
        <v>508</v>
      </c>
      <c r="D642" s="2" t="s">
        <v>509</v>
      </c>
      <c r="E642" s="2" t="s">
        <v>77</v>
      </c>
      <c r="F642" s="2">
        <v>23</v>
      </c>
      <c r="G642" s="2" t="s">
        <v>122</v>
      </c>
      <c r="H642" s="2" t="s">
        <v>123</v>
      </c>
      <c r="I642" s="2" t="s">
        <v>112</v>
      </c>
      <c r="J642" s="2" t="s">
        <v>113</v>
      </c>
      <c r="K642" s="2" t="s">
        <v>114</v>
      </c>
      <c r="L642" s="2" t="s">
        <v>115</v>
      </c>
      <c r="M642" s="2">
        <v>4</v>
      </c>
      <c r="N642" s="2">
        <v>2376.6</v>
      </c>
      <c r="O642" s="2">
        <v>1480</v>
      </c>
      <c r="P642" s="2">
        <v>15</v>
      </c>
      <c r="Q642" s="2" t="s">
        <v>50</v>
      </c>
      <c r="R642" s="2" t="s">
        <v>42</v>
      </c>
      <c r="S642" s="3">
        <v>45536</v>
      </c>
      <c r="T642" s="6">
        <v>4</v>
      </c>
    </row>
    <row r="643" spans="1:20" x14ac:dyDescent="0.3">
      <c r="A643" s="2" t="s">
        <v>1209</v>
      </c>
      <c r="B643" s="3">
        <v>45306</v>
      </c>
      <c r="C643" s="2" t="s">
        <v>610</v>
      </c>
      <c r="D643" s="2" t="s">
        <v>34</v>
      </c>
      <c r="E643" s="2" t="s">
        <v>23</v>
      </c>
      <c r="F643" s="2">
        <v>31</v>
      </c>
      <c r="G643" s="2" t="s">
        <v>90</v>
      </c>
      <c r="H643" s="2" t="s">
        <v>91</v>
      </c>
      <c r="I643" s="2" t="s">
        <v>304</v>
      </c>
      <c r="J643" s="2" t="s">
        <v>305</v>
      </c>
      <c r="K643" s="2" t="s">
        <v>28</v>
      </c>
      <c r="L643" s="2" t="s">
        <v>231</v>
      </c>
      <c r="M643" s="2">
        <v>3</v>
      </c>
      <c r="N643" s="2">
        <v>3777.9</v>
      </c>
      <c r="O643" s="2">
        <v>3240</v>
      </c>
      <c r="P643" s="2">
        <v>30</v>
      </c>
      <c r="Q643" s="2" t="s">
        <v>50</v>
      </c>
      <c r="R643" s="2" t="s">
        <v>42</v>
      </c>
      <c r="S643" s="3">
        <v>45317</v>
      </c>
      <c r="T643" s="6">
        <v>3</v>
      </c>
    </row>
    <row r="644" spans="1:20" x14ac:dyDescent="0.3">
      <c r="A644" s="2" t="s">
        <v>1210</v>
      </c>
      <c r="B644" s="3">
        <v>45879</v>
      </c>
      <c r="C644" s="2" t="s">
        <v>799</v>
      </c>
      <c r="D644" s="2" t="s">
        <v>800</v>
      </c>
      <c r="E644" s="2" t="s">
        <v>23</v>
      </c>
      <c r="F644" s="2">
        <v>24</v>
      </c>
      <c r="G644" s="2" t="s">
        <v>122</v>
      </c>
      <c r="H644" s="2" t="s">
        <v>123</v>
      </c>
      <c r="I644" s="2" t="s">
        <v>26</v>
      </c>
      <c r="J644" s="2" t="s">
        <v>27</v>
      </c>
      <c r="K644" s="2" t="s">
        <v>28</v>
      </c>
      <c r="L644" s="2" t="s">
        <v>29</v>
      </c>
      <c r="M644" s="2">
        <v>1</v>
      </c>
      <c r="N644" s="2">
        <v>779.4</v>
      </c>
      <c r="O644" s="2">
        <v>790</v>
      </c>
      <c r="P644" s="2">
        <v>40</v>
      </c>
      <c r="Q644" s="2" t="s">
        <v>50</v>
      </c>
      <c r="R644" s="2" t="s">
        <v>42</v>
      </c>
      <c r="S644" s="3">
        <v>45887</v>
      </c>
      <c r="T644" s="6">
        <v>5</v>
      </c>
    </row>
    <row r="645" spans="1:20" x14ac:dyDescent="0.3">
      <c r="A645" s="2" t="s">
        <v>1211</v>
      </c>
      <c r="B645" s="3">
        <v>45782</v>
      </c>
      <c r="C645" s="2" t="s">
        <v>240</v>
      </c>
      <c r="D645" s="2" t="s">
        <v>241</v>
      </c>
      <c r="E645" s="2" t="s">
        <v>23</v>
      </c>
      <c r="F645" s="2">
        <v>25</v>
      </c>
      <c r="G645" s="2" t="s">
        <v>61</v>
      </c>
      <c r="H645" s="2" t="s">
        <v>62</v>
      </c>
      <c r="I645" s="2" t="s">
        <v>37</v>
      </c>
      <c r="J645" s="2" t="s">
        <v>38</v>
      </c>
      <c r="K645" s="2" t="s">
        <v>39</v>
      </c>
      <c r="L645" s="2" t="s">
        <v>40</v>
      </c>
      <c r="M645" s="2">
        <v>2</v>
      </c>
      <c r="N645" s="2">
        <v>1708.1</v>
      </c>
      <c r="O645" s="2">
        <v>1040</v>
      </c>
      <c r="P645" s="2">
        <v>5</v>
      </c>
      <c r="Q645" s="2" t="s">
        <v>50</v>
      </c>
      <c r="R645" s="2" t="s">
        <v>57</v>
      </c>
      <c r="S645" s="3">
        <v>45784</v>
      </c>
      <c r="T645" s="6">
        <v>5</v>
      </c>
    </row>
    <row r="646" spans="1:20" x14ac:dyDescent="0.3">
      <c r="A646" s="2" t="s">
        <v>1212</v>
      </c>
      <c r="B646" s="3">
        <v>45515</v>
      </c>
      <c r="C646" s="2" t="s">
        <v>632</v>
      </c>
      <c r="D646" s="2" t="s">
        <v>372</v>
      </c>
      <c r="E646" s="2" t="s">
        <v>77</v>
      </c>
      <c r="F646" s="2">
        <v>34</v>
      </c>
      <c r="G646" s="2" t="s">
        <v>211</v>
      </c>
      <c r="H646" s="2" t="s">
        <v>127</v>
      </c>
      <c r="I646" s="2" t="s">
        <v>143</v>
      </c>
      <c r="J646" s="2" t="s">
        <v>144</v>
      </c>
      <c r="K646" s="2" t="s">
        <v>130</v>
      </c>
      <c r="L646" s="2" t="s">
        <v>131</v>
      </c>
      <c r="M646" s="2">
        <v>2</v>
      </c>
      <c r="N646" s="2">
        <v>10448.1</v>
      </c>
      <c r="O646" s="2">
        <v>8600</v>
      </c>
      <c r="P646" s="2">
        <v>5</v>
      </c>
      <c r="Q646" s="2" t="s">
        <v>73</v>
      </c>
      <c r="R646" s="2" t="s">
        <v>42</v>
      </c>
      <c r="S646" s="3">
        <v>45527</v>
      </c>
      <c r="T646" s="6">
        <v>4</v>
      </c>
    </row>
    <row r="647" spans="1:20" x14ac:dyDescent="0.3">
      <c r="A647" s="2" t="s">
        <v>1213</v>
      </c>
      <c r="B647" s="3">
        <v>45457</v>
      </c>
      <c r="C647" s="2" t="s">
        <v>310</v>
      </c>
      <c r="D647" s="2" t="s">
        <v>311</v>
      </c>
      <c r="E647" s="2" t="s">
        <v>23</v>
      </c>
      <c r="F647" s="2">
        <v>19</v>
      </c>
      <c r="G647" s="2" t="s">
        <v>161</v>
      </c>
      <c r="H647" s="2" t="s">
        <v>25</v>
      </c>
      <c r="I647" s="2" t="s">
        <v>63</v>
      </c>
      <c r="J647" s="2" t="s">
        <v>64</v>
      </c>
      <c r="K647" s="2" t="s">
        <v>39</v>
      </c>
      <c r="L647" s="2" t="s">
        <v>40</v>
      </c>
      <c r="M647" s="2">
        <v>4</v>
      </c>
      <c r="N647" s="2">
        <v>2156.4</v>
      </c>
      <c r="O647" s="2">
        <v>1320</v>
      </c>
      <c r="P647" s="2">
        <v>10</v>
      </c>
      <c r="Q647" s="2" t="s">
        <v>103</v>
      </c>
      <c r="R647" s="2" t="s">
        <v>42</v>
      </c>
      <c r="S647" s="3">
        <v>45464</v>
      </c>
      <c r="T647" s="6">
        <v>5</v>
      </c>
    </row>
    <row r="648" spans="1:20" x14ac:dyDescent="0.3">
      <c r="A648" s="2" t="s">
        <v>1214</v>
      </c>
      <c r="B648" s="3">
        <v>46012</v>
      </c>
      <c r="C648" s="2" t="s">
        <v>1215</v>
      </c>
      <c r="D648" s="2" t="s">
        <v>1216</v>
      </c>
      <c r="E648" s="2" t="s">
        <v>77</v>
      </c>
      <c r="F648" s="2">
        <v>19</v>
      </c>
      <c r="G648" s="2" t="s">
        <v>46</v>
      </c>
      <c r="H648" s="2" t="s">
        <v>25</v>
      </c>
      <c r="I648" s="2" t="s">
        <v>47</v>
      </c>
      <c r="J648" s="2" t="s">
        <v>48</v>
      </c>
      <c r="K648" s="2" t="s">
        <v>39</v>
      </c>
      <c r="L648" s="2" t="s">
        <v>49</v>
      </c>
      <c r="M648" s="2">
        <v>3</v>
      </c>
      <c r="N648" s="2">
        <v>1197</v>
      </c>
      <c r="O648" s="2">
        <v>630</v>
      </c>
      <c r="P648" s="2">
        <v>0</v>
      </c>
      <c r="Q648" s="2" t="s">
        <v>41</v>
      </c>
      <c r="R648" s="2" t="s">
        <v>42</v>
      </c>
      <c r="S648" s="3">
        <v>46018</v>
      </c>
      <c r="T648" s="6">
        <v>4</v>
      </c>
    </row>
    <row r="649" spans="1:20" x14ac:dyDescent="0.3">
      <c r="A649" s="2" t="s">
        <v>1217</v>
      </c>
      <c r="B649" s="3">
        <v>45993</v>
      </c>
      <c r="C649" s="2" t="s">
        <v>297</v>
      </c>
      <c r="D649" s="2" t="s">
        <v>298</v>
      </c>
      <c r="E649" s="2" t="s">
        <v>77</v>
      </c>
      <c r="F649" s="2">
        <v>55</v>
      </c>
      <c r="G649" s="2" t="s">
        <v>126</v>
      </c>
      <c r="H649" s="2" t="s">
        <v>127</v>
      </c>
      <c r="I649" s="2" t="s">
        <v>177</v>
      </c>
      <c r="J649" s="2" t="s">
        <v>178</v>
      </c>
      <c r="K649" s="2" t="s">
        <v>87</v>
      </c>
      <c r="L649" s="2" t="s">
        <v>179</v>
      </c>
      <c r="M649" s="2">
        <v>1</v>
      </c>
      <c r="N649" s="2">
        <v>1874.25</v>
      </c>
      <c r="O649" s="2">
        <v>1620</v>
      </c>
      <c r="P649" s="2">
        <v>25</v>
      </c>
      <c r="Q649" s="2" t="s">
        <v>73</v>
      </c>
      <c r="R649" s="2" t="s">
        <v>42</v>
      </c>
      <c r="S649" s="3">
        <v>46001</v>
      </c>
      <c r="T649" s="6">
        <v>4</v>
      </c>
    </row>
    <row r="650" spans="1:20" x14ac:dyDescent="0.3">
      <c r="A650" s="2" t="s">
        <v>1218</v>
      </c>
      <c r="B650" s="3">
        <v>45768</v>
      </c>
      <c r="C650" s="2" t="s">
        <v>465</v>
      </c>
      <c r="D650" s="2" t="s">
        <v>53</v>
      </c>
      <c r="E650" s="2" t="s">
        <v>23</v>
      </c>
      <c r="F650" s="2">
        <v>22</v>
      </c>
      <c r="G650" s="2" t="s">
        <v>211</v>
      </c>
      <c r="H650" s="2" t="s">
        <v>127</v>
      </c>
      <c r="I650" s="2" t="s">
        <v>245</v>
      </c>
      <c r="J650" s="2" t="s">
        <v>246</v>
      </c>
      <c r="K650" s="2" t="s">
        <v>130</v>
      </c>
      <c r="L650" s="2" t="s">
        <v>247</v>
      </c>
      <c r="M650" s="2">
        <v>2</v>
      </c>
      <c r="N650" s="2">
        <v>4748.1000000000004</v>
      </c>
      <c r="O650" s="2">
        <v>3740</v>
      </c>
      <c r="P650" s="2">
        <v>5</v>
      </c>
      <c r="Q650" s="2" t="s">
        <v>50</v>
      </c>
      <c r="R650" s="2" t="s">
        <v>31</v>
      </c>
      <c r="S650" s="3">
        <v>45773</v>
      </c>
      <c r="T650" s="6">
        <v>3</v>
      </c>
    </row>
    <row r="651" spans="1:20" x14ac:dyDescent="0.3">
      <c r="A651" s="2" t="s">
        <v>1219</v>
      </c>
      <c r="B651" s="3">
        <v>45634</v>
      </c>
      <c r="C651" s="2" t="s">
        <v>141</v>
      </c>
      <c r="D651" s="2" t="s">
        <v>142</v>
      </c>
      <c r="E651" s="2" t="s">
        <v>23</v>
      </c>
      <c r="F651" s="2">
        <v>57</v>
      </c>
      <c r="G651" s="2" t="s">
        <v>69</v>
      </c>
      <c r="H651" s="2" t="s">
        <v>69</v>
      </c>
      <c r="I651" s="2" t="s">
        <v>92</v>
      </c>
      <c r="J651" s="2" t="s">
        <v>93</v>
      </c>
      <c r="K651" s="2" t="s">
        <v>87</v>
      </c>
      <c r="L651" s="2" t="s">
        <v>94</v>
      </c>
      <c r="M651" s="2">
        <v>4</v>
      </c>
      <c r="N651" s="2">
        <v>5436.6</v>
      </c>
      <c r="O651" s="2">
        <v>3720</v>
      </c>
      <c r="P651" s="2">
        <v>15</v>
      </c>
      <c r="Q651" s="2" t="s">
        <v>30</v>
      </c>
      <c r="R651" s="2" t="s">
        <v>42</v>
      </c>
      <c r="S651" s="3">
        <v>45641</v>
      </c>
      <c r="T651" s="6">
        <v>4</v>
      </c>
    </row>
    <row r="652" spans="1:20" x14ac:dyDescent="0.3">
      <c r="A652" s="2" t="s">
        <v>1220</v>
      </c>
      <c r="B652" s="3">
        <v>45807</v>
      </c>
      <c r="C652" s="2" t="s">
        <v>354</v>
      </c>
      <c r="D652" s="2" t="s">
        <v>355</v>
      </c>
      <c r="E652" s="2" t="s">
        <v>77</v>
      </c>
      <c r="F652" s="2">
        <v>38</v>
      </c>
      <c r="G652" s="2" t="s">
        <v>207</v>
      </c>
      <c r="H652" s="2" t="s">
        <v>36</v>
      </c>
      <c r="I652" s="2" t="s">
        <v>26</v>
      </c>
      <c r="J652" s="2" t="s">
        <v>27</v>
      </c>
      <c r="K652" s="2" t="s">
        <v>28</v>
      </c>
      <c r="L652" s="2" t="s">
        <v>29</v>
      </c>
      <c r="M652" s="2">
        <v>1</v>
      </c>
      <c r="N652" s="2">
        <v>974.25</v>
      </c>
      <c r="O652" s="2">
        <v>790</v>
      </c>
      <c r="P652" s="2">
        <v>25</v>
      </c>
      <c r="Q652" s="2" t="s">
        <v>41</v>
      </c>
      <c r="R652" s="2" t="s">
        <v>42</v>
      </c>
      <c r="S652" s="3">
        <v>45816</v>
      </c>
      <c r="T652" s="6">
        <v>3</v>
      </c>
    </row>
    <row r="653" spans="1:20" x14ac:dyDescent="0.3">
      <c r="A653" s="2" t="s">
        <v>1221</v>
      </c>
      <c r="B653" s="3">
        <v>45773</v>
      </c>
      <c r="C653" s="2" t="s">
        <v>1222</v>
      </c>
      <c r="D653" s="2" t="s">
        <v>1223</v>
      </c>
      <c r="E653" s="2" t="s">
        <v>23</v>
      </c>
      <c r="F653" s="2">
        <v>54</v>
      </c>
      <c r="G653" s="2" t="s">
        <v>35</v>
      </c>
      <c r="H653" s="2" t="s">
        <v>36</v>
      </c>
      <c r="I653" s="2" t="s">
        <v>63</v>
      </c>
      <c r="J653" s="2" t="s">
        <v>64</v>
      </c>
      <c r="K653" s="2" t="s">
        <v>39</v>
      </c>
      <c r="L653" s="2" t="s">
        <v>40</v>
      </c>
      <c r="M653" s="2">
        <v>5</v>
      </c>
      <c r="N653" s="2">
        <v>2246.25</v>
      </c>
      <c r="O653" s="2">
        <v>1650</v>
      </c>
      <c r="P653" s="2">
        <v>25</v>
      </c>
      <c r="Q653" s="2" t="s">
        <v>73</v>
      </c>
      <c r="R653" s="2" t="s">
        <v>42</v>
      </c>
      <c r="S653" s="3">
        <v>45782</v>
      </c>
      <c r="T653" s="6">
        <v>3</v>
      </c>
    </row>
    <row r="654" spans="1:20" x14ac:dyDescent="0.3">
      <c r="A654" s="2" t="s">
        <v>1224</v>
      </c>
      <c r="B654" s="3">
        <v>45374</v>
      </c>
      <c r="C654" s="2" t="s">
        <v>1001</v>
      </c>
      <c r="D654" s="2" t="s">
        <v>363</v>
      </c>
      <c r="E654" s="2" t="s">
        <v>77</v>
      </c>
      <c r="F654" s="2">
        <v>33</v>
      </c>
      <c r="G654" s="2" t="s">
        <v>78</v>
      </c>
      <c r="H654" s="2" t="s">
        <v>79</v>
      </c>
      <c r="I654" s="2" t="s">
        <v>143</v>
      </c>
      <c r="J654" s="2" t="s">
        <v>144</v>
      </c>
      <c r="K654" s="2" t="s">
        <v>130</v>
      </c>
      <c r="L654" s="2" t="s">
        <v>131</v>
      </c>
      <c r="M654" s="2">
        <v>1</v>
      </c>
      <c r="N654" s="2">
        <v>5224.05</v>
      </c>
      <c r="O654" s="2">
        <v>4300</v>
      </c>
      <c r="P654" s="2">
        <v>5</v>
      </c>
      <c r="Q654" s="2" t="s">
        <v>30</v>
      </c>
      <c r="R654" s="2" t="s">
        <v>42</v>
      </c>
      <c r="S654" s="3">
        <v>45377</v>
      </c>
      <c r="T654" s="6">
        <v>3</v>
      </c>
    </row>
    <row r="655" spans="1:20" x14ac:dyDescent="0.3">
      <c r="A655" s="2" t="s">
        <v>1225</v>
      </c>
      <c r="B655" s="3">
        <v>45800</v>
      </c>
      <c r="C655" s="2" t="s">
        <v>561</v>
      </c>
      <c r="D655" s="2" t="s">
        <v>439</v>
      </c>
      <c r="E655" s="2" t="s">
        <v>23</v>
      </c>
      <c r="F655" s="2">
        <v>58</v>
      </c>
      <c r="G655" s="2" t="s">
        <v>154</v>
      </c>
      <c r="H655" s="2" t="s">
        <v>91</v>
      </c>
      <c r="I655" s="2" t="s">
        <v>112</v>
      </c>
      <c r="J655" s="2" t="s">
        <v>113</v>
      </c>
      <c r="K655" s="2" t="s">
        <v>114</v>
      </c>
      <c r="L655" s="2" t="s">
        <v>115</v>
      </c>
      <c r="M655" s="2">
        <v>1</v>
      </c>
      <c r="N655" s="2">
        <v>559.20000000000005</v>
      </c>
      <c r="O655" s="2">
        <v>370</v>
      </c>
      <c r="P655" s="2">
        <v>20</v>
      </c>
      <c r="Q655" s="2" t="s">
        <v>103</v>
      </c>
      <c r="R655" s="2" t="s">
        <v>31</v>
      </c>
      <c r="S655" s="3">
        <v>45810</v>
      </c>
      <c r="T655" s="6">
        <v>3</v>
      </c>
    </row>
    <row r="656" spans="1:20" x14ac:dyDescent="0.3">
      <c r="A656" s="2" t="s">
        <v>1226</v>
      </c>
      <c r="B656" s="3">
        <v>45777</v>
      </c>
      <c r="C656" s="2" t="s">
        <v>729</v>
      </c>
      <c r="D656" s="2" t="s">
        <v>276</v>
      </c>
      <c r="E656" s="2" t="s">
        <v>77</v>
      </c>
      <c r="F656" s="2">
        <v>25</v>
      </c>
      <c r="G656" s="2" t="s">
        <v>122</v>
      </c>
      <c r="H656" s="2" t="s">
        <v>123</v>
      </c>
      <c r="I656" s="2" t="s">
        <v>63</v>
      </c>
      <c r="J656" s="2" t="s">
        <v>64</v>
      </c>
      <c r="K656" s="2" t="s">
        <v>39</v>
      </c>
      <c r="L656" s="2" t="s">
        <v>40</v>
      </c>
      <c r="M656" s="2">
        <v>1</v>
      </c>
      <c r="N656" s="2">
        <v>479.2</v>
      </c>
      <c r="O656" s="2">
        <v>330</v>
      </c>
      <c r="P656" s="2">
        <v>20</v>
      </c>
      <c r="Q656" s="2" t="s">
        <v>30</v>
      </c>
      <c r="R656" s="2" t="s">
        <v>42</v>
      </c>
      <c r="S656" s="3">
        <v>45779</v>
      </c>
      <c r="T656" s="6">
        <v>4</v>
      </c>
    </row>
    <row r="657" spans="1:20" x14ac:dyDescent="0.3">
      <c r="A657" s="2" t="s">
        <v>1227</v>
      </c>
      <c r="B657" s="3">
        <v>45824</v>
      </c>
      <c r="C657" s="2" t="s">
        <v>786</v>
      </c>
      <c r="D657" s="2" t="s">
        <v>227</v>
      </c>
      <c r="E657" s="2" t="s">
        <v>23</v>
      </c>
      <c r="F657" s="2">
        <v>54</v>
      </c>
      <c r="G657" s="2" t="s">
        <v>122</v>
      </c>
      <c r="H657" s="2" t="s">
        <v>123</v>
      </c>
      <c r="I657" s="2" t="s">
        <v>198</v>
      </c>
      <c r="J657" s="2" t="s">
        <v>199</v>
      </c>
      <c r="K657" s="2" t="s">
        <v>114</v>
      </c>
      <c r="L657" s="2" t="s">
        <v>200</v>
      </c>
      <c r="M657" s="2">
        <v>3</v>
      </c>
      <c r="N657" s="2">
        <v>2922.75</v>
      </c>
      <c r="O657" s="2">
        <v>2280</v>
      </c>
      <c r="P657" s="2">
        <v>25</v>
      </c>
      <c r="Q657" s="2" t="s">
        <v>103</v>
      </c>
      <c r="R657" s="2" t="s">
        <v>65</v>
      </c>
      <c r="S657" s="3" t="s">
        <v>1604</v>
      </c>
      <c r="T657" s="6" t="s">
        <v>1604</v>
      </c>
    </row>
    <row r="658" spans="1:20" x14ac:dyDescent="0.3">
      <c r="A658" s="2" t="s">
        <v>1228</v>
      </c>
      <c r="B658" s="3">
        <v>45973</v>
      </c>
      <c r="C658" s="2" t="s">
        <v>272</v>
      </c>
      <c r="D658" s="2" t="s">
        <v>273</v>
      </c>
      <c r="E658" s="2" t="s">
        <v>23</v>
      </c>
      <c r="F658" s="2">
        <v>46</v>
      </c>
      <c r="G658" s="2" t="s">
        <v>61</v>
      </c>
      <c r="H658" s="2" t="s">
        <v>62</v>
      </c>
      <c r="I658" s="2" t="s">
        <v>63</v>
      </c>
      <c r="J658" s="2" t="s">
        <v>64</v>
      </c>
      <c r="K658" s="2" t="s">
        <v>39</v>
      </c>
      <c r="L658" s="2" t="s">
        <v>40</v>
      </c>
      <c r="M658" s="2">
        <v>3</v>
      </c>
      <c r="N658" s="2">
        <v>1617.3</v>
      </c>
      <c r="O658" s="2">
        <v>990</v>
      </c>
      <c r="P658" s="2">
        <v>10</v>
      </c>
      <c r="Q658" s="2" t="s">
        <v>41</v>
      </c>
      <c r="R658" s="2" t="s">
        <v>42</v>
      </c>
      <c r="S658" s="3">
        <v>45979</v>
      </c>
      <c r="T658" s="6">
        <v>4</v>
      </c>
    </row>
    <row r="659" spans="1:20" x14ac:dyDescent="0.3">
      <c r="A659" s="2" t="s">
        <v>1229</v>
      </c>
      <c r="B659" s="3">
        <v>45787</v>
      </c>
      <c r="C659" s="2" t="s">
        <v>669</v>
      </c>
      <c r="D659" s="2" t="s">
        <v>509</v>
      </c>
      <c r="E659" s="2" t="s">
        <v>77</v>
      </c>
      <c r="F659" s="2">
        <v>28</v>
      </c>
      <c r="G659" s="2" t="s">
        <v>35</v>
      </c>
      <c r="H659" s="2" t="s">
        <v>36</v>
      </c>
      <c r="I659" s="2" t="s">
        <v>26</v>
      </c>
      <c r="J659" s="2" t="s">
        <v>27</v>
      </c>
      <c r="K659" s="2" t="s">
        <v>28</v>
      </c>
      <c r="L659" s="2" t="s">
        <v>29</v>
      </c>
      <c r="M659" s="2">
        <v>2</v>
      </c>
      <c r="N659" s="2">
        <v>1948.5</v>
      </c>
      <c r="O659" s="2">
        <v>1580</v>
      </c>
      <c r="P659" s="2">
        <v>25</v>
      </c>
      <c r="Q659" s="2" t="s">
        <v>41</v>
      </c>
      <c r="R659" s="2" t="s">
        <v>42</v>
      </c>
      <c r="S659" s="3">
        <v>45791</v>
      </c>
      <c r="T659" s="6">
        <v>3</v>
      </c>
    </row>
    <row r="660" spans="1:20" x14ac:dyDescent="0.3">
      <c r="A660" s="2" t="s">
        <v>1230</v>
      </c>
      <c r="B660" s="3">
        <v>46020</v>
      </c>
      <c r="C660" s="2" t="s">
        <v>523</v>
      </c>
      <c r="D660" s="2" t="s">
        <v>524</v>
      </c>
      <c r="E660" s="2" t="s">
        <v>77</v>
      </c>
      <c r="F660" s="2">
        <v>49</v>
      </c>
      <c r="G660" s="2" t="s">
        <v>35</v>
      </c>
      <c r="H660" s="2" t="s">
        <v>36</v>
      </c>
      <c r="I660" s="2" t="s">
        <v>319</v>
      </c>
      <c r="J660" s="2" t="s">
        <v>320</v>
      </c>
      <c r="K660" s="2" t="s">
        <v>28</v>
      </c>
      <c r="L660" s="2" t="s">
        <v>29</v>
      </c>
      <c r="M660" s="2">
        <v>2</v>
      </c>
      <c r="N660" s="2">
        <v>2158.1999999999998</v>
      </c>
      <c r="O660" s="2">
        <v>1420</v>
      </c>
      <c r="P660" s="2">
        <v>10</v>
      </c>
      <c r="Q660" s="2" t="s">
        <v>30</v>
      </c>
      <c r="R660" s="2" t="s">
        <v>42</v>
      </c>
      <c r="S660" s="3">
        <v>46023</v>
      </c>
      <c r="T660" s="6">
        <v>2</v>
      </c>
    </row>
    <row r="661" spans="1:20" x14ac:dyDescent="0.3">
      <c r="A661" s="2" t="s">
        <v>1231</v>
      </c>
      <c r="B661" s="3">
        <v>45616</v>
      </c>
      <c r="C661" s="2" t="s">
        <v>930</v>
      </c>
      <c r="D661" s="2" t="s">
        <v>556</v>
      </c>
      <c r="E661" s="2" t="s">
        <v>23</v>
      </c>
      <c r="F661" s="2">
        <v>48</v>
      </c>
      <c r="G661" s="2" t="s">
        <v>173</v>
      </c>
      <c r="H661" s="2" t="s">
        <v>79</v>
      </c>
      <c r="I661" s="2" t="s">
        <v>63</v>
      </c>
      <c r="J661" s="2" t="s">
        <v>64</v>
      </c>
      <c r="K661" s="2" t="s">
        <v>39</v>
      </c>
      <c r="L661" s="2" t="s">
        <v>40</v>
      </c>
      <c r="M661" s="2">
        <v>3</v>
      </c>
      <c r="N661" s="2">
        <v>1347.75</v>
      </c>
      <c r="O661" s="2">
        <v>990</v>
      </c>
      <c r="P661" s="2">
        <v>25</v>
      </c>
      <c r="Q661" s="2" t="s">
        <v>30</v>
      </c>
      <c r="R661" s="2" t="s">
        <v>42</v>
      </c>
      <c r="S661" s="3">
        <v>45626</v>
      </c>
      <c r="T661" s="6">
        <v>2</v>
      </c>
    </row>
    <row r="662" spans="1:20" x14ac:dyDescent="0.3">
      <c r="A662" s="2" t="s">
        <v>1232</v>
      </c>
      <c r="B662" s="3">
        <v>45973</v>
      </c>
      <c r="C662" s="2" t="s">
        <v>716</v>
      </c>
      <c r="D662" s="2" t="s">
        <v>717</v>
      </c>
      <c r="E662" s="2" t="s">
        <v>77</v>
      </c>
      <c r="F662" s="2">
        <v>35</v>
      </c>
      <c r="G662" s="2" t="s">
        <v>211</v>
      </c>
      <c r="H662" s="2" t="s">
        <v>127</v>
      </c>
      <c r="I662" s="2" t="s">
        <v>252</v>
      </c>
      <c r="J662" s="2" t="s">
        <v>253</v>
      </c>
      <c r="K662" s="2" t="s">
        <v>28</v>
      </c>
      <c r="L662" s="2" t="s">
        <v>254</v>
      </c>
      <c r="M662" s="2">
        <v>3</v>
      </c>
      <c r="N662" s="2">
        <v>5398.2</v>
      </c>
      <c r="O662" s="2">
        <v>5700</v>
      </c>
      <c r="P662" s="2">
        <v>40</v>
      </c>
      <c r="Q662" s="2" t="s">
        <v>50</v>
      </c>
      <c r="R662" s="2" t="s">
        <v>42</v>
      </c>
      <c r="S662" s="3">
        <v>45983</v>
      </c>
      <c r="T662" s="6">
        <v>4</v>
      </c>
    </row>
    <row r="663" spans="1:20" x14ac:dyDescent="0.3">
      <c r="A663" s="2" t="s">
        <v>1233</v>
      </c>
      <c r="B663" s="3">
        <v>45416</v>
      </c>
      <c r="C663" s="2" t="s">
        <v>603</v>
      </c>
      <c r="D663" s="2" t="s">
        <v>857</v>
      </c>
      <c r="E663" s="2" t="s">
        <v>77</v>
      </c>
      <c r="F663" s="2">
        <v>27</v>
      </c>
      <c r="G663" s="2" t="s">
        <v>165</v>
      </c>
      <c r="H663" s="2" t="s">
        <v>166</v>
      </c>
      <c r="I663" s="2" t="s">
        <v>37</v>
      </c>
      <c r="J663" s="2" t="s">
        <v>38</v>
      </c>
      <c r="K663" s="2" t="s">
        <v>39</v>
      </c>
      <c r="L663" s="2" t="s">
        <v>40</v>
      </c>
      <c r="M663" s="2">
        <v>2</v>
      </c>
      <c r="N663" s="2">
        <v>1078.8</v>
      </c>
      <c r="O663" s="2">
        <v>1040</v>
      </c>
      <c r="P663" s="2">
        <v>40</v>
      </c>
      <c r="Q663" s="2" t="s">
        <v>41</v>
      </c>
      <c r="R663" s="2" t="s">
        <v>42</v>
      </c>
      <c r="S663" s="3">
        <v>45418</v>
      </c>
      <c r="T663" s="6">
        <v>4</v>
      </c>
    </row>
    <row r="664" spans="1:20" x14ac:dyDescent="0.3">
      <c r="A664" s="2" t="s">
        <v>1234</v>
      </c>
      <c r="B664" s="3">
        <v>45954</v>
      </c>
      <c r="C664" s="2" t="s">
        <v>505</v>
      </c>
      <c r="D664" s="2" t="s">
        <v>506</v>
      </c>
      <c r="E664" s="2" t="s">
        <v>77</v>
      </c>
      <c r="F664" s="2">
        <v>40</v>
      </c>
      <c r="G664" s="2" t="s">
        <v>101</v>
      </c>
      <c r="H664" s="2" t="s">
        <v>102</v>
      </c>
      <c r="I664" s="2" t="s">
        <v>143</v>
      </c>
      <c r="J664" s="2" t="s">
        <v>144</v>
      </c>
      <c r="K664" s="2" t="s">
        <v>130</v>
      </c>
      <c r="L664" s="2" t="s">
        <v>131</v>
      </c>
      <c r="M664" s="2">
        <v>5</v>
      </c>
      <c r="N664" s="2">
        <v>24745.5</v>
      </c>
      <c r="O664" s="2">
        <v>21500</v>
      </c>
      <c r="P664" s="2">
        <v>10</v>
      </c>
      <c r="Q664" s="2" t="s">
        <v>50</v>
      </c>
      <c r="R664" s="2" t="s">
        <v>31</v>
      </c>
      <c r="S664" s="3">
        <v>45963</v>
      </c>
      <c r="T664" s="6">
        <v>4</v>
      </c>
    </row>
    <row r="665" spans="1:20" x14ac:dyDescent="0.3">
      <c r="A665" s="2" t="s">
        <v>1235</v>
      </c>
      <c r="B665" s="3">
        <v>45997</v>
      </c>
      <c r="C665" s="2" t="s">
        <v>1236</v>
      </c>
      <c r="D665" s="2" t="s">
        <v>270</v>
      </c>
      <c r="E665" s="2" t="s">
        <v>77</v>
      </c>
      <c r="F665" s="2">
        <v>56</v>
      </c>
      <c r="G665" s="2" t="s">
        <v>101</v>
      </c>
      <c r="H665" s="2" t="s">
        <v>102</v>
      </c>
      <c r="I665" s="2" t="s">
        <v>26</v>
      </c>
      <c r="J665" s="2" t="s">
        <v>27</v>
      </c>
      <c r="K665" s="2" t="s">
        <v>28</v>
      </c>
      <c r="L665" s="2" t="s">
        <v>29</v>
      </c>
      <c r="M665" s="2">
        <v>2</v>
      </c>
      <c r="N665" s="2">
        <v>2468.1</v>
      </c>
      <c r="O665" s="2">
        <v>1580</v>
      </c>
      <c r="P665" s="2">
        <v>5</v>
      </c>
      <c r="Q665" s="2" t="s">
        <v>41</v>
      </c>
      <c r="R665" s="2" t="s">
        <v>42</v>
      </c>
      <c r="S665" s="3">
        <v>46005</v>
      </c>
      <c r="T665" s="6">
        <v>4</v>
      </c>
    </row>
    <row r="666" spans="1:20" x14ac:dyDescent="0.3">
      <c r="A666" s="2" t="s">
        <v>1237</v>
      </c>
      <c r="B666" s="3">
        <v>45748</v>
      </c>
      <c r="C666" s="2" t="s">
        <v>893</v>
      </c>
      <c r="D666" s="2" t="s">
        <v>894</v>
      </c>
      <c r="E666" s="2" t="s">
        <v>77</v>
      </c>
      <c r="F666" s="2">
        <v>42</v>
      </c>
      <c r="G666" s="2" t="s">
        <v>46</v>
      </c>
      <c r="H666" s="2" t="s">
        <v>25</v>
      </c>
      <c r="I666" s="2" t="s">
        <v>183</v>
      </c>
      <c r="J666" s="2" t="s">
        <v>184</v>
      </c>
      <c r="K666" s="2" t="s">
        <v>130</v>
      </c>
      <c r="L666" s="2" t="s">
        <v>185</v>
      </c>
      <c r="M666" s="2">
        <v>1</v>
      </c>
      <c r="N666" s="2">
        <v>3399.15</v>
      </c>
      <c r="O666" s="2">
        <v>3050</v>
      </c>
      <c r="P666" s="2">
        <v>15</v>
      </c>
      <c r="Q666" s="2" t="s">
        <v>50</v>
      </c>
      <c r="R666" s="2" t="s">
        <v>65</v>
      </c>
      <c r="S666" s="3" t="s">
        <v>1604</v>
      </c>
      <c r="T666" s="6" t="s">
        <v>1604</v>
      </c>
    </row>
    <row r="667" spans="1:20" x14ac:dyDescent="0.3">
      <c r="A667" s="2" t="s">
        <v>1238</v>
      </c>
      <c r="B667" s="3">
        <v>45519</v>
      </c>
      <c r="C667" s="2" t="s">
        <v>287</v>
      </c>
      <c r="D667" s="2" t="s">
        <v>182</v>
      </c>
      <c r="E667" s="2" t="s">
        <v>23</v>
      </c>
      <c r="F667" s="2">
        <v>46</v>
      </c>
      <c r="G667" s="2" t="s">
        <v>154</v>
      </c>
      <c r="H667" s="2" t="s">
        <v>91</v>
      </c>
      <c r="I667" s="2" t="s">
        <v>80</v>
      </c>
      <c r="J667" s="2" t="s">
        <v>81</v>
      </c>
      <c r="K667" s="2" t="s">
        <v>28</v>
      </c>
      <c r="L667" s="2" t="s">
        <v>29</v>
      </c>
      <c r="M667" s="2">
        <v>1</v>
      </c>
      <c r="N667" s="2">
        <v>479.4</v>
      </c>
      <c r="O667" s="2">
        <v>470</v>
      </c>
      <c r="P667" s="2">
        <v>40</v>
      </c>
      <c r="Q667" s="2" t="s">
        <v>73</v>
      </c>
      <c r="R667" s="2" t="s">
        <v>65</v>
      </c>
      <c r="S667" s="3" t="s">
        <v>1604</v>
      </c>
      <c r="T667" s="6" t="s">
        <v>1604</v>
      </c>
    </row>
    <row r="668" spans="1:20" x14ac:dyDescent="0.3">
      <c r="A668" s="2" t="s">
        <v>1239</v>
      </c>
      <c r="B668" s="3">
        <v>45695</v>
      </c>
      <c r="C668" s="2" t="s">
        <v>791</v>
      </c>
      <c r="D668" s="2" t="s">
        <v>792</v>
      </c>
      <c r="E668" s="2" t="s">
        <v>23</v>
      </c>
      <c r="F668" s="2">
        <v>42</v>
      </c>
      <c r="G668" s="2" t="s">
        <v>101</v>
      </c>
      <c r="H668" s="2" t="s">
        <v>102</v>
      </c>
      <c r="I668" s="2" t="s">
        <v>183</v>
      </c>
      <c r="J668" s="2" t="s">
        <v>184</v>
      </c>
      <c r="K668" s="2" t="s">
        <v>130</v>
      </c>
      <c r="L668" s="2" t="s">
        <v>185</v>
      </c>
      <c r="M668" s="2">
        <v>5</v>
      </c>
      <c r="N668" s="2">
        <v>19995</v>
      </c>
      <c r="O668" s="2">
        <v>15250</v>
      </c>
      <c r="P668" s="2">
        <v>0</v>
      </c>
      <c r="Q668" s="2" t="s">
        <v>41</v>
      </c>
      <c r="R668" s="2" t="s">
        <v>42</v>
      </c>
      <c r="S668" s="3">
        <v>45699</v>
      </c>
      <c r="T668" s="6">
        <v>5</v>
      </c>
    </row>
    <row r="669" spans="1:20" x14ac:dyDescent="0.3">
      <c r="A669" s="2" t="s">
        <v>1240</v>
      </c>
      <c r="B669" s="3">
        <v>45670</v>
      </c>
      <c r="C669" s="2" t="s">
        <v>825</v>
      </c>
      <c r="D669" s="2" t="s">
        <v>826</v>
      </c>
      <c r="E669" s="2" t="s">
        <v>77</v>
      </c>
      <c r="F669" s="2">
        <v>22</v>
      </c>
      <c r="G669" s="2" t="s">
        <v>211</v>
      </c>
      <c r="H669" s="2" t="s">
        <v>127</v>
      </c>
      <c r="I669" s="2" t="s">
        <v>80</v>
      </c>
      <c r="J669" s="2" t="s">
        <v>81</v>
      </c>
      <c r="K669" s="2" t="s">
        <v>28</v>
      </c>
      <c r="L669" s="2" t="s">
        <v>29</v>
      </c>
      <c r="M669" s="2">
        <v>3</v>
      </c>
      <c r="N669" s="2">
        <v>1797.75</v>
      </c>
      <c r="O669" s="2">
        <v>1410</v>
      </c>
      <c r="P669" s="2">
        <v>25</v>
      </c>
      <c r="Q669" s="2" t="s">
        <v>41</v>
      </c>
      <c r="R669" s="2" t="s">
        <v>42</v>
      </c>
      <c r="S669" s="3">
        <v>45679</v>
      </c>
      <c r="T669" s="6">
        <v>3</v>
      </c>
    </row>
    <row r="670" spans="1:20" x14ac:dyDescent="0.3">
      <c r="A670" s="2" t="s">
        <v>1241</v>
      </c>
      <c r="B670" s="3">
        <v>45512</v>
      </c>
      <c r="C670" s="2" t="s">
        <v>243</v>
      </c>
      <c r="D670" s="2" t="s">
        <v>244</v>
      </c>
      <c r="E670" s="2" t="s">
        <v>77</v>
      </c>
      <c r="F670" s="2">
        <v>52</v>
      </c>
      <c r="G670" s="2" t="s">
        <v>122</v>
      </c>
      <c r="H670" s="2" t="s">
        <v>123</v>
      </c>
      <c r="I670" s="2" t="s">
        <v>63</v>
      </c>
      <c r="J670" s="2" t="s">
        <v>64</v>
      </c>
      <c r="K670" s="2" t="s">
        <v>39</v>
      </c>
      <c r="L670" s="2" t="s">
        <v>40</v>
      </c>
      <c r="M670" s="2">
        <v>3</v>
      </c>
      <c r="N670" s="2" t="s">
        <v>1604</v>
      </c>
      <c r="O670" s="2">
        <v>990</v>
      </c>
      <c r="P670" s="2">
        <v>10</v>
      </c>
      <c r="Q670" s="2" t="s">
        <v>103</v>
      </c>
      <c r="R670" s="2" t="s">
        <v>31</v>
      </c>
      <c r="S670" s="3">
        <v>45520</v>
      </c>
      <c r="T670" s="6">
        <v>3</v>
      </c>
    </row>
    <row r="671" spans="1:20" x14ac:dyDescent="0.3">
      <c r="A671" s="2" t="s">
        <v>1242</v>
      </c>
      <c r="B671" s="3">
        <v>45893</v>
      </c>
      <c r="C671" s="2" t="s">
        <v>508</v>
      </c>
      <c r="D671" s="2" t="s">
        <v>509</v>
      </c>
      <c r="E671" s="2" t="s">
        <v>77</v>
      </c>
      <c r="F671" s="2">
        <v>23</v>
      </c>
      <c r="G671" s="2" t="s">
        <v>173</v>
      </c>
      <c r="H671" s="2" t="s">
        <v>79</v>
      </c>
      <c r="I671" s="2" t="s">
        <v>70</v>
      </c>
      <c r="J671" s="2" t="s">
        <v>71</v>
      </c>
      <c r="K671" s="2" t="s">
        <v>28</v>
      </c>
      <c r="L671" s="2" t="s">
        <v>72</v>
      </c>
      <c r="M671" s="2">
        <v>3</v>
      </c>
      <c r="N671" s="2">
        <v>2698.2</v>
      </c>
      <c r="O671" s="2">
        <v>2760</v>
      </c>
      <c r="P671" s="2">
        <v>40</v>
      </c>
      <c r="Q671" s="2" t="s">
        <v>50</v>
      </c>
      <c r="R671" s="2" t="s">
        <v>42</v>
      </c>
      <c r="S671" s="3">
        <v>45896</v>
      </c>
      <c r="T671" s="6">
        <v>5</v>
      </c>
    </row>
    <row r="672" spans="1:20" x14ac:dyDescent="0.3">
      <c r="A672" s="2" t="s">
        <v>1243</v>
      </c>
      <c r="B672" s="3">
        <v>45382</v>
      </c>
      <c r="C672" s="2" t="s">
        <v>685</v>
      </c>
      <c r="D672" s="2" t="s">
        <v>399</v>
      </c>
      <c r="E672" s="2" t="s">
        <v>77</v>
      </c>
      <c r="F672" s="2">
        <v>52</v>
      </c>
      <c r="G672" s="2" t="s">
        <v>122</v>
      </c>
      <c r="H672" s="2" t="s">
        <v>123</v>
      </c>
      <c r="I672" s="2" t="s">
        <v>92</v>
      </c>
      <c r="J672" s="2" t="s">
        <v>93</v>
      </c>
      <c r="K672" s="2" t="s">
        <v>87</v>
      </c>
      <c r="L672" s="2" t="s">
        <v>94</v>
      </c>
      <c r="M672" s="2">
        <v>3</v>
      </c>
      <c r="N672" s="2">
        <v>3357.9</v>
      </c>
      <c r="O672" s="2">
        <v>2790</v>
      </c>
      <c r="P672" s="2">
        <v>30</v>
      </c>
      <c r="Q672" s="2" t="s">
        <v>30</v>
      </c>
      <c r="R672" s="2" t="s">
        <v>65</v>
      </c>
      <c r="S672" s="3" t="s">
        <v>1604</v>
      </c>
      <c r="T672" s="6" t="s">
        <v>1604</v>
      </c>
    </row>
    <row r="673" spans="1:20" x14ac:dyDescent="0.3">
      <c r="A673" s="2" t="s">
        <v>1244</v>
      </c>
      <c r="B673" s="3">
        <v>45765</v>
      </c>
      <c r="C673" s="2" t="s">
        <v>897</v>
      </c>
      <c r="D673" s="2" t="s">
        <v>898</v>
      </c>
      <c r="E673" s="2" t="s">
        <v>77</v>
      </c>
      <c r="F673" s="2">
        <v>34</v>
      </c>
      <c r="G673" s="2" t="s">
        <v>173</v>
      </c>
      <c r="H673" s="2" t="s">
        <v>79</v>
      </c>
      <c r="I673" s="2" t="s">
        <v>70</v>
      </c>
      <c r="J673" s="2" t="s">
        <v>71</v>
      </c>
      <c r="K673" s="2" t="s">
        <v>28</v>
      </c>
      <c r="L673" s="2" t="s">
        <v>72</v>
      </c>
      <c r="M673" s="2">
        <v>2</v>
      </c>
      <c r="N673" s="2">
        <v>2098.6</v>
      </c>
      <c r="O673" s="2">
        <v>1840</v>
      </c>
      <c r="P673" s="2">
        <v>30</v>
      </c>
      <c r="Q673" s="2" t="s">
        <v>41</v>
      </c>
      <c r="R673" s="2" t="s">
        <v>65</v>
      </c>
      <c r="S673" s="3" t="s">
        <v>1604</v>
      </c>
      <c r="T673" s="6" t="s">
        <v>1604</v>
      </c>
    </row>
    <row r="674" spans="1:20" x14ac:dyDescent="0.3">
      <c r="A674" s="2" t="s">
        <v>1245</v>
      </c>
      <c r="B674" s="3">
        <v>45794</v>
      </c>
      <c r="C674" s="2" t="s">
        <v>621</v>
      </c>
      <c r="D674" s="2" t="s">
        <v>622</v>
      </c>
      <c r="E674" s="2" t="s">
        <v>23</v>
      </c>
      <c r="F674" s="2">
        <v>32</v>
      </c>
      <c r="G674" s="2" t="s">
        <v>35</v>
      </c>
      <c r="H674" s="2" t="s">
        <v>36</v>
      </c>
      <c r="I674" s="2" t="s">
        <v>198</v>
      </c>
      <c r="J674" s="2" t="s">
        <v>199</v>
      </c>
      <c r="K674" s="2" t="s">
        <v>114</v>
      </c>
      <c r="L674" s="2" t="s">
        <v>200</v>
      </c>
      <c r="M674" s="2">
        <v>3</v>
      </c>
      <c r="N674" s="2">
        <v>2338.1999999999998</v>
      </c>
      <c r="O674" s="2">
        <v>2280</v>
      </c>
      <c r="P674" s="2">
        <v>40</v>
      </c>
      <c r="Q674" s="2" t="s">
        <v>50</v>
      </c>
      <c r="R674" s="2" t="s">
        <v>31</v>
      </c>
      <c r="S674" s="3">
        <v>45803</v>
      </c>
      <c r="T674" s="6">
        <v>4</v>
      </c>
    </row>
    <row r="675" spans="1:20" x14ac:dyDescent="0.3">
      <c r="A675" s="2" t="s">
        <v>1246</v>
      </c>
      <c r="B675" s="3">
        <v>45319</v>
      </c>
      <c r="C675" s="2" t="s">
        <v>1247</v>
      </c>
      <c r="D675" s="2" t="s">
        <v>323</v>
      </c>
      <c r="E675" s="2" t="s">
        <v>23</v>
      </c>
      <c r="F675" s="2">
        <v>33</v>
      </c>
      <c r="G675" s="2" t="s">
        <v>173</v>
      </c>
      <c r="H675" s="2" t="s">
        <v>79</v>
      </c>
      <c r="I675" s="2" t="s">
        <v>128</v>
      </c>
      <c r="J675" s="2" t="s">
        <v>129</v>
      </c>
      <c r="K675" s="2" t="s">
        <v>130</v>
      </c>
      <c r="L675" s="2" t="s">
        <v>131</v>
      </c>
      <c r="M675" s="2">
        <v>3</v>
      </c>
      <c r="N675" s="2">
        <v>11698.2</v>
      </c>
      <c r="O675" s="2">
        <v>15300</v>
      </c>
      <c r="P675" s="2">
        <v>40</v>
      </c>
      <c r="Q675" s="2" t="s">
        <v>73</v>
      </c>
      <c r="R675" s="2" t="s">
        <v>31</v>
      </c>
      <c r="S675" s="3">
        <v>45331</v>
      </c>
      <c r="T675" s="6">
        <v>4</v>
      </c>
    </row>
    <row r="676" spans="1:20" x14ac:dyDescent="0.3">
      <c r="A676" s="2" t="s">
        <v>1248</v>
      </c>
      <c r="B676" s="3">
        <v>45719</v>
      </c>
      <c r="C676" s="2" t="s">
        <v>1030</v>
      </c>
      <c r="D676" s="2" t="s">
        <v>694</v>
      </c>
      <c r="E676" s="2" t="s">
        <v>23</v>
      </c>
      <c r="F676" s="2">
        <v>46</v>
      </c>
      <c r="G676" s="2" t="s">
        <v>101</v>
      </c>
      <c r="H676" s="2" t="s">
        <v>102</v>
      </c>
      <c r="I676" s="2" t="s">
        <v>85</v>
      </c>
      <c r="J676" s="2" t="s">
        <v>86</v>
      </c>
      <c r="K676" s="2" t="s">
        <v>87</v>
      </c>
      <c r="L676" s="2" t="s">
        <v>88</v>
      </c>
      <c r="M676" s="2">
        <v>2</v>
      </c>
      <c r="N676" s="2">
        <v>2798</v>
      </c>
      <c r="O676" s="2">
        <v>1580</v>
      </c>
      <c r="P676" s="2">
        <v>0</v>
      </c>
      <c r="Q676" s="2" t="s">
        <v>73</v>
      </c>
      <c r="R676" s="2" t="s">
        <v>57</v>
      </c>
      <c r="S676" s="3">
        <v>45725</v>
      </c>
      <c r="T676" s="6">
        <v>5</v>
      </c>
    </row>
    <row r="677" spans="1:20" x14ac:dyDescent="0.3">
      <c r="A677" s="2" t="s">
        <v>1249</v>
      </c>
      <c r="B677" s="3">
        <v>45360</v>
      </c>
      <c r="C677" s="2" t="s">
        <v>263</v>
      </c>
      <c r="D677" s="2" t="s">
        <v>264</v>
      </c>
      <c r="E677" s="2" t="s">
        <v>77</v>
      </c>
      <c r="F677" s="2">
        <v>18</v>
      </c>
      <c r="G677" s="2" t="s">
        <v>101</v>
      </c>
      <c r="H677" s="2" t="s">
        <v>102</v>
      </c>
      <c r="I677" s="2" t="s">
        <v>198</v>
      </c>
      <c r="J677" s="2" t="s">
        <v>199</v>
      </c>
      <c r="K677" s="2" t="s">
        <v>114</v>
      </c>
      <c r="L677" s="2" t="s">
        <v>200</v>
      </c>
      <c r="M677" s="2">
        <v>4</v>
      </c>
      <c r="N677" s="2">
        <v>4156.8</v>
      </c>
      <c r="O677" s="2">
        <v>3040</v>
      </c>
      <c r="P677" s="2">
        <v>20</v>
      </c>
      <c r="Q677" s="2" t="s">
        <v>103</v>
      </c>
      <c r="R677" s="2" t="s">
        <v>31</v>
      </c>
      <c r="S677" s="3">
        <v>45363</v>
      </c>
      <c r="T677" s="6">
        <v>4</v>
      </c>
    </row>
    <row r="678" spans="1:20" x14ac:dyDescent="0.3">
      <c r="A678" s="2" t="s">
        <v>1250</v>
      </c>
      <c r="B678" s="3">
        <v>45816</v>
      </c>
      <c r="C678" s="2" t="s">
        <v>930</v>
      </c>
      <c r="D678" s="2" t="s">
        <v>556</v>
      </c>
      <c r="E678" s="2" t="s">
        <v>23</v>
      </c>
      <c r="F678" s="2">
        <v>48</v>
      </c>
      <c r="G678" s="2" t="s">
        <v>161</v>
      </c>
      <c r="H678" s="2" t="s">
        <v>25</v>
      </c>
      <c r="I678" s="2" t="s">
        <v>128</v>
      </c>
      <c r="J678" s="2" t="s">
        <v>129</v>
      </c>
      <c r="K678" s="2" t="s">
        <v>130</v>
      </c>
      <c r="L678" s="2" t="s">
        <v>131</v>
      </c>
      <c r="M678" s="2">
        <v>2</v>
      </c>
      <c r="N678" s="2">
        <v>12998</v>
      </c>
      <c r="O678" s="2">
        <v>10200</v>
      </c>
      <c r="P678" s="2">
        <v>0</v>
      </c>
      <c r="Q678" s="2" t="s">
        <v>30</v>
      </c>
      <c r="R678" s="2" t="s">
        <v>42</v>
      </c>
      <c r="S678" s="3">
        <v>45825</v>
      </c>
      <c r="T678" s="6">
        <v>3</v>
      </c>
    </row>
    <row r="679" spans="1:20" x14ac:dyDescent="0.3">
      <c r="A679" s="2" t="s">
        <v>1251</v>
      </c>
      <c r="B679" s="3">
        <v>45657</v>
      </c>
      <c r="C679" s="2" t="s">
        <v>1252</v>
      </c>
      <c r="D679" s="2" t="s">
        <v>1253</v>
      </c>
      <c r="E679" s="2" t="s">
        <v>23</v>
      </c>
      <c r="F679" s="2">
        <v>33</v>
      </c>
      <c r="G679" s="2" t="s">
        <v>24</v>
      </c>
      <c r="H679" s="2" t="s">
        <v>25</v>
      </c>
      <c r="I679" s="2" t="s">
        <v>128</v>
      </c>
      <c r="J679" s="2" t="s">
        <v>129</v>
      </c>
      <c r="K679" s="2" t="s">
        <v>130</v>
      </c>
      <c r="L679" s="2" t="s">
        <v>131</v>
      </c>
      <c r="M679" s="2">
        <v>3</v>
      </c>
      <c r="N679" s="2">
        <v>13647.9</v>
      </c>
      <c r="O679" s="2">
        <v>15300</v>
      </c>
      <c r="P679" s="2">
        <v>30</v>
      </c>
      <c r="Q679" s="2" t="s">
        <v>41</v>
      </c>
      <c r="R679" s="2" t="s">
        <v>42</v>
      </c>
      <c r="S679" s="3">
        <v>45663</v>
      </c>
      <c r="T679" s="6">
        <v>4</v>
      </c>
    </row>
    <row r="680" spans="1:20" x14ac:dyDescent="0.3">
      <c r="A680" s="2" t="s">
        <v>1254</v>
      </c>
      <c r="B680" s="3">
        <v>45834</v>
      </c>
      <c r="C680" s="2" t="s">
        <v>902</v>
      </c>
      <c r="D680" s="2" t="s">
        <v>303</v>
      </c>
      <c r="E680" s="2" t="s">
        <v>77</v>
      </c>
      <c r="F680" s="2">
        <v>33</v>
      </c>
      <c r="G680" s="2" t="s">
        <v>154</v>
      </c>
      <c r="H680" s="2" t="s">
        <v>91</v>
      </c>
      <c r="I680" s="2" t="s">
        <v>92</v>
      </c>
      <c r="J680" s="2" t="s">
        <v>93</v>
      </c>
      <c r="K680" s="2" t="s">
        <v>87</v>
      </c>
      <c r="L680" s="2" t="s">
        <v>94</v>
      </c>
      <c r="M680" s="2">
        <v>2</v>
      </c>
      <c r="N680" s="2">
        <v>3038.1</v>
      </c>
      <c r="O680" s="2">
        <v>1860</v>
      </c>
      <c r="P680" s="2">
        <v>5</v>
      </c>
      <c r="Q680" s="2" t="s">
        <v>50</v>
      </c>
      <c r="R680" s="2" t="s">
        <v>57</v>
      </c>
      <c r="S680" s="3">
        <v>45838</v>
      </c>
      <c r="T680" s="6">
        <v>4</v>
      </c>
    </row>
    <row r="681" spans="1:20" x14ac:dyDescent="0.3">
      <c r="A681" s="2" t="s">
        <v>1255</v>
      </c>
      <c r="B681" s="3">
        <v>45615</v>
      </c>
      <c r="C681" s="2" t="s">
        <v>879</v>
      </c>
      <c r="D681" s="2" t="s">
        <v>880</v>
      </c>
      <c r="E681" s="2" t="s">
        <v>23</v>
      </c>
      <c r="F681" s="2">
        <v>44</v>
      </c>
      <c r="G681" s="2" t="s">
        <v>207</v>
      </c>
      <c r="H681" s="2" t="s">
        <v>36</v>
      </c>
      <c r="I681" s="2" t="s">
        <v>107</v>
      </c>
      <c r="J681" s="2" t="s">
        <v>108</v>
      </c>
      <c r="K681" s="2" t="s">
        <v>87</v>
      </c>
      <c r="L681" s="2" t="s">
        <v>88</v>
      </c>
      <c r="M681" s="2">
        <v>3</v>
      </c>
      <c r="N681" s="2">
        <v>2277.15</v>
      </c>
      <c r="O681" s="2">
        <v>1260</v>
      </c>
      <c r="P681" s="2">
        <v>5</v>
      </c>
      <c r="Q681" s="2" t="s">
        <v>50</v>
      </c>
      <c r="R681" s="2" t="s">
        <v>65</v>
      </c>
      <c r="S681" s="3" t="s">
        <v>1604</v>
      </c>
      <c r="T681" s="6" t="s">
        <v>1604</v>
      </c>
    </row>
    <row r="682" spans="1:20" x14ac:dyDescent="0.3">
      <c r="A682" s="2" t="s">
        <v>1256</v>
      </c>
      <c r="B682" s="3">
        <v>45652</v>
      </c>
      <c r="C682" s="2" t="s">
        <v>387</v>
      </c>
      <c r="D682" s="2" t="s">
        <v>388</v>
      </c>
      <c r="E682" s="2" t="s">
        <v>23</v>
      </c>
      <c r="F682" s="2">
        <v>32</v>
      </c>
      <c r="G682" s="2" t="s">
        <v>161</v>
      </c>
      <c r="H682" s="2" t="s">
        <v>25</v>
      </c>
      <c r="I682" s="2" t="s">
        <v>252</v>
      </c>
      <c r="J682" s="2" t="s">
        <v>253</v>
      </c>
      <c r="K682" s="2" t="s">
        <v>28</v>
      </c>
      <c r="L682" s="2" t="s">
        <v>254</v>
      </c>
      <c r="M682" s="2">
        <v>5</v>
      </c>
      <c r="N682" s="2">
        <v>11996</v>
      </c>
      <c r="O682" s="2">
        <v>9500</v>
      </c>
      <c r="P682" s="2">
        <v>20</v>
      </c>
      <c r="Q682" s="2" t="s">
        <v>41</v>
      </c>
      <c r="R682" s="2" t="s">
        <v>57</v>
      </c>
      <c r="S682" s="3">
        <v>45661</v>
      </c>
      <c r="T682" s="6">
        <v>5</v>
      </c>
    </row>
    <row r="683" spans="1:20" x14ac:dyDescent="0.3">
      <c r="A683" s="2" t="s">
        <v>1257</v>
      </c>
      <c r="B683" s="3">
        <v>45640</v>
      </c>
      <c r="C683" s="2" t="s">
        <v>1252</v>
      </c>
      <c r="D683" s="2" t="s">
        <v>1253</v>
      </c>
      <c r="E683" s="2" t="s">
        <v>23</v>
      </c>
      <c r="F683" s="2">
        <v>33</v>
      </c>
      <c r="G683" s="2" t="s">
        <v>69</v>
      </c>
      <c r="H683" s="2" t="s">
        <v>69</v>
      </c>
      <c r="I683" s="2" t="s">
        <v>70</v>
      </c>
      <c r="J683" s="2" t="s">
        <v>71</v>
      </c>
      <c r="K683" s="2" t="s">
        <v>28</v>
      </c>
      <c r="L683" s="2" t="s">
        <v>72</v>
      </c>
      <c r="M683" s="2">
        <v>2</v>
      </c>
      <c r="N683" s="2">
        <v>2548.3000000000002</v>
      </c>
      <c r="O683" s="2">
        <v>1840</v>
      </c>
      <c r="P683" s="2">
        <v>15</v>
      </c>
      <c r="Q683" s="2" t="s">
        <v>30</v>
      </c>
      <c r="R683" s="2" t="s">
        <v>57</v>
      </c>
      <c r="S683" s="3">
        <v>45650</v>
      </c>
      <c r="T683" s="6">
        <v>3</v>
      </c>
    </row>
    <row r="684" spans="1:20" x14ac:dyDescent="0.3">
      <c r="A684" s="2" t="s">
        <v>1258</v>
      </c>
      <c r="B684" s="3">
        <v>45719</v>
      </c>
      <c r="C684" s="2" t="s">
        <v>310</v>
      </c>
      <c r="D684" s="2" t="s">
        <v>311</v>
      </c>
      <c r="E684" s="2" t="s">
        <v>23</v>
      </c>
      <c r="F684" s="2">
        <v>19</v>
      </c>
      <c r="G684" s="2" t="s">
        <v>46</v>
      </c>
      <c r="H684" s="2" t="s">
        <v>25</v>
      </c>
      <c r="I684" s="2" t="s">
        <v>229</v>
      </c>
      <c r="J684" s="2" t="s">
        <v>230</v>
      </c>
      <c r="K684" s="2" t="s">
        <v>28</v>
      </c>
      <c r="L684" s="2" t="s">
        <v>231</v>
      </c>
      <c r="M684" s="2">
        <v>2</v>
      </c>
      <c r="N684" s="2">
        <v>3998</v>
      </c>
      <c r="O684" s="2">
        <v>2460</v>
      </c>
      <c r="P684" s="2">
        <v>0</v>
      </c>
      <c r="Q684" s="2" t="s">
        <v>103</v>
      </c>
      <c r="R684" s="2" t="s">
        <v>42</v>
      </c>
      <c r="S684" s="3">
        <v>45717</v>
      </c>
      <c r="T684" s="6">
        <v>4</v>
      </c>
    </row>
    <row r="685" spans="1:20" x14ac:dyDescent="0.3">
      <c r="A685" s="2" t="s">
        <v>1259</v>
      </c>
      <c r="B685" s="3">
        <v>45434</v>
      </c>
      <c r="C685" s="2" t="s">
        <v>138</v>
      </c>
      <c r="D685" s="2" t="s">
        <v>139</v>
      </c>
      <c r="E685" s="2" t="s">
        <v>77</v>
      </c>
      <c r="F685" s="2">
        <v>42</v>
      </c>
      <c r="G685" s="2" t="s">
        <v>126</v>
      </c>
      <c r="H685" s="2" t="s">
        <v>127</v>
      </c>
      <c r="I685" s="2" t="s">
        <v>319</v>
      </c>
      <c r="J685" s="2" t="s">
        <v>320</v>
      </c>
      <c r="K685" s="2" t="s">
        <v>28</v>
      </c>
      <c r="L685" s="2" t="s">
        <v>29</v>
      </c>
      <c r="M685" s="2">
        <v>3</v>
      </c>
      <c r="N685" s="2">
        <v>3597</v>
      </c>
      <c r="O685" s="2">
        <v>2130</v>
      </c>
      <c r="P685" s="2">
        <v>0</v>
      </c>
      <c r="Q685" s="2" t="s">
        <v>73</v>
      </c>
      <c r="R685" s="2" t="s">
        <v>42</v>
      </c>
      <c r="S685" s="3">
        <v>45438</v>
      </c>
      <c r="T685" s="6">
        <v>3</v>
      </c>
    </row>
    <row r="686" spans="1:20" x14ac:dyDescent="0.3">
      <c r="A686" s="2" t="s">
        <v>1260</v>
      </c>
      <c r="B686" s="3">
        <v>45996</v>
      </c>
      <c r="C686" s="2" t="s">
        <v>1261</v>
      </c>
      <c r="D686" s="2" t="s">
        <v>894</v>
      </c>
      <c r="E686" s="2" t="s">
        <v>77</v>
      </c>
      <c r="F686" s="2">
        <v>55</v>
      </c>
      <c r="G686" s="2" t="s">
        <v>35</v>
      </c>
      <c r="H686" s="2" t="s">
        <v>36</v>
      </c>
      <c r="I686" s="2" t="s">
        <v>252</v>
      </c>
      <c r="J686" s="2" t="s">
        <v>253</v>
      </c>
      <c r="K686" s="2" t="s">
        <v>28</v>
      </c>
      <c r="L686" s="2" t="s">
        <v>254</v>
      </c>
      <c r="M686" s="2">
        <v>2</v>
      </c>
      <c r="N686" s="2">
        <v>5398.2</v>
      </c>
      <c r="O686" s="2">
        <v>3800</v>
      </c>
      <c r="P686" s="2">
        <v>10</v>
      </c>
      <c r="Q686" s="2" t="s">
        <v>73</v>
      </c>
      <c r="R686" s="2" t="s">
        <v>42</v>
      </c>
      <c r="S686" s="3">
        <v>45999</v>
      </c>
      <c r="T686" s="6">
        <v>3</v>
      </c>
    </row>
    <row r="687" spans="1:20" x14ac:dyDescent="0.3">
      <c r="A687" s="2" t="s">
        <v>1262</v>
      </c>
      <c r="B687" s="3">
        <v>45311</v>
      </c>
      <c r="C687" s="2" t="s">
        <v>739</v>
      </c>
      <c r="D687" s="2" t="s">
        <v>740</v>
      </c>
      <c r="E687" s="2" t="s">
        <v>23</v>
      </c>
      <c r="F687" s="2">
        <v>33</v>
      </c>
      <c r="G687" s="2" t="s">
        <v>122</v>
      </c>
      <c r="H687" s="2" t="s">
        <v>123</v>
      </c>
      <c r="I687" s="2" t="s">
        <v>26</v>
      </c>
      <c r="J687" s="2" t="s">
        <v>27</v>
      </c>
      <c r="K687" s="2" t="s">
        <v>28</v>
      </c>
      <c r="L687" s="2" t="s">
        <v>29</v>
      </c>
      <c r="M687" s="2">
        <v>2</v>
      </c>
      <c r="N687" s="2">
        <v>2468.1</v>
      </c>
      <c r="O687" s="2">
        <v>1580</v>
      </c>
      <c r="P687" s="2">
        <v>5</v>
      </c>
      <c r="Q687" s="2" t="s">
        <v>73</v>
      </c>
      <c r="R687" s="2" t="s">
        <v>57</v>
      </c>
      <c r="S687" s="3">
        <v>45323</v>
      </c>
      <c r="T687" s="6">
        <v>2</v>
      </c>
    </row>
    <row r="688" spans="1:20" x14ac:dyDescent="0.3">
      <c r="A688" s="2" t="s">
        <v>1263</v>
      </c>
      <c r="B688" s="3">
        <v>45772</v>
      </c>
      <c r="C688" s="2" t="s">
        <v>517</v>
      </c>
      <c r="D688" s="2" t="s">
        <v>518</v>
      </c>
      <c r="E688" s="2" t="s">
        <v>23</v>
      </c>
      <c r="F688" s="2">
        <v>38</v>
      </c>
      <c r="G688" s="2" t="s">
        <v>207</v>
      </c>
      <c r="H688" s="2" t="s">
        <v>36</v>
      </c>
      <c r="I688" s="2" t="s">
        <v>26</v>
      </c>
      <c r="J688" s="2" t="s">
        <v>27</v>
      </c>
      <c r="K688" s="2" t="s">
        <v>28</v>
      </c>
      <c r="L688" s="2" t="s">
        <v>29</v>
      </c>
      <c r="M688" s="2">
        <v>1</v>
      </c>
      <c r="N688" s="2">
        <v>1039.2</v>
      </c>
      <c r="O688" s="2">
        <v>790</v>
      </c>
      <c r="P688" s="2">
        <v>20</v>
      </c>
      <c r="Q688" s="2" t="s">
        <v>73</v>
      </c>
      <c r="R688" s="2" t="s">
        <v>57</v>
      </c>
      <c r="S688" s="3">
        <v>45775</v>
      </c>
      <c r="T688" s="6">
        <v>3</v>
      </c>
    </row>
    <row r="689" spans="1:20" x14ac:dyDescent="0.3">
      <c r="A689" s="2" t="s">
        <v>1264</v>
      </c>
      <c r="B689" s="3">
        <v>45908</v>
      </c>
      <c r="C689" s="2" t="s">
        <v>873</v>
      </c>
      <c r="D689" s="2" t="s">
        <v>874</v>
      </c>
      <c r="E689" s="2" t="s">
        <v>23</v>
      </c>
      <c r="F689" s="2">
        <v>55</v>
      </c>
      <c r="G689" s="2" t="s">
        <v>154</v>
      </c>
      <c r="H689" s="2" t="s">
        <v>91</v>
      </c>
      <c r="I689" s="2" t="s">
        <v>319</v>
      </c>
      <c r="J689" s="2" t="s">
        <v>320</v>
      </c>
      <c r="K689" s="2" t="s">
        <v>28</v>
      </c>
      <c r="L689" s="2" t="s">
        <v>29</v>
      </c>
      <c r="M689" s="2">
        <v>3</v>
      </c>
      <c r="N689" s="2">
        <v>3597</v>
      </c>
      <c r="O689" s="2">
        <v>2130</v>
      </c>
      <c r="P689" s="2">
        <v>0</v>
      </c>
      <c r="Q689" s="2" t="s">
        <v>73</v>
      </c>
      <c r="R689" s="2" t="s">
        <v>42</v>
      </c>
      <c r="S689" s="3">
        <v>45914</v>
      </c>
      <c r="T689" s="6">
        <v>4</v>
      </c>
    </row>
    <row r="690" spans="1:20" x14ac:dyDescent="0.3">
      <c r="A690" s="2" t="s">
        <v>1265</v>
      </c>
      <c r="B690" s="3">
        <v>45652</v>
      </c>
      <c r="C690" s="2" t="s">
        <v>371</v>
      </c>
      <c r="D690" s="2" t="s">
        <v>372</v>
      </c>
      <c r="E690" s="2" t="s">
        <v>77</v>
      </c>
      <c r="F690" s="2">
        <v>54</v>
      </c>
      <c r="G690" s="2" t="s">
        <v>90</v>
      </c>
      <c r="H690" s="2" t="s">
        <v>91</v>
      </c>
      <c r="I690" s="2" t="s">
        <v>112</v>
      </c>
      <c r="J690" s="2" t="s">
        <v>113</v>
      </c>
      <c r="K690" s="2" t="s">
        <v>114</v>
      </c>
      <c r="L690" s="2" t="s">
        <v>115</v>
      </c>
      <c r="M690" s="2">
        <v>5</v>
      </c>
      <c r="N690" s="2">
        <v>3320.25</v>
      </c>
      <c r="O690" s="2">
        <v>1850</v>
      </c>
      <c r="P690" s="2">
        <v>5</v>
      </c>
      <c r="Q690" s="2" t="s">
        <v>73</v>
      </c>
      <c r="R690" s="2" t="s">
        <v>57</v>
      </c>
      <c r="S690" s="3">
        <v>45663</v>
      </c>
      <c r="T690" s="6">
        <v>2</v>
      </c>
    </row>
    <row r="691" spans="1:20" x14ac:dyDescent="0.3">
      <c r="A691" s="2" t="s">
        <v>1266</v>
      </c>
      <c r="B691" s="3">
        <v>45833</v>
      </c>
      <c r="C691" s="2" t="s">
        <v>778</v>
      </c>
      <c r="D691" s="2" t="s">
        <v>779</v>
      </c>
      <c r="E691" s="2" t="s">
        <v>23</v>
      </c>
      <c r="F691" s="2">
        <v>56</v>
      </c>
      <c r="G691" s="2" t="s">
        <v>154</v>
      </c>
      <c r="H691" s="2" t="s">
        <v>91</v>
      </c>
      <c r="I691" s="2" t="s">
        <v>143</v>
      </c>
      <c r="J691" s="2" t="s">
        <v>144</v>
      </c>
      <c r="K691" s="2" t="s">
        <v>130</v>
      </c>
      <c r="L691" s="2" t="s">
        <v>131</v>
      </c>
      <c r="M691" s="2">
        <v>2</v>
      </c>
      <c r="N691" s="2">
        <v>10998</v>
      </c>
      <c r="O691" s="2">
        <v>8600</v>
      </c>
      <c r="P691" s="2">
        <v>0</v>
      </c>
      <c r="Q691" s="2" t="s">
        <v>73</v>
      </c>
      <c r="R691" s="2" t="s">
        <v>42</v>
      </c>
      <c r="S691" s="3">
        <v>45843</v>
      </c>
      <c r="T691" s="6">
        <v>5</v>
      </c>
    </row>
    <row r="692" spans="1:20" x14ac:dyDescent="0.3">
      <c r="A692" s="2" t="s">
        <v>1267</v>
      </c>
      <c r="B692" s="3">
        <v>45667</v>
      </c>
      <c r="C692" s="2" t="s">
        <v>889</v>
      </c>
      <c r="D692" s="2" t="s">
        <v>890</v>
      </c>
      <c r="E692" s="2" t="s">
        <v>23</v>
      </c>
      <c r="F692" s="2">
        <v>53</v>
      </c>
      <c r="G692" s="2" t="s">
        <v>61</v>
      </c>
      <c r="H692" s="2" t="s">
        <v>62</v>
      </c>
      <c r="I692" s="2" t="s">
        <v>107</v>
      </c>
      <c r="J692" s="2" t="s">
        <v>108</v>
      </c>
      <c r="K692" s="2" t="s">
        <v>87</v>
      </c>
      <c r="L692" s="2" t="s">
        <v>88</v>
      </c>
      <c r="M692" s="2">
        <v>1</v>
      </c>
      <c r="N692" s="2">
        <v>719.1</v>
      </c>
      <c r="O692" s="2">
        <v>420</v>
      </c>
      <c r="P692" s="2">
        <v>10</v>
      </c>
      <c r="Q692" s="2" t="s">
        <v>41</v>
      </c>
      <c r="R692" s="2" t="s">
        <v>42</v>
      </c>
      <c r="S692" s="3">
        <v>45675</v>
      </c>
      <c r="T692" s="6">
        <v>4</v>
      </c>
    </row>
    <row r="693" spans="1:20" x14ac:dyDescent="0.3">
      <c r="A693" s="2" t="s">
        <v>1268</v>
      </c>
      <c r="B693" s="3">
        <v>45818</v>
      </c>
      <c r="C693" s="2" t="s">
        <v>1261</v>
      </c>
      <c r="D693" s="2" t="s">
        <v>894</v>
      </c>
      <c r="E693" s="2" t="s">
        <v>77</v>
      </c>
      <c r="F693" s="2">
        <v>55</v>
      </c>
      <c r="G693" s="2" t="s">
        <v>122</v>
      </c>
      <c r="H693" s="2" t="s">
        <v>123</v>
      </c>
      <c r="I693" s="2" t="s">
        <v>229</v>
      </c>
      <c r="J693" s="2" t="s">
        <v>230</v>
      </c>
      <c r="K693" s="2" t="s">
        <v>28</v>
      </c>
      <c r="L693" s="2" t="s">
        <v>231</v>
      </c>
      <c r="M693" s="2">
        <v>3</v>
      </c>
      <c r="N693" s="2">
        <v>5697.15</v>
      </c>
      <c r="O693" s="2">
        <v>3690</v>
      </c>
      <c r="P693" s="2">
        <v>5</v>
      </c>
      <c r="Q693" s="2" t="s">
        <v>103</v>
      </c>
      <c r="R693" s="2" t="s">
        <v>42</v>
      </c>
      <c r="S693" s="3">
        <v>45828</v>
      </c>
      <c r="T693" s="6">
        <v>3</v>
      </c>
    </row>
    <row r="694" spans="1:20" x14ac:dyDescent="0.3">
      <c r="A694" s="2" t="s">
        <v>1269</v>
      </c>
      <c r="B694" s="3">
        <v>45799</v>
      </c>
      <c r="C694" s="2" t="s">
        <v>514</v>
      </c>
      <c r="D694" s="2" t="s">
        <v>515</v>
      </c>
      <c r="E694" s="2" t="s">
        <v>23</v>
      </c>
      <c r="F694" s="2">
        <v>37</v>
      </c>
      <c r="G694" s="2" t="s">
        <v>35</v>
      </c>
      <c r="H694" s="2" t="s">
        <v>36</v>
      </c>
      <c r="I694" s="2" t="s">
        <v>222</v>
      </c>
      <c r="J694" s="2" t="s">
        <v>223</v>
      </c>
      <c r="K694" s="2" t="s">
        <v>114</v>
      </c>
      <c r="L694" s="2" t="s">
        <v>115</v>
      </c>
      <c r="M694" s="2">
        <v>1</v>
      </c>
      <c r="N694" s="2">
        <v>854.05</v>
      </c>
      <c r="O694" s="2">
        <v>510</v>
      </c>
      <c r="P694" s="2">
        <v>5</v>
      </c>
      <c r="Q694" s="2" t="s">
        <v>41</v>
      </c>
      <c r="R694" s="2" t="s">
        <v>42</v>
      </c>
      <c r="S694" s="3">
        <v>45802</v>
      </c>
      <c r="T694" s="6">
        <v>5</v>
      </c>
    </row>
    <row r="695" spans="1:20" x14ac:dyDescent="0.3">
      <c r="A695" s="2" t="s">
        <v>1270</v>
      </c>
      <c r="B695" s="3">
        <v>45582</v>
      </c>
      <c r="C695" s="2" t="s">
        <v>175</v>
      </c>
      <c r="D695" s="2" t="s">
        <v>176</v>
      </c>
      <c r="E695" s="2" t="s">
        <v>23</v>
      </c>
      <c r="F695" s="2">
        <v>52</v>
      </c>
      <c r="G695" s="2" t="s">
        <v>35</v>
      </c>
      <c r="H695" s="2" t="s">
        <v>36</v>
      </c>
      <c r="I695" s="2" t="s">
        <v>107</v>
      </c>
      <c r="J695" s="2" t="s">
        <v>108</v>
      </c>
      <c r="K695" s="2" t="s">
        <v>87</v>
      </c>
      <c r="L695" s="2" t="s">
        <v>88</v>
      </c>
      <c r="M695" s="2">
        <v>4</v>
      </c>
      <c r="N695" s="2">
        <v>2716.6</v>
      </c>
      <c r="O695" s="2">
        <v>1680</v>
      </c>
      <c r="P695" s="2">
        <v>15</v>
      </c>
      <c r="Q695" s="2" t="s">
        <v>50</v>
      </c>
      <c r="R695" s="2" t="s">
        <v>42</v>
      </c>
      <c r="S695" s="3">
        <v>45588</v>
      </c>
      <c r="T695" s="6">
        <v>5</v>
      </c>
    </row>
    <row r="696" spans="1:20" x14ac:dyDescent="0.3">
      <c r="A696" s="2" t="s">
        <v>1271</v>
      </c>
      <c r="B696" s="3">
        <v>45485</v>
      </c>
      <c r="C696" s="2" t="s">
        <v>187</v>
      </c>
      <c r="D696" s="2" t="s">
        <v>188</v>
      </c>
      <c r="E696" s="2" t="s">
        <v>23</v>
      </c>
      <c r="F696" s="2">
        <v>54</v>
      </c>
      <c r="G696" s="2" t="s">
        <v>101</v>
      </c>
      <c r="H696" s="2" t="s">
        <v>102</v>
      </c>
      <c r="I696" s="2" t="s">
        <v>107</v>
      </c>
      <c r="J696" s="2" t="s">
        <v>108</v>
      </c>
      <c r="K696" s="2" t="s">
        <v>87</v>
      </c>
      <c r="L696" s="2" t="s">
        <v>88</v>
      </c>
      <c r="M696" s="2">
        <v>3</v>
      </c>
      <c r="N696" s="2">
        <v>2157.3000000000002</v>
      </c>
      <c r="O696" s="2">
        <v>1260</v>
      </c>
      <c r="P696" s="2">
        <v>10</v>
      </c>
      <c r="Q696" s="2" t="s">
        <v>73</v>
      </c>
      <c r="R696" s="2" t="s">
        <v>31</v>
      </c>
      <c r="S696" s="3">
        <v>45494</v>
      </c>
      <c r="T696" s="6">
        <v>3</v>
      </c>
    </row>
    <row r="697" spans="1:20" x14ac:dyDescent="0.3">
      <c r="A697" s="2" t="s">
        <v>1272</v>
      </c>
      <c r="B697" s="3">
        <v>45697</v>
      </c>
      <c r="C697" s="2" t="s">
        <v>996</v>
      </c>
      <c r="D697" s="2" t="s">
        <v>997</v>
      </c>
      <c r="E697" s="2" t="s">
        <v>23</v>
      </c>
      <c r="F697" s="2">
        <v>54</v>
      </c>
      <c r="G697" s="2" t="s">
        <v>46</v>
      </c>
      <c r="H697" s="2" t="s">
        <v>25</v>
      </c>
      <c r="I697" s="2" t="s">
        <v>229</v>
      </c>
      <c r="J697" s="2" t="s">
        <v>230</v>
      </c>
      <c r="K697" s="2" t="s">
        <v>28</v>
      </c>
      <c r="L697" s="2" t="s">
        <v>231</v>
      </c>
      <c r="M697" s="2">
        <v>2</v>
      </c>
      <c r="N697" s="2">
        <v>2798.6</v>
      </c>
      <c r="O697" s="2">
        <v>2460</v>
      </c>
      <c r="P697" s="2">
        <v>30</v>
      </c>
      <c r="Q697" s="2" t="s">
        <v>103</v>
      </c>
      <c r="R697" s="2" t="s">
        <v>31</v>
      </c>
      <c r="S697" s="3">
        <v>45708</v>
      </c>
      <c r="T697" s="6">
        <v>3</v>
      </c>
    </row>
    <row r="698" spans="1:20" x14ac:dyDescent="0.3">
      <c r="A698" s="2" t="s">
        <v>1273</v>
      </c>
      <c r="B698" s="3">
        <v>45464</v>
      </c>
      <c r="C698" s="2" t="s">
        <v>769</v>
      </c>
      <c r="D698" s="2" t="s">
        <v>326</v>
      </c>
      <c r="E698" s="2" t="s">
        <v>23</v>
      </c>
      <c r="F698" s="2">
        <v>20</v>
      </c>
      <c r="G698" s="2" t="s">
        <v>211</v>
      </c>
      <c r="H698" s="2" t="s">
        <v>127</v>
      </c>
      <c r="I698" s="2" t="s">
        <v>70</v>
      </c>
      <c r="J698" s="2" t="s">
        <v>71</v>
      </c>
      <c r="K698" s="2" t="s">
        <v>28</v>
      </c>
      <c r="L698" s="2" t="s">
        <v>72</v>
      </c>
      <c r="M698" s="2">
        <v>3</v>
      </c>
      <c r="N698" s="2">
        <v>3822.45</v>
      </c>
      <c r="O698" s="2">
        <v>2760</v>
      </c>
      <c r="P698" s="2">
        <v>15</v>
      </c>
      <c r="Q698" s="2" t="s">
        <v>50</v>
      </c>
      <c r="R698" s="2" t="s">
        <v>57</v>
      </c>
      <c r="S698" s="3">
        <v>45472</v>
      </c>
      <c r="T698" s="6">
        <v>3</v>
      </c>
    </row>
    <row r="699" spans="1:20" x14ac:dyDescent="0.3">
      <c r="A699" s="2" t="s">
        <v>1274</v>
      </c>
      <c r="B699" s="3">
        <v>45530</v>
      </c>
      <c r="C699" s="2" t="s">
        <v>205</v>
      </c>
      <c r="D699" s="2" t="s">
        <v>206</v>
      </c>
      <c r="E699" s="2" t="s">
        <v>77</v>
      </c>
      <c r="F699" s="2">
        <v>26</v>
      </c>
      <c r="G699" s="2" t="s">
        <v>101</v>
      </c>
      <c r="H699" s="2" t="s">
        <v>102</v>
      </c>
      <c r="I699" s="2" t="s">
        <v>128</v>
      </c>
      <c r="J699" s="2" t="s">
        <v>129</v>
      </c>
      <c r="K699" s="2" t="s">
        <v>130</v>
      </c>
      <c r="L699" s="2" t="s">
        <v>131</v>
      </c>
      <c r="M699" s="2">
        <v>5</v>
      </c>
      <c r="N699" s="2">
        <v>25996</v>
      </c>
      <c r="O699" s="2">
        <v>25500</v>
      </c>
      <c r="P699" s="2">
        <v>20</v>
      </c>
      <c r="Q699" s="2" t="s">
        <v>103</v>
      </c>
      <c r="R699" s="2" t="s">
        <v>42</v>
      </c>
      <c r="S699" s="3">
        <v>45539</v>
      </c>
      <c r="T699" s="6">
        <v>5</v>
      </c>
    </row>
    <row r="700" spans="1:20" x14ac:dyDescent="0.3">
      <c r="A700" s="2" t="s">
        <v>1275</v>
      </c>
      <c r="B700" s="3">
        <v>45788</v>
      </c>
      <c r="C700" s="2" t="s">
        <v>526</v>
      </c>
      <c r="D700" s="2" t="s">
        <v>488</v>
      </c>
      <c r="E700" s="2" t="s">
        <v>77</v>
      </c>
      <c r="F700" s="2">
        <v>41</v>
      </c>
      <c r="G700" s="2" t="s">
        <v>207</v>
      </c>
      <c r="H700" s="2" t="s">
        <v>36</v>
      </c>
      <c r="I700" s="2" t="s">
        <v>252</v>
      </c>
      <c r="J700" s="2" t="s">
        <v>253</v>
      </c>
      <c r="K700" s="2" t="s">
        <v>28</v>
      </c>
      <c r="L700" s="2" t="s">
        <v>254</v>
      </c>
      <c r="M700" s="2">
        <v>4</v>
      </c>
      <c r="N700" s="2">
        <v>11396.2</v>
      </c>
      <c r="O700" s="2">
        <v>7600</v>
      </c>
      <c r="P700" s="2">
        <v>5</v>
      </c>
      <c r="Q700" s="2" t="s">
        <v>73</v>
      </c>
      <c r="R700" s="2" t="s">
        <v>42</v>
      </c>
      <c r="S700" s="3">
        <v>45797</v>
      </c>
      <c r="T700" s="6">
        <v>5</v>
      </c>
    </row>
    <row r="701" spans="1:20" x14ac:dyDescent="0.3">
      <c r="A701" s="2" t="s">
        <v>1276</v>
      </c>
      <c r="B701" s="3">
        <v>45528</v>
      </c>
      <c r="C701" s="2" t="s">
        <v>689</v>
      </c>
      <c r="D701" s="2" t="s">
        <v>1604</v>
      </c>
      <c r="E701" s="2" t="s">
        <v>77</v>
      </c>
      <c r="F701" s="2">
        <v>45</v>
      </c>
      <c r="G701" s="2" t="s">
        <v>161</v>
      </c>
      <c r="H701" s="2" t="s">
        <v>25</v>
      </c>
      <c r="I701" s="2" t="s">
        <v>229</v>
      </c>
      <c r="J701" s="2" t="s">
        <v>230</v>
      </c>
      <c r="K701" s="2" t="s">
        <v>28</v>
      </c>
      <c r="L701" s="2" t="s">
        <v>231</v>
      </c>
      <c r="M701" s="2">
        <v>1</v>
      </c>
      <c r="N701" s="2">
        <v>1899.05</v>
      </c>
      <c r="O701" s="2">
        <v>1230</v>
      </c>
      <c r="P701" s="2">
        <v>5</v>
      </c>
      <c r="Q701" s="2" t="s">
        <v>103</v>
      </c>
      <c r="R701" s="2" t="s">
        <v>31</v>
      </c>
      <c r="S701" s="3">
        <v>45530</v>
      </c>
      <c r="T701" s="6">
        <v>3</v>
      </c>
    </row>
    <row r="702" spans="1:20" x14ac:dyDescent="0.3">
      <c r="A702" s="2" t="s">
        <v>1277</v>
      </c>
      <c r="B702" s="3">
        <v>45683</v>
      </c>
      <c r="C702" s="2" t="s">
        <v>233</v>
      </c>
      <c r="D702" s="2" t="s">
        <v>118</v>
      </c>
      <c r="E702" s="2" t="s">
        <v>23</v>
      </c>
      <c r="F702" s="2">
        <v>34</v>
      </c>
      <c r="G702" s="2" t="s">
        <v>173</v>
      </c>
      <c r="H702" s="2" t="s">
        <v>79</v>
      </c>
      <c r="I702" s="2" t="s">
        <v>143</v>
      </c>
      <c r="J702" s="2" t="s">
        <v>144</v>
      </c>
      <c r="K702" s="2" t="s">
        <v>130</v>
      </c>
      <c r="L702" s="2" t="s">
        <v>131</v>
      </c>
      <c r="M702" s="2">
        <v>5</v>
      </c>
      <c r="N702" s="2">
        <v>26120.25</v>
      </c>
      <c r="O702" s="2">
        <v>21500</v>
      </c>
      <c r="P702" s="2">
        <v>5</v>
      </c>
      <c r="Q702" s="2" t="s">
        <v>73</v>
      </c>
      <c r="R702" s="2" t="s">
        <v>31</v>
      </c>
      <c r="S702" s="3">
        <v>45693</v>
      </c>
      <c r="T702" s="6">
        <v>5</v>
      </c>
    </row>
    <row r="703" spans="1:20" x14ac:dyDescent="0.3">
      <c r="A703" s="2" t="s">
        <v>1278</v>
      </c>
      <c r="B703" s="3">
        <v>45769</v>
      </c>
      <c r="C703" s="2" t="s">
        <v>398</v>
      </c>
      <c r="D703" s="2" t="s">
        <v>399</v>
      </c>
      <c r="E703" s="2" t="s">
        <v>77</v>
      </c>
      <c r="F703" s="2">
        <v>49</v>
      </c>
      <c r="G703" s="2" t="s">
        <v>35</v>
      </c>
      <c r="H703" s="2" t="s">
        <v>36</v>
      </c>
      <c r="I703" s="2" t="s">
        <v>107</v>
      </c>
      <c r="J703" s="2" t="s">
        <v>108</v>
      </c>
      <c r="K703" s="2" t="s">
        <v>87</v>
      </c>
      <c r="L703" s="2" t="s">
        <v>88</v>
      </c>
      <c r="M703" s="2">
        <v>4</v>
      </c>
      <c r="N703" s="2">
        <v>1917.6</v>
      </c>
      <c r="O703" s="2">
        <v>1680</v>
      </c>
      <c r="P703" s="2">
        <v>40</v>
      </c>
      <c r="Q703" s="2" t="s">
        <v>50</v>
      </c>
      <c r="R703" s="2" t="s">
        <v>42</v>
      </c>
      <c r="S703" s="3">
        <v>45779</v>
      </c>
      <c r="T703" s="6">
        <v>4</v>
      </c>
    </row>
    <row r="704" spans="1:20" x14ac:dyDescent="0.3">
      <c r="A704" s="2" t="s">
        <v>1279</v>
      </c>
      <c r="B704" s="3">
        <v>45845</v>
      </c>
      <c r="C704" s="2" t="s">
        <v>446</v>
      </c>
      <c r="D704" s="2" t="s">
        <v>447</v>
      </c>
      <c r="E704" s="2" t="s">
        <v>23</v>
      </c>
      <c r="F704" s="2">
        <v>30</v>
      </c>
      <c r="G704" s="2" t="s">
        <v>161</v>
      </c>
      <c r="H704" s="2" t="s">
        <v>25</v>
      </c>
      <c r="I704" s="2" t="s">
        <v>26</v>
      </c>
      <c r="J704" s="2" t="s">
        <v>27</v>
      </c>
      <c r="K704" s="2" t="s">
        <v>28</v>
      </c>
      <c r="L704" s="2" t="s">
        <v>29</v>
      </c>
      <c r="M704" s="2">
        <v>4</v>
      </c>
      <c r="N704" s="2">
        <v>4936.2</v>
      </c>
      <c r="O704" s="2">
        <v>3160</v>
      </c>
      <c r="P704" s="2">
        <v>5</v>
      </c>
      <c r="Q704" s="2" t="s">
        <v>103</v>
      </c>
      <c r="R704" s="2" t="s">
        <v>42</v>
      </c>
      <c r="S704" s="3">
        <v>45852</v>
      </c>
      <c r="T704" s="6">
        <v>5</v>
      </c>
    </row>
    <row r="705" spans="1:20" x14ac:dyDescent="0.3">
      <c r="A705" s="2" t="s">
        <v>1280</v>
      </c>
      <c r="B705" s="3">
        <v>45745</v>
      </c>
      <c r="C705" s="2" t="s">
        <v>310</v>
      </c>
      <c r="D705" s="2" t="s">
        <v>311</v>
      </c>
      <c r="E705" s="2" t="s">
        <v>23</v>
      </c>
      <c r="F705" s="2">
        <v>19</v>
      </c>
      <c r="G705" s="2" t="s">
        <v>24</v>
      </c>
      <c r="H705" s="2" t="s">
        <v>25</v>
      </c>
      <c r="I705" s="2" t="s">
        <v>26</v>
      </c>
      <c r="J705" s="2" t="s">
        <v>27</v>
      </c>
      <c r="K705" s="2" t="s">
        <v>28</v>
      </c>
      <c r="L705" s="2" t="s">
        <v>29</v>
      </c>
      <c r="M705" s="2">
        <v>2</v>
      </c>
      <c r="N705" s="2">
        <v>2078.4</v>
      </c>
      <c r="O705" s="2">
        <v>1580</v>
      </c>
      <c r="P705" s="2">
        <v>20</v>
      </c>
      <c r="Q705" s="2" t="s">
        <v>30</v>
      </c>
      <c r="R705" s="2" t="s">
        <v>42</v>
      </c>
      <c r="S705" s="3">
        <v>45753</v>
      </c>
      <c r="T705" s="6">
        <v>3</v>
      </c>
    </row>
    <row r="706" spans="1:20" x14ac:dyDescent="0.3">
      <c r="A706" s="2" t="s">
        <v>1281</v>
      </c>
      <c r="B706" s="3">
        <v>45611</v>
      </c>
      <c r="C706" s="2" t="s">
        <v>938</v>
      </c>
      <c r="D706" s="2" t="s">
        <v>53</v>
      </c>
      <c r="E706" s="2" t="s">
        <v>23</v>
      </c>
      <c r="F706" s="2">
        <v>42</v>
      </c>
      <c r="G706" s="2" t="s">
        <v>101</v>
      </c>
      <c r="H706" s="2" t="s">
        <v>102</v>
      </c>
      <c r="I706" s="2" t="s">
        <v>229</v>
      </c>
      <c r="J706" s="2" t="s">
        <v>230</v>
      </c>
      <c r="K706" s="2" t="s">
        <v>28</v>
      </c>
      <c r="L706" s="2" t="s">
        <v>231</v>
      </c>
      <c r="M706" s="2">
        <v>5</v>
      </c>
      <c r="N706" s="2">
        <v>5997</v>
      </c>
      <c r="O706" s="2">
        <v>6150</v>
      </c>
      <c r="P706" s="2">
        <v>40</v>
      </c>
      <c r="Q706" s="2" t="s">
        <v>50</v>
      </c>
      <c r="R706" s="2" t="s">
        <v>31</v>
      </c>
      <c r="S706" s="3">
        <v>45621</v>
      </c>
      <c r="T706" s="6">
        <v>5</v>
      </c>
    </row>
    <row r="707" spans="1:20" x14ac:dyDescent="0.3">
      <c r="A707" s="2" t="s">
        <v>1282</v>
      </c>
      <c r="B707" s="3">
        <v>45779</v>
      </c>
      <c r="C707" s="2" t="s">
        <v>859</v>
      </c>
      <c r="D707" s="2" t="s">
        <v>496</v>
      </c>
      <c r="E707" s="2" t="s">
        <v>77</v>
      </c>
      <c r="F707" s="2">
        <v>51</v>
      </c>
      <c r="G707" s="2" t="s">
        <v>78</v>
      </c>
      <c r="H707" s="2" t="s">
        <v>79</v>
      </c>
      <c r="I707" s="2" t="s">
        <v>112</v>
      </c>
      <c r="J707" s="2" t="s">
        <v>113</v>
      </c>
      <c r="K707" s="2" t="s">
        <v>114</v>
      </c>
      <c r="L707" s="2" t="s">
        <v>115</v>
      </c>
      <c r="M707" s="2">
        <v>1</v>
      </c>
      <c r="N707" s="2">
        <v>489.3</v>
      </c>
      <c r="O707" s="2">
        <v>370</v>
      </c>
      <c r="P707" s="2">
        <v>30</v>
      </c>
      <c r="Q707" s="2" t="s">
        <v>41</v>
      </c>
      <c r="R707" s="2" t="s">
        <v>42</v>
      </c>
      <c r="S707" s="3">
        <v>45790</v>
      </c>
      <c r="T707" s="6">
        <v>5</v>
      </c>
    </row>
    <row r="708" spans="1:20" x14ac:dyDescent="0.3">
      <c r="A708" s="2" t="s">
        <v>1283</v>
      </c>
      <c r="B708" s="3">
        <v>45923</v>
      </c>
      <c r="C708" s="2" t="s">
        <v>1284</v>
      </c>
      <c r="D708" s="2" t="s">
        <v>395</v>
      </c>
      <c r="E708" s="2" t="s">
        <v>77</v>
      </c>
      <c r="F708" s="2">
        <v>36</v>
      </c>
      <c r="G708" s="2" t="s">
        <v>35</v>
      </c>
      <c r="H708" s="2" t="s">
        <v>36</v>
      </c>
      <c r="I708" s="2" t="s">
        <v>183</v>
      </c>
      <c r="J708" s="2" t="s">
        <v>184</v>
      </c>
      <c r="K708" s="2" t="s">
        <v>130</v>
      </c>
      <c r="L708" s="2" t="s">
        <v>185</v>
      </c>
      <c r="M708" s="2">
        <v>1</v>
      </c>
      <c r="N708" s="2">
        <v>3999</v>
      </c>
      <c r="O708" s="2">
        <v>3050</v>
      </c>
      <c r="P708" s="2">
        <v>0</v>
      </c>
      <c r="Q708" s="2" t="s">
        <v>50</v>
      </c>
      <c r="R708" s="2" t="s">
        <v>42</v>
      </c>
      <c r="S708" s="3">
        <v>45927</v>
      </c>
      <c r="T708" s="6">
        <v>4</v>
      </c>
    </row>
    <row r="709" spans="1:20" x14ac:dyDescent="0.3">
      <c r="A709" s="2" t="s">
        <v>1285</v>
      </c>
      <c r="B709" s="3">
        <v>45649</v>
      </c>
      <c r="C709" s="2" t="s">
        <v>474</v>
      </c>
      <c r="D709" s="2" t="s">
        <v>475</v>
      </c>
      <c r="E709" s="2" t="s">
        <v>23</v>
      </c>
      <c r="F709" s="2">
        <v>29</v>
      </c>
      <c r="G709" s="2" t="s">
        <v>161</v>
      </c>
      <c r="H709" s="2" t="s">
        <v>25</v>
      </c>
      <c r="I709" s="2" t="s">
        <v>92</v>
      </c>
      <c r="J709" s="2" t="s">
        <v>93</v>
      </c>
      <c r="K709" s="2" t="s">
        <v>87</v>
      </c>
      <c r="L709" s="2" t="s">
        <v>94</v>
      </c>
      <c r="M709" s="2">
        <v>3</v>
      </c>
      <c r="N709" s="2">
        <v>3357.9</v>
      </c>
      <c r="O709" s="2">
        <v>2790</v>
      </c>
      <c r="P709" s="2">
        <v>30</v>
      </c>
      <c r="Q709" s="2" t="s">
        <v>73</v>
      </c>
      <c r="R709" s="2" t="s">
        <v>42</v>
      </c>
      <c r="S709" s="3">
        <v>45656</v>
      </c>
      <c r="T709" s="6">
        <v>4</v>
      </c>
    </row>
    <row r="710" spans="1:20" x14ac:dyDescent="0.3">
      <c r="A710" s="2" t="s">
        <v>1286</v>
      </c>
      <c r="B710" s="3">
        <v>45713</v>
      </c>
      <c r="C710" s="2" t="s">
        <v>627</v>
      </c>
      <c r="D710" s="2" t="s">
        <v>628</v>
      </c>
      <c r="E710" s="2" t="s">
        <v>77</v>
      </c>
      <c r="F710" s="2">
        <v>44</v>
      </c>
      <c r="G710" s="2" t="s">
        <v>24</v>
      </c>
      <c r="H710" s="2" t="s">
        <v>25</v>
      </c>
      <c r="I710" s="2" t="s">
        <v>107</v>
      </c>
      <c r="J710" s="2" t="s">
        <v>108</v>
      </c>
      <c r="K710" s="2" t="s">
        <v>87</v>
      </c>
      <c r="L710" s="2" t="s">
        <v>88</v>
      </c>
      <c r="M710" s="2">
        <v>2</v>
      </c>
      <c r="N710" s="2">
        <v>1358.3</v>
      </c>
      <c r="O710" s="2">
        <v>840</v>
      </c>
      <c r="P710" s="2">
        <v>15</v>
      </c>
      <c r="Q710" s="2" t="s">
        <v>30</v>
      </c>
      <c r="R710" s="2" t="s">
        <v>31</v>
      </c>
      <c r="S710" s="3">
        <v>45719</v>
      </c>
      <c r="T710" s="6">
        <v>3</v>
      </c>
    </row>
    <row r="711" spans="1:20" x14ac:dyDescent="0.3">
      <c r="A711" s="2" t="s">
        <v>1287</v>
      </c>
      <c r="B711" s="3">
        <v>45996</v>
      </c>
      <c r="C711" s="2" t="s">
        <v>769</v>
      </c>
      <c r="D711" s="2" t="s">
        <v>326</v>
      </c>
      <c r="E711" s="2" t="s">
        <v>23</v>
      </c>
      <c r="F711" s="2">
        <v>20</v>
      </c>
      <c r="G711" s="2" t="s">
        <v>35</v>
      </c>
      <c r="H711" s="2" t="s">
        <v>36</v>
      </c>
      <c r="I711" s="2" t="s">
        <v>229</v>
      </c>
      <c r="J711" s="2" t="s">
        <v>230</v>
      </c>
      <c r="K711" s="2" t="s">
        <v>28</v>
      </c>
      <c r="L711" s="2" t="s">
        <v>231</v>
      </c>
      <c r="M711" s="2">
        <v>3</v>
      </c>
      <c r="N711" s="2">
        <v>5397.3</v>
      </c>
      <c r="O711" s="2">
        <v>3690</v>
      </c>
      <c r="P711" s="2">
        <v>10</v>
      </c>
      <c r="Q711" s="2" t="s">
        <v>73</v>
      </c>
      <c r="R711" s="2" t="s">
        <v>65</v>
      </c>
      <c r="S711" s="3" t="s">
        <v>1604</v>
      </c>
      <c r="T711" s="6" t="s">
        <v>1604</v>
      </c>
    </row>
    <row r="712" spans="1:20" x14ac:dyDescent="0.3">
      <c r="A712" s="2" t="s">
        <v>1288</v>
      </c>
      <c r="B712" s="3">
        <v>45625</v>
      </c>
      <c r="C712" s="2" t="s">
        <v>334</v>
      </c>
      <c r="D712" s="2" t="s">
        <v>335</v>
      </c>
      <c r="E712" s="2" t="s">
        <v>77</v>
      </c>
      <c r="F712" s="2">
        <v>41</v>
      </c>
      <c r="G712" s="2" t="s">
        <v>61</v>
      </c>
      <c r="H712" s="2" t="s">
        <v>62</v>
      </c>
      <c r="I712" s="2" t="s">
        <v>107</v>
      </c>
      <c r="J712" s="2" t="s">
        <v>108</v>
      </c>
      <c r="K712" s="2" t="s">
        <v>87</v>
      </c>
      <c r="L712" s="2" t="s">
        <v>88</v>
      </c>
      <c r="M712" s="2">
        <v>4</v>
      </c>
      <c r="N712" s="2">
        <v>2237.1999999999998</v>
      </c>
      <c r="O712" s="2">
        <v>1680</v>
      </c>
      <c r="P712" s="2">
        <v>30</v>
      </c>
      <c r="Q712" s="2" t="s">
        <v>41</v>
      </c>
      <c r="R712" s="2" t="s">
        <v>42</v>
      </c>
      <c r="S712" s="3">
        <v>45634</v>
      </c>
      <c r="T712" s="6">
        <v>2</v>
      </c>
    </row>
    <row r="713" spans="1:20" x14ac:dyDescent="0.3">
      <c r="A713" s="2" t="s">
        <v>1289</v>
      </c>
      <c r="B713" s="3">
        <v>45616</v>
      </c>
      <c r="C713" s="2" t="s">
        <v>595</v>
      </c>
      <c r="D713" s="2" t="s">
        <v>596</v>
      </c>
      <c r="E713" s="2" t="s">
        <v>23</v>
      </c>
      <c r="F713" s="2">
        <v>23</v>
      </c>
      <c r="G713" s="2" t="s">
        <v>165</v>
      </c>
      <c r="H713" s="2" t="s">
        <v>166</v>
      </c>
      <c r="I713" s="2" t="s">
        <v>183</v>
      </c>
      <c r="J713" s="2" t="s">
        <v>184</v>
      </c>
      <c r="K713" s="2" t="s">
        <v>130</v>
      </c>
      <c r="L713" s="2" t="s">
        <v>185</v>
      </c>
      <c r="M713" s="2">
        <v>5</v>
      </c>
      <c r="N713" s="2">
        <v>18995.25</v>
      </c>
      <c r="O713" s="2">
        <v>15250</v>
      </c>
      <c r="P713" s="2">
        <v>5</v>
      </c>
      <c r="Q713" s="2" t="s">
        <v>103</v>
      </c>
      <c r="R713" s="2" t="s">
        <v>42</v>
      </c>
      <c r="S713" s="3">
        <v>45628</v>
      </c>
      <c r="T713" s="6">
        <v>4</v>
      </c>
    </row>
    <row r="714" spans="1:20" x14ac:dyDescent="0.3">
      <c r="A714" s="2" t="s">
        <v>1290</v>
      </c>
      <c r="B714" s="3">
        <v>45636</v>
      </c>
      <c r="C714" s="2" t="s">
        <v>406</v>
      </c>
      <c r="D714" s="2" t="s">
        <v>407</v>
      </c>
      <c r="E714" s="2" t="s">
        <v>23</v>
      </c>
      <c r="F714" s="2">
        <v>37</v>
      </c>
      <c r="G714" s="2" t="s">
        <v>126</v>
      </c>
      <c r="H714" s="2" t="s">
        <v>127</v>
      </c>
      <c r="I714" s="2" t="s">
        <v>319</v>
      </c>
      <c r="J714" s="2" t="s">
        <v>320</v>
      </c>
      <c r="K714" s="2" t="s">
        <v>28</v>
      </c>
      <c r="L714" s="2" t="s">
        <v>29</v>
      </c>
      <c r="M714" s="2">
        <v>5</v>
      </c>
      <c r="N714" s="2">
        <v>4796</v>
      </c>
      <c r="O714" s="2">
        <v>3550</v>
      </c>
      <c r="P714" s="2">
        <v>20</v>
      </c>
      <c r="Q714" s="2" t="s">
        <v>41</v>
      </c>
      <c r="R714" s="2" t="s">
        <v>42</v>
      </c>
      <c r="S714" s="3">
        <v>45641</v>
      </c>
      <c r="T714" s="6">
        <v>5</v>
      </c>
    </row>
    <row r="715" spans="1:20" x14ac:dyDescent="0.3">
      <c r="A715" s="2" t="s">
        <v>1291</v>
      </c>
      <c r="B715" s="3">
        <v>45942</v>
      </c>
      <c r="C715" s="2" t="s">
        <v>75</v>
      </c>
      <c r="D715" s="2" t="s">
        <v>76</v>
      </c>
      <c r="E715" s="2" t="s">
        <v>77</v>
      </c>
      <c r="F715" s="2">
        <v>27</v>
      </c>
      <c r="G715" s="2" t="s">
        <v>154</v>
      </c>
      <c r="H715" s="2" t="s">
        <v>91</v>
      </c>
      <c r="I715" s="2" t="s">
        <v>143</v>
      </c>
      <c r="J715" s="2" t="s">
        <v>144</v>
      </c>
      <c r="K715" s="2" t="s">
        <v>130</v>
      </c>
      <c r="L715" s="2" t="s">
        <v>131</v>
      </c>
      <c r="M715" s="2">
        <v>3</v>
      </c>
      <c r="N715" s="2">
        <v>16497</v>
      </c>
      <c r="O715" s="2">
        <v>12900</v>
      </c>
      <c r="P715" s="2">
        <v>0</v>
      </c>
      <c r="Q715" s="2" t="s">
        <v>41</v>
      </c>
      <c r="R715" s="2" t="s">
        <v>65</v>
      </c>
      <c r="S715" s="3" t="s">
        <v>1604</v>
      </c>
      <c r="T715" s="6" t="s">
        <v>1604</v>
      </c>
    </row>
    <row r="716" spans="1:20" x14ac:dyDescent="0.3">
      <c r="A716" s="2" t="s">
        <v>1292</v>
      </c>
      <c r="B716" s="3">
        <v>45703</v>
      </c>
      <c r="C716" s="2" t="s">
        <v>357</v>
      </c>
      <c r="D716" s="2" t="s">
        <v>358</v>
      </c>
      <c r="E716" s="2" t="s">
        <v>23</v>
      </c>
      <c r="F716" s="2">
        <v>23</v>
      </c>
      <c r="G716" s="2" t="s">
        <v>46</v>
      </c>
      <c r="H716" s="2" t="s">
        <v>25</v>
      </c>
      <c r="I716" s="2" t="s">
        <v>85</v>
      </c>
      <c r="J716" s="2" t="s">
        <v>86</v>
      </c>
      <c r="K716" s="2" t="s">
        <v>87</v>
      </c>
      <c r="L716" s="2" t="s">
        <v>88</v>
      </c>
      <c r="M716" s="2">
        <v>5</v>
      </c>
      <c r="N716" s="2">
        <v>6645.25</v>
      </c>
      <c r="O716" s="2">
        <v>3950</v>
      </c>
      <c r="P716" s="2">
        <v>5</v>
      </c>
      <c r="Q716" s="2" t="s">
        <v>50</v>
      </c>
      <c r="R716" s="2" t="s">
        <v>42</v>
      </c>
      <c r="S716" s="3">
        <v>45709</v>
      </c>
      <c r="T716" s="6">
        <v>3</v>
      </c>
    </row>
    <row r="717" spans="1:20" x14ac:dyDescent="0.3">
      <c r="A717" s="2" t="s">
        <v>1293</v>
      </c>
      <c r="B717" s="3">
        <v>45872</v>
      </c>
      <c r="C717" s="2" t="s">
        <v>272</v>
      </c>
      <c r="D717" s="2" t="s">
        <v>273</v>
      </c>
      <c r="E717" s="2" t="s">
        <v>23</v>
      </c>
      <c r="F717" s="2">
        <v>46</v>
      </c>
      <c r="G717" s="2" t="s">
        <v>101</v>
      </c>
      <c r="H717" s="2" t="s">
        <v>102</v>
      </c>
      <c r="I717" s="2" t="s">
        <v>134</v>
      </c>
      <c r="J717" s="2" t="s">
        <v>135</v>
      </c>
      <c r="K717" s="2" t="s">
        <v>39</v>
      </c>
      <c r="L717" s="2" t="s">
        <v>136</v>
      </c>
      <c r="M717" s="2">
        <v>2</v>
      </c>
      <c r="N717" s="2">
        <v>298.5</v>
      </c>
      <c r="O717" s="2">
        <v>180</v>
      </c>
      <c r="P717" s="2">
        <v>25</v>
      </c>
      <c r="Q717" s="2" t="s">
        <v>73</v>
      </c>
      <c r="R717" s="2" t="s">
        <v>31</v>
      </c>
      <c r="S717" s="3">
        <v>45878</v>
      </c>
      <c r="T717" s="6">
        <v>4</v>
      </c>
    </row>
    <row r="718" spans="1:20" x14ac:dyDescent="0.3">
      <c r="A718" s="2" t="s">
        <v>1294</v>
      </c>
      <c r="B718" s="3">
        <v>45735</v>
      </c>
      <c r="C718" s="2" t="s">
        <v>99</v>
      </c>
      <c r="D718" s="2" t="s">
        <v>100</v>
      </c>
      <c r="E718" s="2" t="s">
        <v>23</v>
      </c>
      <c r="F718" s="2">
        <v>34</v>
      </c>
      <c r="G718" s="2" t="s">
        <v>126</v>
      </c>
      <c r="H718" s="2" t="s">
        <v>127</v>
      </c>
      <c r="I718" s="2" t="s">
        <v>70</v>
      </c>
      <c r="J718" s="2" t="s">
        <v>71</v>
      </c>
      <c r="K718" s="2" t="s">
        <v>28</v>
      </c>
      <c r="L718" s="2" t="s">
        <v>72</v>
      </c>
      <c r="M718" s="2">
        <v>4</v>
      </c>
      <c r="N718" s="2">
        <v>4197.2</v>
      </c>
      <c r="O718" s="2">
        <v>3680</v>
      </c>
      <c r="P718" s="2">
        <v>30</v>
      </c>
      <c r="Q718" s="2" t="s">
        <v>41</v>
      </c>
      <c r="R718" s="2" t="s">
        <v>65</v>
      </c>
      <c r="S718" s="3" t="s">
        <v>1604</v>
      </c>
      <c r="T718" s="6" t="s">
        <v>1604</v>
      </c>
    </row>
    <row r="719" spans="1:20" x14ac:dyDescent="0.3">
      <c r="A719" s="2" t="s">
        <v>1295</v>
      </c>
      <c r="B719" s="3">
        <v>45819</v>
      </c>
      <c r="C719" s="2" t="s">
        <v>237</v>
      </c>
      <c r="D719" s="2" t="s">
        <v>238</v>
      </c>
      <c r="E719" s="2" t="s">
        <v>23</v>
      </c>
      <c r="F719" s="2">
        <v>47</v>
      </c>
      <c r="G719" s="2" t="s">
        <v>78</v>
      </c>
      <c r="H719" s="2" t="s">
        <v>79</v>
      </c>
      <c r="I719" s="2" t="s">
        <v>80</v>
      </c>
      <c r="J719" s="2" t="s">
        <v>81</v>
      </c>
      <c r="K719" s="2" t="s">
        <v>28</v>
      </c>
      <c r="L719" s="2" t="s">
        <v>29</v>
      </c>
      <c r="M719" s="2">
        <v>5</v>
      </c>
      <c r="N719" s="2">
        <v>3595.5</v>
      </c>
      <c r="O719" s="2">
        <v>2350</v>
      </c>
      <c r="P719" s="2">
        <v>10</v>
      </c>
      <c r="Q719" s="2" t="s">
        <v>50</v>
      </c>
      <c r="R719" s="2" t="s">
        <v>42</v>
      </c>
      <c r="S719" s="3">
        <v>45824</v>
      </c>
      <c r="T719" s="6">
        <v>5</v>
      </c>
    </row>
    <row r="720" spans="1:20" x14ac:dyDescent="0.3">
      <c r="A720" s="2" t="s">
        <v>1296</v>
      </c>
      <c r="B720" s="3">
        <v>45566</v>
      </c>
      <c r="C720" s="2" t="s">
        <v>1222</v>
      </c>
      <c r="D720" s="2" t="s">
        <v>1223</v>
      </c>
      <c r="E720" s="2" t="s">
        <v>23</v>
      </c>
      <c r="F720" s="2">
        <v>54</v>
      </c>
      <c r="G720" s="2" t="s">
        <v>122</v>
      </c>
      <c r="H720" s="2" t="s">
        <v>123</v>
      </c>
      <c r="I720" s="2" t="s">
        <v>198</v>
      </c>
      <c r="J720" s="2" t="s">
        <v>1297</v>
      </c>
      <c r="K720" s="2" t="s">
        <v>114</v>
      </c>
      <c r="L720" s="2" t="s">
        <v>200</v>
      </c>
      <c r="M720" s="2">
        <v>1</v>
      </c>
      <c r="N720" s="2">
        <v>1104.1500000000001</v>
      </c>
      <c r="O720" s="2">
        <v>760</v>
      </c>
      <c r="P720" s="2">
        <v>15</v>
      </c>
      <c r="Q720" s="2" t="s">
        <v>41</v>
      </c>
      <c r="R720" s="2" t="s">
        <v>42</v>
      </c>
      <c r="S720" s="3">
        <v>45570</v>
      </c>
      <c r="T720" s="6">
        <v>4</v>
      </c>
    </row>
    <row r="721" spans="1:20" x14ac:dyDescent="0.3">
      <c r="A721" s="2" t="s">
        <v>1298</v>
      </c>
      <c r="B721" s="3">
        <v>45446</v>
      </c>
      <c r="C721" s="2" t="s">
        <v>1042</v>
      </c>
      <c r="D721" s="2" t="s">
        <v>238</v>
      </c>
      <c r="E721" s="2" t="s">
        <v>23</v>
      </c>
      <c r="F721" s="2">
        <v>33</v>
      </c>
      <c r="G721" s="2" t="s">
        <v>122</v>
      </c>
      <c r="H721" s="2" t="s">
        <v>123</v>
      </c>
      <c r="I721" s="2" t="s">
        <v>134</v>
      </c>
      <c r="J721" s="2" t="s">
        <v>135</v>
      </c>
      <c r="K721" s="2" t="s">
        <v>39</v>
      </c>
      <c r="L721" s="2" t="s">
        <v>136</v>
      </c>
      <c r="M721" s="2">
        <v>3</v>
      </c>
      <c r="N721" s="2">
        <v>567.15</v>
      </c>
      <c r="O721" s="2">
        <v>270</v>
      </c>
      <c r="P721" s="2">
        <v>5</v>
      </c>
      <c r="Q721" s="2" t="s">
        <v>30</v>
      </c>
      <c r="R721" s="2" t="s">
        <v>57</v>
      </c>
      <c r="S721" s="3">
        <v>45454</v>
      </c>
      <c r="T721" s="6">
        <v>4</v>
      </c>
    </row>
    <row r="722" spans="1:20" x14ac:dyDescent="0.3">
      <c r="A722" s="2" t="s">
        <v>1299</v>
      </c>
      <c r="B722" s="3">
        <v>45585</v>
      </c>
      <c r="C722" s="2" t="s">
        <v>371</v>
      </c>
      <c r="D722" s="2" t="s">
        <v>372</v>
      </c>
      <c r="E722" s="2" t="s">
        <v>77</v>
      </c>
      <c r="F722" s="2">
        <v>54</v>
      </c>
      <c r="G722" s="2" t="s">
        <v>207</v>
      </c>
      <c r="H722" s="2" t="s">
        <v>36</v>
      </c>
      <c r="I722" s="2" t="s">
        <v>107</v>
      </c>
      <c r="J722" s="2" t="s">
        <v>108</v>
      </c>
      <c r="K722" s="2" t="s">
        <v>87</v>
      </c>
      <c r="L722" s="2" t="s">
        <v>88</v>
      </c>
      <c r="M722" s="2">
        <v>5</v>
      </c>
      <c r="N722" s="2">
        <v>3395.75</v>
      </c>
      <c r="O722" s="2">
        <v>2100</v>
      </c>
      <c r="P722" s="2">
        <v>15</v>
      </c>
      <c r="Q722" s="2" t="s">
        <v>103</v>
      </c>
      <c r="R722" s="2" t="s">
        <v>42</v>
      </c>
      <c r="S722" s="3">
        <v>45588</v>
      </c>
      <c r="T722" s="6">
        <v>3</v>
      </c>
    </row>
    <row r="723" spans="1:20" x14ac:dyDescent="0.3">
      <c r="A723" s="2" t="s">
        <v>1300</v>
      </c>
      <c r="B723" s="3">
        <v>45488</v>
      </c>
      <c r="C723" s="2" t="s">
        <v>376</v>
      </c>
      <c r="D723" s="2" t="s">
        <v>377</v>
      </c>
      <c r="E723" s="2" t="s">
        <v>23</v>
      </c>
      <c r="F723" s="2">
        <v>24</v>
      </c>
      <c r="G723" s="2" t="s">
        <v>90</v>
      </c>
      <c r="H723" s="2" t="s">
        <v>91</v>
      </c>
      <c r="I723" s="2" t="s">
        <v>143</v>
      </c>
      <c r="J723" s="2" t="s">
        <v>144</v>
      </c>
      <c r="K723" s="2" t="s">
        <v>130</v>
      </c>
      <c r="L723" s="2" t="s">
        <v>131</v>
      </c>
      <c r="M723" s="2">
        <v>4</v>
      </c>
      <c r="N723" s="2">
        <v>13197.6</v>
      </c>
      <c r="O723" s="2">
        <v>17200</v>
      </c>
      <c r="P723" s="2">
        <v>40</v>
      </c>
      <c r="Q723" s="2" t="s">
        <v>50</v>
      </c>
      <c r="R723" s="2" t="s">
        <v>42</v>
      </c>
      <c r="S723" s="3">
        <v>45496</v>
      </c>
      <c r="T723" s="6">
        <v>2</v>
      </c>
    </row>
    <row r="724" spans="1:20" x14ac:dyDescent="0.3">
      <c r="A724" s="2" t="s">
        <v>1301</v>
      </c>
      <c r="B724" s="3">
        <v>45498</v>
      </c>
      <c r="C724" s="2" t="s">
        <v>796</v>
      </c>
      <c r="D724" s="2" t="s">
        <v>797</v>
      </c>
      <c r="E724" s="2" t="s">
        <v>77</v>
      </c>
      <c r="F724" s="2">
        <v>31</v>
      </c>
      <c r="G724" s="2" t="s">
        <v>207</v>
      </c>
      <c r="H724" s="2" t="s">
        <v>36</v>
      </c>
      <c r="I724" s="2" t="s">
        <v>252</v>
      </c>
      <c r="J724" s="2" t="s">
        <v>253</v>
      </c>
      <c r="K724" s="2" t="s">
        <v>28</v>
      </c>
      <c r="L724" s="2" t="s">
        <v>254</v>
      </c>
      <c r="M724" s="2">
        <v>1</v>
      </c>
      <c r="N724" s="2">
        <v>2399.1999999999998</v>
      </c>
      <c r="O724" s="2">
        <v>1900</v>
      </c>
      <c r="P724" s="2">
        <v>20</v>
      </c>
      <c r="Q724" s="2" t="s">
        <v>41</v>
      </c>
      <c r="R724" s="2" t="s">
        <v>31</v>
      </c>
      <c r="S724" s="3">
        <v>45508</v>
      </c>
      <c r="T724" s="6">
        <v>3</v>
      </c>
    </row>
    <row r="725" spans="1:20" x14ac:dyDescent="0.3">
      <c r="A725" s="2" t="s">
        <v>1302</v>
      </c>
      <c r="B725" s="3">
        <v>45951</v>
      </c>
      <c r="C725" s="2" t="s">
        <v>621</v>
      </c>
      <c r="D725" s="2" t="s">
        <v>622</v>
      </c>
      <c r="E725" s="2" t="s">
        <v>23</v>
      </c>
      <c r="F725" s="2">
        <v>32</v>
      </c>
      <c r="G725" s="2" t="s">
        <v>101</v>
      </c>
      <c r="H725" s="2" t="s">
        <v>102</v>
      </c>
      <c r="I725" s="2" t="s">
        <v>80</v>
      </c>
      <c r="J725" s="2" t="s">
        <v>81</v>
      </c>
      <c r="K725" s="2" t="s">
        <v>28</v>
      </c>
      <c r="L725" s="2" t="s">
        <v>29</v>
      </c>
      <c r="M725" s="2">
        <v>1</v>
      </c>
      <c r="N725" s="2">
        <v>759.05</v>
      </c>
      <c r="O725" s="2">
        <v>470</v>
      </c>
      <c r="P725" s="2">
        <v>5</v>
      </c>
      <c r="Q725" s="2" t="s">
        <v>41</v>
      </c>
      <c r="R725" s="2" t="s">
        <v>65</v>
      </c>
      <c r="S725" s="3" t="s">
        <v>1604</v>
      </c>
      <c r="T725" s="6" t="s">
        <v>1604</v>
      </c>
    </row>
    <row r="726" spans="1:20" x14ac:dyDescent="0.3">
      <c r="A726" s="2" t="s">
        <v>1303</v>
      </c>
      <c r="B726" s="3">
        <v>45597</v>
      </c>
      <c r="C726" s="2" t="s">
        <v>671</v>
      </c>
      <c r="D726" s="2" t="s">
        <v>60</v>
      </c>
      <c r="E726" s="2" t="s">
        <v>23</v>
      </c>
      <c r="F726" s="2">
        <v>38</v>
      </c>
      <c r="G726" s="2" t="s">
        <v>122</v>
      </c>
      <c r="H726" s="2" t="s">
        <v>123</v>
      </c>
      <c r="I726" s="2" t="s">
        <v>245</v>
      </c>
      <c r="J726" s="2" t="s">
        <v>246</v>
      </c>
      <c r="K726" s="2" t="s">
        <v>130</v>
      </c>
      <c r="L726" s="2" t="s">
        <v>247</v>
      </c>
      <c r="M726" s="2">
        <v>1</v>
      </c>
      <c r="N726" s="2">
        <v>1749.3</v>
      </c>
      <c r="O726" s="2">
        <v>1870</v>
      </c>
      <c r="P726" s="2">
        <v>30</v>
      </c>
      <c r="Q726" s="2" t="s">
        <v>30</v>
      </c>
      <c r="R726" s="2" t="s">
        <v>42</v>
      </c>
      <c r="S726" s="3">
        <v>45600</v>
      </c>
      <c r="T726" s="6">
        <v>3</v>
      </c>
    </row>
    <row r="727" spans="1:20" x14ac:dyDescent="0.3">
      <c r="A727" s="2" t="s">
        <v>1304</v>
      </c>
      <c r="B727" s="3">
        <v>45826</v>
      </c>
      <c r="C727" s="2" t="s">
        <v>1012</v>
      </c>
      <c r="D727" s="2" t="s">
        <v>388</v>
      </c>
      <c r="E727" s="2" t="s">
        <v>23</v>
      </c>
      <c r="F727" s="2">
        <v>36</v>
      </c>
      <c r="G727" s="2" t="s">
        <v>207</v>
      </c>
      <c r="H727" s="2" t="s">
        <v>36</v>
      </c>
      <c r="I727" s="2" t="s">
        <v>37</v>
      </c>
      <c r="J727" s="2" t="s">
        <v>38</v>
      </c>
      <c r="K727" s="2" t="s">
        <v>39</v>
      </c>
      <c r="L727" s="2" t="s">
        <v>40</v>
      </c>
      <c r="M727" s="2">
        <v>1</v>
      </c>
      <c r="N727" s="2">
        <v>764.15</v>
      </c>
      <c r="O727" s="2">
        <v>520</v>
      </c>
      <c r="P727" s="2">
        <v>15</v>
      </c>
      <c r="Q727" s="2" t="s">
        <v>50</v>
      </c>
      <c r="R727" s="2" t="s">
        <v>42</v>
      </c>
      <c r="S727" s="3">
        <v>45833</v>
      </c>
      <c r="T727" s="6">
        <v>4</v>
      </c>
    </row>
    <row r="728" spans="1:20" x14ac:dyDescent="0.3">
      <c r="A728" s="2" t="s">
        <v>1305</v>
      </c>
      <c r="B728" s="3">
        <v>45890</v>
      </c>
      <c r="C728" s="2" t="s">
        <v>938</v>
      </c>
      <c r="D728" s="2" t="s">
        <v>53</v>
      </c>
      <c r="E728" s="2" t="s">
        <v>23</v>
      </c>
      <c r="F728" s="2">
        <v>42</v>
      </c>
      <c r="G728" s="2" t="s">
        <v>90</v>
      </c>
      <c r="H728" s="2" t="s">
        <v>91</v>
      </c>
      <c r="I728" s="2" t="s">
        <v>134</v>
      </c>
      <c r="J728" s="2" t="s">
        <v>135</v>
      </c>
      <c r="K728" s="2" t="s">
        <v>39</v>
      </c>
      <c r="L728" s="2" t="s">
        <v>136</v>
      </c>
      <c r="M728" s="2">
        <v>2</v>
      </c>
      <c r="N728" s="2">
        <v>358.2</v>
      </c>
      <c r="O728" s="2">
        <v>180</v>
      </c>
      <c r="P728" s="2">
        <v>10</v>
      </c>
      <c r="Q728" s="2" t="s">
        <v>73</v>
      </c>
      <c r="R728" s="2" t="s">
        <v>42</v>
      </c>
      <c r="S728" s="3">
        <v>45895</v>
      </c>
      <c r="T728" s="6">
        <v>4</v>
      </c>
    </row>
    <row r="729" spans="1:20" x14ac:dyDescent="0.3">
      <c r="A729" s="2" t="s">
        <v>1306</v>
      </c>
      <c r="B729" s="3">
        <v>45742</v>
      </c>
      <c r="C729" s="2" t="s">
        <v>775</v>
      </c>
      <c r="D729" s="2" t="s">
        <v>244</v>
      </c>
      <c r="E729" s="2" t="s">
        <v>77</v>
      </c>
      <c r="F729" s="2">
        <v>46</v>
      </c>
      <c r="G729" s="2" t="s">
        <v>207</v>
      </c>
      <c r="H729" s="2" t="s">
        <v>36</v>
      </c>
      <c r="I729" s="2" t="s">
        <v>198</v>
      </c>
      <c r="J729" s="2" t="s">
        <v>199</v>
      </c>
      <c r="K729" s="2" t="s">
        <v>114</v>
      </c>
      <c r="L729" s="2" t="s">
        <v>200</v>
      </c>
      <c r="M729" s="2">
        <v>1</v>
      </c>
      <c r="N729" s="2">
        <v>779.4</v>
      </c>
      <c r="O729" s="2">
        <v>760</v>
      </c>
      <c r="P729" s="2">
        <v>40</v>
      </c>
      <c r="Q729" s="2" t="s">
        <v>50</v>
      </c>
      <c r="R729" s="2" t="s">
        <v>42</v>
      </c>
      <c r="S729" s="3">
        <v>45745</v>
      </c>
      <c r="T729" s="6">
        <v>4</v>
      </c>
    </row>
    <row r="730" spans="1:20" x14ac:dyDescent="0.3">
      <c r="A730" s="2" t="s">
        <v>1307</v>
      </c>
      <c r="B730" s="3">
        <v>45850</v>
      </c>
      <c r="C730" s="2" t="s">
        <v>354</v>
      </c>
      <c r="D730" s="2" t="s">
        <v>355</v>
      </c>
      <c r="E730" s="2" t="s">
        <v>77</v>
      </c>
      <c r="F730" s="2">
        <v>38</v>
      </c>
      <c r="G730" s="2" t="s">
        <v>101</v>
      </c>
      <c r="H730" s="2" t="s">
        <v>102</v>
      </c>
      <c r="I730" s="2" t="s">
        <v>107</v>
      </c>
      <c r="J730" s="2" t="s">
        <v>108</v>
      </c>
      <c r="K730" s="2" t="s">
        <v>87</v>
      </c>
      <c r="L730" s="2" t="s">
        <v>88</v>
      </c>
      <c r="M730" s="2">
        <v>2</v>
      </c>
      <c r="N730" s="2">
        <v>1278.4000000000001</v>
      </c>
      <c r="O730" s="2">
        <v>840</v>
      </c>
      <c r="P730" s="2">
        <v>20</v>
      </c>
      <c r="Q730" s="2" t="s">
        <v>30</v>
      </c>
      <c r="R730" s="2" t="s">
        <v>42</v>
      </c>
      <c r="S730" s="3">
        <v>45859</v>
      </c>
      <c r="T730" s="6">
        <v>4</v>
      </c>
    </row>
    <row r="731" spans="1:20" x14ac:dyDescent="0.3">
      <c r="A731" s="2" t="s">
        <v>1308</v>
      </c>
      <c r="B731" s="3">
        <v>45607</v>
      </c>
      <c r="C731" s="2" t="s">
        <v>764</v>
      </c>
      <c r="D731" s="2" t="s">
        <v>765</v>
      </c>
      <c r="E731" s="2" t="s">
        <v>23</v>
      </c>
      <c r="F731" s="2">
        <v>18</v>
      </c>
      <c r="G731" s="2" t="s">
        <v>24</v>
      </c>
      <c r="H731" s="2" t="s">
        <v>25</v>
      </c>
      <c r="I731" s="2" t="s">
        <v>177</v>
      </c>
      <c r="J731" s="2" t="s">
        <v>178</v>
      </c>
      <c r="K731" s="2" t="s">
        <v>87</v>
      </c>
      <c r="L731" s="2" t="s">
        <v>179</v>
      </c>
      <c r="M731" s="2">
        <v>1</v>
      </c>
      <c r="N731" s="2">
        <v>2124.15</v>
      </c>
      <c r="O731" s="2">
        <v>1620</v>
      </c>
      <c r="P731" s="2">
        <v>15</v>
      </c>
      <c r="Q731" s="2" t="s">
        <v>41</v>
      </c>
      <c r="R731" s="2" t="s">
        <v>65</v>
      </c>
      <c r="S731" s="3" t="s">
        <v>1604</v>
      </c>
      <c r="T731" s="6" t="s">
        <v>1604</v>
      </c>
    </row>
    <row r="732" spans="1:20" x14ac:dyDescent="0.3">
      <c r="A732" s="2" t="s">
        <v>1309</v>
      </c>
      <c r="B732" s="3">
        <v>45685</v>
      </c>
      <c r="C732" s="2" t="s">
        <v>1310</v>
      </c>
      <c r="D732" s="2" t="s">
        <v>1311</v>
      </c>
      <c r="E732" s="2" t="s">
        <v>77</v>
      </c>
      <c r="F732" s="2">
        <v>48</v>
      </c>
      <c r="G732" s="2" t="s">
        <v>211</v>
      </c>
      <c r="H732" s="2" t="s">
        <v>127</v>
      </c>
      <c r="I732" s="2" t="s">
        <v>107</v>
      </c>
      <c r="J732" s="2" t="s">
        <v>108</v>
      </c>
      <c r="K732" s="2" t="s">
        <v>87</v>
      </c>
      <c r="L732" s="2" t="s">
        <v>88</v>
      </c>
      <c r="M732" s="2">
        <v>1</v>
      </c>
      <c r="N732" s="2">
        <v>679.15</v>
      </c>
      <c r="O732" s="2">
        <v>420</v>
      </c>
      <c r="P732" s="2">
        <v>15</v>
      </c>
      <c r="Q732" s="2" t="s">
        <v>103</v>
      </c>
      <c r="R732" s="2" t="s">
        <v>42</v>
      </c>
      <c r="S732" s="3">
        <v>45687</v>
      </c>
      <c r="T732" s="6">
        <v>5</v>
      </c>
    </row>
    <row r="733" spans="1:20" x14ac:dyDescent="0.3">
      <c r="A733" s="2" t="s">
        <v>1312</v>
      </c>
      <c r="B733" s="3">
        <v>45553</v>
      </c>
      <c r="C733" s="2" t="s">
        <v>879</v>
      </c>
      <c r="D733" s="2" t="s">
        <v>880</v>
      </c>
      <c r="E733" s="2" t="s">
        <v>23</v>
      </c>
      <c r="F733" s="2">
        <v>44</v>
      </c>
      <c r="G733" s="2" t="s">
        <v>46</v>
      </c>
      <c r="H733" s="2" t="s">
        <v>25</v>
      </c>
      <c r="I733" s="2" t="s">
        <v>304</v>
      </c>
      <c r="J733" s="2" t="s">
        <v>305</v>
      </c>
      <c r="K733" s="2" t="s">
        <v>28</v>
      </c>
      <c r="L733" s="2" t="s">
        <v>231</v>
      </c>
      <c r="M733" s="2">
        <v>3</v>
      </c>
      <c r="N733" s="2">
        <v>4587.45</v>
      </c>
      <c r="O733" s="2">
        <v>3240</v>
      </c>
      <c r="P733" s="2">
        <v>15</v>
      </c>
      <c r="Q733" s="2" t="s">
        <v>30</v>
      </c>
      <c r="R733" s="2" t="s">
        <v>42</v>
      </c>
      <c r="S733" s="3">
        <v>45565</v>
      </c>
      <c r="T733" s="6">
        <v>4</v>
      </c>
    </row>
    <row r="734" spans="1:20" x14ac:dyDescent="0.3">
      <c r="A734" s="2" t="s">
        <v>1313</v>
      </c>
      <c r="B734" s="3">
        <v>45951</v>
      </c>
      <c r="C734" s="2" t="s">
        <v>1314</v>
      </c>
      <c r="D734" s="2" t="s">
        <v>1315</v>
      </c>
      <c r="E734" s="2" t="s">
        <v>77</v>
      </c>
      <c r="F734" s="2">
        <v>50</v>
      </c>
      <c r="G734" s="2" t="s">
        <v>24</v>
      </c>
      <c r="H734" s="2" t="s">
        <v>25</v>
      </c>
      <c r="I734" s="2" t="s">
        <v>128</v>
      </c>
      <c r="J734" s="2" t="s">
        <v>129</v>
      </c>
      <c r="K734" s="2" t="s">
        <v>130</v>
      </c>
      <c r="L734" s="2" t="s">
        <v>131</v>
      </c>
      <c r="M734" s="2">
        <v>1</v>
      </c>
      <c r="N734" s="2">
        <v>3899.4</v>
      </c>
      <c r="O734" s="2">
        <v>5100</v>
      </c>
      <c r="P734" s="2">
        <v>40</v>
      </c>
      <c r="Q734" s="2" t="s">
        <v>103</v>
      </c>
      <c r="R734" s="2" t="s">
        <v>31</v>
      </c>
      <c r="S734" s="3">
        <v>45959</v>
      </c>
      <c r="T734" s="6">
        <v>4</v>
      </c>
    </row>
    <row r="735" spans="1:20" x14ac:dyDescent="0.3">
      <c r="A735" s="2" t="s">
        <v>1316</v>
      </c>
      <c r="B735" s="3">
        <v>45724</v>
      </c>
      <c r="C735" s="2" t="s">
        <v>723</v>
      </c>
      <c r="D735" s="2" t="s">
        <v>724</v>
      </c>
      <c r="E735" s="2" t="s">
        <v>77</v>
      </c>
      <c r="F735" s="2">
        <v>35</v>
      </c>
      <c r="G735" s="2" t="s">
        <v>78</v>
      </c>
      <c r="H735" s="2" t="s">
        <v>79</v>
      </c>
      <c r="I735" s="2" t="s">
        <v>85</v>
      </c>
      <c r="J735" s="2" t="s">
        <v>86</v>
      </c>
      <c r="K735" s="2" t="s">
        <v>87</v>
      </c>
      <c r="L735" s="2" t="s">
        <v>88</v>
      </c>
      <c r="M735" s="2">
        <v>3</v>
      </c>
      <c r="N735" s="2">
        <v>3987.15</v>
      </c>
      <c r="O735" s="2">
        <v>2370</v>
      </c>
      <c r="P735" s="2">
        <v>5</v>
      </c>
      <c r="Q735" s="2" t="s">
        <v>41</v>
      </c>
      <c r="R735" s="2" t="s">
        <v>42</v>
      </c>
      <c r="S735" s="3">
        <v>45735</v>
      </c>
      <c r="T735" s="6">
        <v>4</v>
      </c>
    </row>
    <row r="736" spans="1:20" x14ac:dyDescent="0.3">
      <c r="A736" s="2" t="s">
        <v>1317</v>
      </c>
      <c r="B736" s="3">
        <v>45756</v>
      </c>
      <c r="C736" s="2" t="s">
        <v>376</v>
      </c>
      <c r="D736" s="2" t="s">
        <v>377</v>
      </c>
      <c r="E736" s="2" t="s">
        <v>23</v>
      </c>
      <c r="F736" s="2">
        <v>24</v>
      </c>
      <c r="G736" s="2" t="s">
        <v>24</v>
      </c>
      <c r="H736" s="2" t="s">
        <v>25</v>
      </c>
      <c r="I736" s="2" t="s">
        <v>92</v>
      </c>
      <c r="J736" s="2" t="s">
        <v>93</v>
      </c>
      <c r="K736" s="2" t="s">
        <v>87</v>
      </c>
      <c r="L736" s="2" t="s">
        <v>94</v>
      </c>
      <c r="M736" s="2">
        <v>2</v>
      </c>
      <c r="N736" s="2">
        <v>1918.8</v>
      </c>
      <c r="O736" s="2">
        <v>1860</v>
      </c>
      <c r="P736" s="2">
        <v>40</v>
      </c>
      <c r="Q736" s="2" t="s">
        <v>30</v>
      </c>
      <c r="R736" s="2" t="s">
        <v>42</v>
      </c>
      <c r="S736" s="3">
        <v>45764</v>
      </c>
      <c r="T736" s="6">
        <v>4</v>
      </c>
    </row>
    <row r="737" spans="1:20" x14ac:dyDescent="0.3">
      <c r="A737" s="2" t="s">
        <v>1318</v>
      </c>
      <c r="B737" s="3">
        <v>45935</v>
      </c>
      <c r="C737" s="2" t="s">
        <v>1319</v>
      </c>
      <c r="D737" s="2" t="s">
        <v>894</v>
      </c>
      <c r="E737" s="2" t="s">
        <v>77</v>
      </c>
      <c r="F737" s="2">
        <v>33</v>
      </c>
      <c r="G737" s="2" t="s">
        <v>126</v>
      </c>
      <c r="H737" s="2" t="s">
        <v>127</v>
      </c>
      <c r="I737" s="2" t="s">
        <v>198</v>
      </c>
      <c r="J737" s="2" t="s">
        <v>199</v>
      </c>
      <c r="K737" s="2" t="s">
        <v>114</v>
      </c>
      <c r="L737" s="2" t="s">
        <v>200</v>
      </c>
      <c r="M737" s="2">
        <v>1</v>
      </c>
      <c r="N737" s="2">
        <v>1234.05</v>
      </c>
      <c r="O737" s="2">
        <v>760</v>
      </c>
      <c r="P737" s="2">
        <v>5</v>
      </c>
      <c r="Q737" s="2" t="s">
        <v>30</v>
      </c>
      <c r="R737" s="2" t="s">
        <v>42</v>
      </c>
      <c r="S737" s="3">
        <v>45945</v>
      </c>
      <c r="T737" s="6">
        <v>3</v>
      </c>
    </row>
    <row r="738" spans="1:20" x14ac:dyDescent="0.3">
      <c r="A738" s="2" t="s">
        <v>1320</v>
      </c>
      <c r="B738" s="3">
        <v>45900</v>
      </c>
      <c r="C738" s="2" t="s">
        <v>918</v>
      </c>
      <c r="D738" s="2" t="s">
        <v>182</v>
      </c>
      <c r="E738" s="2" t="s">
        <v>23</v>
      </c>
      <c r="F738" s="2">
        <v>48</v>
      </c>
      <c r="G738" s="2" t="s">
        <v>126</v>
      </c>
      <c r="H738" s="2" t="s">
        <v>127</v>
      </c>
      <c r="I738" s="2" t="s">
        <v>63</v>
      </c>
      <c r="J738" s="2" t="s">
        <v>64</v>
      </c>
      <c r="K738" s="2" t="s">
        <v>39</v>
      </c>
      <c r="L738" s="2" t="s">
        <v>40</v>
      </c>
      <c r="M738" s="2">
        <v>4</v>
      </c>
      <c r="N738" s="2">
        <v>2156.4</v>
      </c>
      <c r="O738" s="2">
        <v>1320</v>
      </c>
      <c r="P738" s="2">
        <v>10</v>
      </c>
      <c r="Q738" s="2" t="s">
        <v>41</v>
      </c>
      <c r="R738" s="2" t="s">
        <v>42</v>
      </c>
      <c r="S738" s="3">
        <v>45912</v>
      </c>
      <c r="T738" s="6">
        <v>4</v>
      </c>
    </row>
    <row r="739" spans="1:20" x14ac:dyDescent="0.3">
      <c r="A739" s="2" t="s">
        <v>1321</v>
      </c>
      <c r="B739" s="3">
        <v>45580</v>
      </c>
      <c r="C739" s="2" t="s">
        <v>975</v>
      </c>
      <c r="D739" s="2" t="s">
        <v>733</v>
      </c>
      <c r="E739" s="2" t="s">
        <v>77</v>
      </c>
      <c r="F739" s="2">
        <v>45</v>
      </c>
      <c r="G739" s="2" t="s">
        <v>46</v>
      </c>
      <c r="H739" s="2" t="s">
        <v>25</v>
      </c>
      <c r="I739" s="2" t="s">
        <v>134</v>
      </c>
      <c r="J739" s="2" t="s">
        <v>135</v>
      </c>
      <c r="K739" s="2" t="s">
        <v>39</v>
      </c>
      <c r="L739" s="2" t="s">
        <v>136</v>
      </c>
      <c r="M739" s="2">
        <v>3</v>
      </c>
      <c r="N739" s="2">
        <v>537.29999999999995</v>
      </c>
      <c r="O739" s="2">
        <v>270</v>
      </c>
      <c r="P739" s="2">
        <v>10</v>
      </c>
      <c r="Q739" s="2" t="s">
        <v>103</v>
      </c>
      <c r="R739" s="2" t="s">
        <v>42</v>
      </c>
      <c r="S739" s="3">
        <v>45591</v>
      </c>
      <c r="T739" s="6">
        <v>4</v>
      </c>
    </row>
    <row r="740" spans="1:20" x14ac:dyDescent="0.3">
      <c r="A740" s="2" t="s">
        <v>1322</v>
      </c>
      <c r="B740" s="3">
        <v>45313</v>
      </c>
      <c r="C740" s="2" t="s">
        <v>1064</v>
      </c>
      <c r="D740" s="2" t="s">
        <v>182</v>
      </c>
      <c r="E740" s="2" t="s">
        <v>23</v>
      </c>
      <c r="F740" s="2">
        <v>45</v>
      </c>
      <c r="G740" s="2" t="s">
        <v>90</v>
      </c>
      <c r="H740" s="2" t="s">
        <v>91</v>
      </c>
      <c r="I740" s="2" t="s">
        <v>54</v>
      </c>
      <c r="J740" s="2" t="s">
        <v>55</v>
      </c>
      <c r="K740" s="2" t="s">
        <v>28</v>
      </c>
      <c r="L740" s="2" t="s">
        <v>56</v>
      </c>
      <c r="M740" s="2">
        <v>4</v>
      </c>
      <c r="N740" s="2">
        <v>2376.6</v>
      </c>
      <c r="O740" s="2">
        <v>1640</v>
      </c>
      <c r="P740" s="2">
        <v>15</v>
      </c>
      <c r="Q740" s="2" t="s">
        <v>41</v>
      </c>
      <c r="R740" s="2" t="s">
        <v>31</v>
      </c>
      <c r="S740" s="3">
        <v>45317</v>
      </c>
      <c r="T740" s="6">
        <v>2</v>
      </c>
    </row>
    <row r="741" spans="1:20" x14ac:dyDescent="0.3">
      <c r="A741" s="2" t="s">
        <v>1323</v>
      </c>
      <c r="B741" s="3">
        <v>45702</v>
      </c>
      <c r="C741" s="2" t="s">
        <v>610</v>
      </c>
      <c r="D741" s="2" t="s">
        <v>34</v>
      </c>
      <c r="E741" s="2" t="s">
        <v>23</v>
      </c>
      <c r="F741" s="2">
        <v>31</v>
      </c>
      <c r="G741" s="2" t="s">
        <v>207</v>
      </c>
      <c r="H741" s="2" t="s">
        <v>36</v>
      </c>
      <c r="I741" s="2" t="s">
        <v>252</v>
      </c>
      <c r="J741" s="2" t="s">
        <v>253</v>
      </c>
      <c r="K741" s="2" t="s">
        <v>28</v>
      </c>
      <c r="L741" s="2" t="s">
        <v>254</v>
      </c>
      <c r="M741" s="2">
        <v>1</v>
      </c>
      <c r="N741" s="2">
        <v>2249.25</v>
      </c>
      <c r="O741" s="2">
        <v>1900</v>
      </c>
      <c r="P741" s="2">
        <v>25</v>
      </c>
      <c r="Q741" s="2" t="s">
        <v>30</v>
      </c>
      <c r="R741" s="2" t="s">
        <v>65</v>
      </c>
      <c r="S741" s="3" t="s">
        <v>1604</v>
      </c>
      <c r="T741" s="6" t="s">
        <v>1604</v>
      </c>
    </row>
    <row r="742" spans="1:20" x14ac:dyDescent="0.3">
      <c r="A742" s="2" t="s">
        <v>1324</v>
      </c>
      <c r="B742" s="3">
        <v>45412</v>
      </c>
      <c r="C742" s="2" t="s">
        <v>1009</v>
      </c>
      <c r="D742" s="2" t="s">
        <v>1010</v>
      </c>
      <c r="E742" s="2" t="s">
        <v>23</v>
      </c>
      <c r="F742" s="2">
        <v>53</v>
      </c>
      <c r="G742" s="2" t="s">
        <v>122</v>
      </c>
      <c r="H742" s="2" t="s">
        <v>123</v>
      </c>
      <c r="I742" s="2" t="s">
        <v>63</v>
      </c>
      <c r="J742" s="2" t="s">
        <v>64</v>
      </c>
      <c r="K742" s="2" t="s">
        <v>39</v>
      </c>
      <c r="L742" s="2" t="s">
        <v>40</v>
      </c>
      <c r="M742" s="2">
        <v>4</v>
      </c>
      <c r="N742" s="2">
        <v>2276.1999999999998</v>
      </c>
      <c r="O742" s="2">
        <v>1320</v>
      </c>
      <c r="P742" s="2">
        <v>5</v>
      </c>
      <c r="Q742" s="2" t="s">
        <v>30</v>
      </c>
      <c r="R742" s="2" t="s">
        <v>31</v>
      </c>
      <c r="S742" s="3">
        <v>45417</v>
      </c>
      <c r="T742" s="6">
        <v>4</v>
      </c>
    </row>
    <row r="743" spans="1:20" x14ac:dyDescent="0.3">
      <c r="A743" s="2" t="s">
        <v>1325</v>
      </c>
      <c r="B743" s="3">
        <v>45564</v>
      </c>
      <c r="C743" s="2" t="s">
        <v>83</v>
      </c>
      <c r="D743" s="2" t="s">
        <v>84</v>
      </c>
      <c r="E743" s="2" t="s">
        <v>23</v>
      </c>
      <c r="F743" s="2">
        <v>27</v>
      </c>
      <c r="G743" s="2" t="s">
        <v>101</v>
      </c>
      <c r="H743" s="2" t="s">
        <v>102</v>
      </c>
      <c r="I743" s="2" t="s">
        <v>47</v>
      </c>
      <c r="J743" s="2" t="s">
        <v>48</v>
      </c>
      <c r="K743" s="2" t="s">
        <v>39</v>
      </c>
      <c r="L743" s="2" t="s">
        <v>49</v>
      </c>
      <c r="M743" s="2">
        <v>2</v>
      </c>
      <c r="N743" s="2">
        <v>558.6</v>
      </c>
      <c r="O743" s="2">
        <v>420</v>
      </c>
      <c r="P743" s="2">
        <v>30</v>
      </c>
      <c r="Q743" s="2" t="s">
        <v>30</v>
      </c>
      <c r="R743" s="2" t="s">
        <v>65</v>
      </c>
      <c r="S743" s="3" t="s">
        <v>1604</v>
      </c>
      <c r="T743" s="6" t="s">
        <v>1604</v>
      </c>
    </row>
    <row r="744" spans="1:20" x14ac:dyDescent="0.3">
      <c r="A744" s="2" t="s">
        <v>1326</v>
      </c>
      <c r="B744" s="3">
        <v>45512</v>
      </c>
      <c r="C744" s="2" t="s">
        <v>366</v>
      </c>
      <c r="D744" s="2" t="s">
        <v>367</v>
      </c>
      <c r="E744" s="2" t="s">
        <v>77</v>
      </c>
      <c r="F744" s="2">
        <v>25</v>
      </c>
      <c r="G744" s="2" t="s">
        <v>154</v>
      </c>
      <c r="H744" s="2" t="s">
        <v>91</v>
      </c>
      <c r="I744" s="2" t="s">
        <v>134</v>
      </c>
      <c r="J744" s="2" t="s">
        <v>135</v>
      </c>
      <c r="K744" s="2" t="s">
        <v>39</v>
      </c>
      <c r="L744" s="2" t="s">
        <v>136</v>
      </c>
      <c r="M744" s="2">
        <v>2</v>
      </c>
      <c r="N744" s="2">
        <v>278.60000000000002</v>
      </c>
      <c r="O744" s="2">
        <v>180</v>
      </c>
      <c r="P744" s="2">
        <v>30</v>
      </c>
      <c r="Q744" s="2" t="s">
        <v>30</v>
      </c>
      <c r="R744" s="2" t="s">
        <v>42</v>
      </c>
      <c r="S744" s="3">
        <v>45518</v>
      </c>
      <c r="T744" s="6">
        <v>4</v>
      </c>
    </row>
    <row r="745" spans="1:20" x14ac:dyDescent="0.3">
      <c r="A745" s="2" t="s">
        <v>1327</v>
      </c>
      <c r="B745" s="3">
        <v>45533</v>
      </c>
      <c r="C745" s="2" t="s">
        <v>1091</v>
      </c>
      <c r="D745" s="2" t="s">
        <v>963</v>
      </c>
      <c r="E745" s="2" t="s">
        <v>77</v>
      </c>
      <c r="F745" s="2">
        <v>42</v>
      </c>
      <c r="G745" s="2" t="s">
        <v>90</v>
      </c>
      <c r="H745" s="2" t="s">
        <v>91</v>
      </c>
      <c r="I745" s="2" t="s">
        <v>245</v>
      </c>
      <c r="J745" s="2" t="s">
        <v>246</v>
      </c>
      <c r="K745" s="2" t="s">
        <v>130</v>
      </c>
      <c r="L745" s="2" t="s">
        <v>247</v>
      </c>
      <c r="M745" s="2">
        <v>5</v>
      </c>
      <c r="N745" s="2">
        <v>7497</v>
      </c>
      <c r="O745" s="2">
        <v>9350</v>
      </c>
      <c r="P745" s="2">
        <v>40</v>
      </c>
      <c r="Q745" s="2" t="s">
        <v>73</v>
      </c>
      <c r="R745" s="2" t="s">
        <v>42</v>
      </c>
      <c r="S745" s="3">
        <v>45542</v>
      </c>
      <c r="T745" s="6">
        <v>3</v>
      </c>
    </row>
    <row r="746" spans="1:20" x14ac:dyDescent="0.3">
      <c r="A746" s="2" t="s">
        <v>1328</v>
      </c>
      <c r="B746" s="3">
        <v>45623</v>
      </c>
      <c r="C746" s="2" t="s">
        <v>181</v>
      </c>
      <c r="D746" s="2" t="s">
        <v>182</v>
      </c>
      <c r="E746" s="2" t="s">
        <v>23</v>
      </c>
      <c r="F746" s="2">
        <v>51</v>
      </c>
      <c r="G746" s="2" t="s">
        <v>154</v>
      </c>
      <c r="H746" s="2" t="s">
        <v>91</v>
      </c>
      <c r="I746" s="2" t="s">
        <v>85</v>
      </c>
      <c r="J746" s="2" t="s">
        <v>86</v>
      </c>
      <c r="K746" s="2" t="s">
        <v>87</v>
      </c>
      <c r="L746" s="2" t="s">
        <v>88</v>
      </c>
      <c r="M746" s="2">
        <v>4</v>
      </c>
      <c r="N746" s="2">
        <v>3917.2</v>
      </c>
      <c r="O746" s="2">
        <v>3160</v>
      </c>
      <c r="P746" s="2">
        <v>30</v>
      </c>
      <c r="Q746" s="2" t="s">
        <v>50</v>
      </c>
      <c r="R746" s="2" t="s">
        <v>42</v>
      </c>
      <c r="S746" s="3">
        <v>45626</v>
      </c>
      <c r="T746" s="6">
        <v>3</v>
      </c>
    </row>
    <row r="747" spans="1:20" x14ac:dyDescent="0.3">
      <c r="A747" s="2" t="s">
        <v>1329</v>
      </c>
      <c r="B747" s="3">
        <v>45862</v>
      </c>
      <c r="C747" s="2" t="s">
        <v>67</v>
      </c>
      <c r="D747" s="2" t="s">
        <v>68</v>
      </c>
      <c r="E747" s="2" t="s">
        <v>23</v>
      </c>
      <c r="F747" s="2">
        <v>42</v>
      </c>
      <c r="G747" s="2" t="s">
        <v>24</v>
      </c>
      <c r="H747" s="2" t="s">
        <v>25</v>
      </c>
      <c r="I747" s="2" t="s">
        <v>183</v>
      </c>
      <c r="J747" s="2" t="s">
        <v>184</v>
      </c>
      <c r="K747" s="2" t="s">
        <v>130</v>
      </c>
      <c r="L747" s="2" t="s">
        <v>185</v>
      </c>
      <c r="M747" s="2">
        <v>2</v>
      </c>
      <c r="N747" s="2">
        <v>4798.8</v>
      </c>
      <c r="O747" s="2">
        <v>6100</v>
      </c>
      <c r="P747" s="2">
        <v>40</v>
      </c>
      <c r="Q747" s="2" t="s">
        <v>41</v>
      </c>
      <c r="R747" s="2" t="s">
        <v>65</v>
      </c>
      <c r="S747" s="3" t="s">
        <v>1604</v>
      </c>
      <c r="T747" s="6" t="s">
        <v>1604</v>
      </c>
    </row>
    <row r="748" spans="1:20" x14ac:dyDescent="0.3">
      <c r="A748" s="2" t="s">
        <v>1330</v>
      </c>
      <c r="B748" s="3">
        <v>45978</v>
      </c>
      <c r="C748" s="2" t="s">
        <v>235</v>
      </c>
      <c r="D748" s="2" t="s">
        <v>227</v>
      </c>
      <c r="E748" s="2" t="s">
        <v>23</v>
      </c>
      <c r="F748" s="2">
        <v>35</v>
      </c>
      <c r="G748" s="2" t="s">
        <v>161</v>
      </c>
      <c r="H748" s="2" t="s">
        <v>25</v>
      </c>
      <c r="I748" s="2" t="s">
        <v>128</v>
      </c>
      <c r="J748" s="2" t="s">
        <v>129</v>
      </c>
      <c r="K748" s="2" t="s">
        <v>130</v>
      </c>
      <c r="L748" s="2" t="s">
        <v>131</v>
      </c>
      <c r="M748" s="2">
        <v>5</v>
      </c>
      <c r="N748" s="2">
        <v>22746.5</v>
      </c>
      <c r="O748" s="2">
        <v>25500</v>
      </c>
      <c r="P748" s="2">
        <v>30</v>
      </c>
      <c r="Q748" s="2" t="s">
        <v>41</v>
      </c>
      <c r="R748" s="2" t="s">
        <v>42</v>
      </c>
      <c r="S748" s="3">
        <v>45990</v>
      </c>
      <c r="T748" s="6">
        <v>4</v>
      </c>
    </row>
    <row r="749" spans="1:20" x14ac:dyDescent="0.3">
      <c r="A749" s="2" t="s">
        <v>1331</v>
      </c>
      <c r="B749" s="3">
        <v>45427</v>
      </c>
      <c r="C749" s="2" t="s">
        <v>1332</v>
      </c>
      <c r="D749" s="2" t="s">
        <v>338</v>
      </c>
      <c r="E749" s="2" t="s">
        <v>77</v>
      </c>
      <c r="F749" s="2">
        <v>41</v>
      </c>
      <c r="G749" s="2" t="s">
        <v>24</v>
      </c>
      <c r="H749" s="2" t="s">
        <v>25</v>
      </c>
      <c r="I749" s="2" t="s">
        <v>198</v>
      </c>
      <c r="J749" s="2" t="s">
        <v>199</v>
      </c>
      <c r="K749" s="2" t="s">
        <v>114</v>
      </c>
      <c r="L749" s="2" t="s">
        <v>200</v>
      </c>
      <c r="M749" s="2">
        <v>2</v>
      </c>
      <c r="N749" s="2">
        <v>2078.4</v>
      </c>
      <c r="O749" s="2">
        <v>1520</v>
      </c>
      <c r="P749" s="2">
        <v>20</v>
      </c>
      <c r="Q749" s="2" t="s">
        <v>30</v>
      </c>
      <c r="R749" s="2" t="s">
        <v>65</v>
      </c>
      <c r="S749" s="3" t="s">
        <v>1604</v>
      </c>
      <c r="T749" s="6" t="s">
        <v>1604</v>
      </c>
    </row>
    <row r="750" spans="1:20" x14ac:dyDescent="0.3">
      <c r="A750" s="2" t="s">
        <v>1333</v>
      </c>
      <c r="B750" s="3">
        <v>45796</v>
      </c>
      <c r="C750" s="2" t="s">
        <v>345</v>
      </c>
      <c r="D750" s="2" t="s">
        <v>346</v>
      </c>
      <c r="E750" s="2" t="s">
        <v>23</v>
      </c>
      <c r="F750" s="2">
        <v>18</v>
      </c>
      <c r="G750" s="2" t="s">
        <v>61</v>
      </c>
      <c r="H750" s="2" t="s">
        <v>62</v>
      </c>
      <c r="I750" s="2" t="s">
        <v>252</v>
      </c>
      <c r="J750" s="2" t="s">
        <v>253</v>
      </c>
      <c r="K750" s="2" t="s">
        <v>28</v>
      </c>
      <c r="L750" s="2" t="s">
        <v>254</v>
      </c>
      <c r="M750" s="2">
        <v>1</v>
      </c>
      <c r="N750" s="2">
        <v>2249.25</v>
      </c>
      <c r="O750" s="2">
        <v>1900</v>
      </c>
      <c r="P750" s="2">
        <v>25</v>
      </c>
      <c r="Q750" s="2" t="s">
        <v>50</v>
      </c>
      <c r="R750" s="2" t="s">
        <v>42</v>
      </c>
      <c r="S750" s="3">
        <v>45800</v>
      </c>
      <c r="T750" s="6">
        <v>4</v>
      </c>
    </row>
    <row r="751" spans="1:20" x14ac:dyDescent="0.3">
      <c r="A751" s="2" t="s">
        <v>1334</v>
      </c>
      <c r="B751" s="3">
        <v>45411</v>
      </c>
      <c r="C751" s="2" t="s">
        <v>278</v>
      </c>
      <c r="D751" s="2" t="s">
        <v>139</v>
      </c>
      <c r="E751" s="2" t="s">
        <v>77</v>
      </c>
      <c r="F751" s="2">
        <v>32</v>
      </c>
      <c r="G751" s="2" t="s">
        <v>24</v>
      </c>
      <c r="H751" s="2" t="s">
        <v>25</v>
      </c>
      <c r="I751" s="2" t="s">
        <v>252</v>
      </c>
      <c r="J751" s="2" t="s">
        <v>253</v>
      </c>
      <c r="K751" s="2" t="s">
        <v>28</v>
      </c>
      <c r="L751" s="2" t="s">
        <v>254</v>
      </c>
      <c r="M751" s="2">
        <v>4</v>
      </c>
      <c r="N751" s="2">
        <v>9596.7999999999993</v>
      </c>
      <c r="O751" s="2">
        <v>7600</v>
      </c>
      <c r="P751" s="2">
        <v>20</v>
      </c>
      <c r="Q751" s="2" t="s">
        <v>41</v>
      </c>
      <c r="R751" s="2" t="s">
        <v>42</v>
      </c>
      <c r="S751" s="3">
        <v>45417</v>
      </c>
      <c r="T751" s="6">
        <v>4</v>
      </c>
    </row>
    <row r="752" spans="1:20" x14ac:dyDescent="0.3">
      <c r="A752" s="2" t="s">
        <v>1335</v>
      </c>
      <c r="B752" s="3">
        <v>45919</v>
      </c>
      <c r="C752" s="2" t="s">
        <v>761</v>
      </c>
      <c r="D752" s="2" t="s">
        <v>539</v>
      </c>
      <c r="E752" s="2" t="s">
        <v>23</v>
      </c>
      <c r="F752" s="2">
        <v>39</v>
      </c>
      <c r="G752" s="2" t="s">
        <v>126</v>
      </c>
      <c r="H752" s="2" t="s">
        <v>127</v>
      </c>
      <c r="I752" s="2" t="s">
        <v>134</v>
      </c>
      <c r="J752" s="2" t="s">
        <v>135</v>
      </c>
      <c r="K752" s="2" t="s">
        <v>39</v>
      </c>
      <c r="L752" s="2" t="s">
        <v>136</v>
      </c>
      <c r="M752" s="2">
        <v>2</v>
      </c>
      <c r="N752" s="2">
        <v>298.5</v>
      </c>
      <c r="O752" s="2">
        <v>180</v>
      </c>
      <c r="P752" s="2">
        <v>25</v>
      </c>
      <c r="Q752" s="2" t="s">
        <v>103</v>
      </c>
      <c r="R752" s="2" t="s">
        <v>57</v>
      </c>
      <c r="S752" s="3">
        <v>45923</v>
      </c>
      <c r="T752" s="6">
        <v>5</v>
      </c>
    </row>
    <row r="753" spans="1:20" x14ac:dyDescent="0.3">
      <c r="A753" s="2" t="s">
        <v>1336</v>
      </c>
      <c r="B753" s="3">
        <v>45346</v>
      </c>
      <c r="C753" s="2" t="s">
        <v>550</v>
      </c>
      <c r="D753" s="2" t="s">
        <v>482</v>
      </c>
      <c r="E753" s="2" t="s">
        <v>23</v>
      </c>
      <c r="F753" s="2">
        <v>33</v>
      </c>
      <c r="G753" s="2" t="s">
        <v>173</v>
      </c>
      <c r="H753" s="2" t="s">
        <v>79</v>
      </c>
      <c r="I753" s="2" t="s">
        <v>26</v>
      </c>
      <c r="J753" s="2" t="s">
        <v>27</v>
      </c>
      <c r="K753" s="2" t="s">
        <v>28</v>
      </c>
      <c r="L753" s="2" t="s">
        <v>29</v>
      </c>
      <c r="M753" s="2">
        <v>2</v>
      </c>
      <c r="N753" s="2">
        <v>2338.1999999999998</v>
      </c>
      <c r="O753" s="2">
        <v>1580</v>
      </c>
      <c r="P753" s="2">
        <v>10</v>
      </c>
      <c r="Q753" s="2" t="s">
        <v>73</v>
      </c>
      <c r="R753" s="2" t="s">
        <v>42</v>
      </c>
      <c r="S753" s="3">
        <v>45352</v>
      </c>
      <c r="T753" s="6">
        <v>3</v>
      </c>
    </row>
    <row r="754" spans="1:20" x14ac:dyDescent="0.3">
      <c r="A754" s="2" t="s">
        <v>1337</v>
      </c>
      <c r="B754" s="3">
        <v>46014</v>
      </c>
      <c r="C754" s="2" t="s">
        <v>1121</v>
      </c>
      <c r="D754" s="2" t="s">
        <v>1122</v>
      </c>
      <c r="E754" s="2" t="s">
        <v>77</v>
      </c>
      <c r="F754" s="2">
        <v>47</v>
      </c>
      <c r="G754" s="2" t="s">
        <v>122</v>
      </c>
      <c r="H754" s="2" t="s">
        <v>123</v>
      </c>
      <c r="I754" s="2" t="s">
        <v>229</v>
      </c>
      <c r="J754" s="2" t="s">
        <v>230</v>
      </c>
      <c r="K754" s="2" t="s">
        <v>28</v>
      </c>
      <c r="L754" s="2" t="s">
        <v>231</v>
      </c>
      <c r="M754" s="2">
        <v>4</v>
      </c>
      <c r="N754" s="2">
        <v>7996</v>
      </c>
      <c r="O754" s="2">
        <v>4920</v>
      </c>
      <c r="P754" s="2">
        <v>0</v>
      </c>
      <c r="Q754" s="2" t="s">
        <v>103</v>
      </c>
      <c r="R754" s="2" t="s">
        <v>42</v>
      </c>
      <c r="S754" s="3">
        <v>46024</v>
      </c>
      <c r="T754" s="6">
        <v>5</v>
      </c>
    </row>
    <row r="755" spans="1:20" x14ac:dyDescent="0.3">
      <c r="A755" s="2" t="s">
        <v>1338</v>
      </c>
      <c r="B755" s="3">
        <v>45760</v>
      </c>
      <c r="C755" s="2" t="s">
        <v>1339</v>
      </c>
      <c r="D755" s="2" t="s">
        <v>1340</v>
      </c>
      <c r="E755" s="2" t="s">
        <v>23</v>
      </c>
      <c r="F755" s="2">
        <v>25</v>
      </c>
      <c r="G755" s="2" t="s">
        <v>69</v>
      </c>
      <c r="H755" s="2" t="s">
        <v>69</v>
      </c>
      <c r="I755" s="2" t="s">
        <v>177</v>
      </c>
      <c r="J755" s="2" t="s">
        <v>178</v>
      </c>
      <c r="K755" s="2" t="s">
        <v>87</v>
      </c>
      <c r="L755" s="2" t="s">
        <v>179</v>
      </c>
      <c r="M755" s="2">
        <v>2</v>
      </c>
      <c r="N755" s="2">
        <v>4748.1000000000004</v>
      </c>
      <c r="O755" s="2">
        <v>3240</v>
      </c>
      <c r="P755" s="2">
        <v>5</v>
      </c>
      <c r="Q755" s="2" t="s">
        <v>41</v>
      </c>
      <c r="R755" s="2" t="s">
        <v>42</v>
      </c>
      <c r="S755" s="3">
        <v>45765</v>
      </c>
      <c r="T755" s="6">
        <v>4</v>
      </c>
    </row>
    <row r="756" spans="1:20" x14ac:dyDescent="0.3">
      <c r="A756" s="2" t="s">
        <v>1341</v>
      </c>
      <c r="B756" s="3">
        <v>45476</v>
      </c>
      <c r="C756" s="2" t="s">
        <v>441</v>
      </c>
      <c r="D756" s="2" t="s">
        <v>442</v>
      </c>
      <c r="E756" s="2" t="s">
        <v>77</v>
      </c>
      <c r="F756" s="2">
        <v>44</v>
      </c>
      <c r="G756" s="2" t="s">
        <v>207</v>
      </c>
      <c r="H756" s="2" t="s">
        <v>36</v>
      </c>
      <c r="I756" s="2" t="s">
        <v>198</v>
      </c>
      <c r="J756" s="2" t="s">
        <v>199</v>
      </c>
      <c r="K756" s="2" t="s">
        <v>114</v>
      </c>
      <c r="L756" s="2" t="s">
        <v>200</v>
      </c>
      <c r="M756" s="2">
        <v>5</v>
      </c>
      <c r="N756" s="2">
        <v>5520.75</v>
      </c>
      <c r="O756" s="2">
        <v>3800</v>
      </c>
      <c r="P756" s="2">
        <v>15</v>
      </c>
      <c r="Q756" s="2" t="s">
        <v>50</v>
      </c>
      <c r="R756" s="2" t="s">
        <v>42</v>
      </c>
      <c r="S756" s="3">
        <v>45486</v>
      </c>
      <c r="T756" s="6">
        <v>3</v>
      </c>
    </row>
    <row r="757" spans="1:20" x14ac:dyDescent="0.3">
      <c r="A757" s="2" t="s">
        <v>1342</v>
      </c>
      <c r="B757" s="3">
        <v>45718</v>
      </c>
      <c r="C757" s="2" t="s">
        <v>902</v>
      </c>
      <c r="D757" s="2" t="s">
        <v>303</v>
      </c>
      <c r="E757" s="2" t="s">
        <v>77</v>
      </c>
      <c r="F757" s="2">
        <v>33</v>
      </c>
      <c r="G757" s="2" t="s">
        <v>90</v>
      </c>
      <c r="H757" s="2" t="s">
        <v>91</v>
      </c>
      <c r="I757" s="2" t="s">
        <v>37</v>
      </c>
      <c r="J757" s="2" t="s">
        <v>38</v>
      </c>
      <c r="K757" s="2" t="s">
        <v>39</v>
      </c>
      <c r="L757" s="2" t="s">
        <v>40</v>
      </c>
      <c r="M757" s="2">
        <v>1</v>
      </c>
      <c r="N757" s="2">
        <v>674.25</v>
      </c>
      <c r="O757" s="2">
        <v>520</v>
      </c>
      <c r="P757" s="2">
        <v>25</v>
      </c>
      <c r="Q757" s="2" t="s">
        <v>73</v>
      </c>
      <c r="R757" s="2" t="s">
        <v>42</v>
      </c>
      <c r="S757" s="3">
        <v>45730</v>
      </c>
      <c r="T757" s="6">
        <v>3</v>
      </c>
    </row>
    <row r="758" spans="1:20" x14ac:dyDescent="0.3">
      <c r="A758" s="2" t="s">
        <v>1343</v>
      </c>
      <c r="B758" s="3">
        <v>45695</v>
      </c>
      <c r="C758" s="2" t="s">
        <v>520</v>
      </c>
      <c r="D758" s="2" t="s">
        <v>506</v>
      </c>
      <c r="E758" s="2" t="s">
        <v>77</v>
      </c>
      <c r="F758" s="2">
        <v>36</v>
      </c>
      <c r="G758" s="2" t="s">
        <v>69</v>
      </c>
      <c r="H758" s="2" t="s">
        <v>69</v>
      </c>
      <c r="I758" s="2" t="s">
        <v>183</v>
      </c>
      <c r="J758" s="2" t="s">
        <v>184</v>
      </c>
      <c r="K758" s="2" t="s">
        <v>130</v>
      </c>
      <c r="L758" s="2" t="s">
        <v>185</v>
      </c>
      <c r="M758" s="2">
        <v>2</v>
      </c>
      <c r="N758" s="2">
        <v>7998</v>
      </c>
      <c r="O758" s="2">
        <v>6100</v>
      </c>
      <c r="P758" s="2">
        <v>0</v>
      </c>
      <c r="Q758" s="2" t="s">
        <v>73</v>
      </c>
      <c r="R758" s="2" t="s">
        <v>42</v>
      </c>
      <c r="S758" s="3">
        <v>45707</v>
      </c>
      <c r="T758" s="6">
        <v>5</v>
      </c>
    </row>
    <row r="759" spans="1:20" x14ac:dyDescent="0.3">
      <c r="A759" s="2" t="s">
        <v>1344</v>
      </c>
      <c r="B759" s="3">
        <v>45756</v>
      </c>
      <c r="C759" s="2" t="s">
        <v>822</v>
      </c>
      <c r="D759" s="2" t="s">
        <v>823</v>
      </c>
      <c r="E759" s="2" t="s">
        <v>77</v>
      </c>
      <c r="F759" s="2">
        <v>49</v>
      </c>
      <c r="G759" s="2" t="s">
        <v>161</v>
      </c>
      <c r="H759" s="2" t="s">
        <v>25</v>
      </c>
      <c r="I759" s="2" t="s">
        <v>183</v>
      </c>
      <c r="J759" s="2" t="s">
        <v>184</v>
      </c>
      <c r="K759" s="2" t="s">
        <v>130</v>
      </c>
      <c r="L759" s="2" t="s">
        <v>185</v>
      </c>
      <c r="M759" s="2">
        <v>1</v>
      </c>
      <c r="N759" s="2">
        <v>2399.4</v>
      </c>
      <c r="O759" s="2">
        <v>3050</v>
      </c>
      <c r="P759" s="2">
        <v>40</v>
      </c>
      <c r="Q759" s="2" t="s">
        <v>41</v>
      </c>
      <c r="R759" s="2" t="s">
        <v>31</v>
      </c>
      <c r="S759" s="3">
        <v>45767</v>
      </c>
      <c r="T759" s="6">
        <v>3</v>
      </c>
    </row>
    <row r="760" spans="1:20" x14ac:dyDescent="0.3">
      <c r="A760" s="2" t="s">
        <v>1345</v>
      </c>
      <c r="B760" s="3">
        <v>45508</v>
      </c>
      <c r="C760" s="2" t="s">
        <v>809</v>
      </c>
      <c r="D760" s="2" t="s">
        <v>810</v>
      </c>
      <c r="E760" s="2" t="s">
        <v>77</v>
      </c>
      <c r="F760" s="2">
        <v>41</v>
      </c>
      <c r="G760" s="2" t="s">
        <v>35</v>
      </c>
      <c r="H760" s="2" t="s">
        <v>36</v>
      </c>
      <c r="I760" s="2" t="s">
        <v>183</v>
      </c>
      <c r="J760" s="2" t="s">
        <v>184</v>
      </c>
      <c r="K760" s="2" t="s">
        <v>130</v>
      </c>
      <c r="L760" s="2" t="s">
        <v>185</v>
      </c>
      <c r="M760" s="2">
        <v>1</v>
      </c>
      <c r="N760" s="2">
        <v>3799.05</v>
      </c>
      <c r="O760" s="2">
        <v>3050</v>
      </c>
      <c r="P760" s="2">
        <v>5</v>
      </c>
      <c r="Q760" s="2" t="s">
        <v>50</v>
      </c>
      <c r="R760" s="2" t="s">
        <v>65</v>
      </c>
      <c r="S760" s="3" t="s">
        <v>1604</v>
      </c>
      <c r="T760" s="6" t="s">
        <v>1604</v>
      </c>
    </row>
    <row r="761" spans="1:20" x14ac:dyDescent="0.3">
      <c r="A761" s="2" t="s">
        <v>1346</v>
      </c>
      <c r="B761" s="3">
        <v>45682</v>
      </c>
      <c r="C761" s="2" t="s">
        <v>926</v>
      </c>
      <c r="D761" s="2" t="s">
        <v>927</v>
      </c>
      <c r="E761" s="2" t="s">
        <v>23</v>
      </c>
      <c r="F761" s="2">
        <v>42</v>
      </c>
      <c r="G761" s="2" t="s">
        <v>165</v>
      </c>
      <c r="H761" s="2" t="s">
        <v>166</v>
      </c>
      <c r="I761" s="2" t="s">
        <v>128</v>
      </c>
      <c r="J761" s="2" t="s">
        <v>129</v>
      </c>
      <c r="K761" s="2" t="s">
        <v>130</v>
      </c>
      <c r="L761" s="2" t="s">
        <v>131</v>
      </c>
      <c r="M761" s="2">
        <v>2</v>
      </c>
      <c r="N761" s="2">
        <v>11048.3</v>
      </c>
      <c r="O761" s="2">
        <v>10200</v>
      </c>
      <c r="P761" s="2">
        <v>15</v>
      </c>
      <c r="Q761" s="2" t="s">
        <v>103</v>
      </c>
      <c r="R761" s="2" t="s">
        <v>42</v>
      </c>
      <c r="S761" s="3">
        <v>45684</v>
      </c>
      <c r="T761" s="6">
        <v>4</v>
      </c>
    </row>
    <row r="762" spans="1:20" x14ac:dyDescent="0.3">
      <c r="A762" s="2" t="s">
        <v>1347</v>
      </c>
      <c r="B762" s="3">
        <v>45458</v>
      </c>
      <c r="C762" s="2" t="s">
        <v>711</v>
      </c>
      <c r="D762" s="2" t="s">
        <v>712</v>
      </c>
      <c r="E762" s="2" t="s">
        <v>77</v>
      </c>
      <c r="F762" s="2">
        <v>58</v>
      </c>
      <c r="G762" s="2" t="s">
        <v>165</v>
      </c>
      <c r="H762" s="2" t="s">
        <v>166</v>
      </c>
      <c r="I762" s="2" t="s">
        <v>143</v>
      </c>
      <c r="J762" s="2" t="s">
        <v>144</v>
      </c>
      <c r="K762" s="2" t="s">
        <v>130</v>
      </c>
      <c r="L762" s="2" t="s">
        <v>131</v>
      </c>
      <c r="M762" s="2">
        <v>2</v>
      </c>
      <c r="N762" s="2">
        <v>10448.1</v>
      </c>
      <c r="O762" s="2">
        <v>8600</v>
      </c>
      <c r="P762" s="2">
        <v>5</v>
      </c>
      <c r="Q762" s="2" t="s">
        <v>41</v>
      </c>
      <c r="R762" s="2" t="s">
        <v>42</v>
      </c>
      <c r="S762" s="3">
        <v>45466</v>
      </c>
      <c r="T762" s="6">
        <v>4</v>
      </c>
    </row>
    <row r="763" spans="1:20" x14ac:dyDescent="0.3">
      <c r="A763" s="2" t="s">
        <v>1348</v>
      </c>
      <c r="B763" s="3">
        <v>45993</v>
      </c>
      <c r="C763" s="2" t="s">
        <v>632</v>
      </c>
      <c r="D763" s="2" t="s">
        <v>372</v>
      </c>
      <c r="E763" s="2" t="s">
        <v>77</v>
      </c>
      <c r="F763" s="2">
        <v>34</v>
      </c>
      <c r="G763" s="2" t="s">
        <v>211</v>
      </c>
      <c r="H763" s="2" t="s">
        <v>127</v>
      </c>
      <c r="I763" s="2" t="s">
        <v>107</v>
      </c>
      <c r="J763" s="2" t="s">
        <v>108</v>
      </c>
      <c r="K763" s="2" t="s">
        <v>87</v>
      </c>
      <c r="L763" s="2" t="s">
        <v>88</v>
      </c>
      <c r="M763" s="2">
        <v>1</v>
      </c>
      <c r="N763" s="2">
        <v>599.25</v>
      </c>
      <c r="O763" s="2">
        <v>420</v>
      </c>
      <c r="P763" s="2">
        <v>25</v>
      </c>
      <c r="Q763" s="2" t="s">
        <v>50</v>
      </c>
      <c r="R763" s="2" t="s">
        <v>42</v>
      </c>
      <c r="S763" s="3">
        <v>46002</v>
      </c>
      <c r="T763" s="6">
        <v>5</v>
      </c>
    </row>
    <row r="764" spans="1:20" x14ac:dyDescent="0.3">
      <c r="A764" s="2" t="s">
        <v>1349</v>
      </c>
      <c r="B764" s="3">
        <v>45689</v>
      </c>
      <c r="C764" s="2" t="s">
        <v>340</v>
      </c>
      <c r="D764" s="2" t="s">
        <v>341</v>
      </c>
      <c r="E764" s="2" t="s">
        <v>23</v>
      </c>
      <c r="F764" s="2">
        <v>21</v>
      </c>
      <c r="G764" s="2" t="s">
        <v>207</v>
      </c>
      <c r="H764" s="2" t="s">
        <v>36</v>
      </c>
      <c r="I764" s="2" t="s">
        <v>198</v>
      </c>
      <c r="J764" s="2" t="s">
        <v>199</v>
      </c>
      <c r="K764" s="2" t="s">
        <v>114</v>
      </c>
      <c r="L764" s="2" t="s">
        <v>200</v>
      </c>
      <c r="M764" s="2">
        <v>5</v>
      </c>
      <c r="N764" s="2">
        <v>4546.5</v>
      </c>
      <c r="O764" s="2">
        <v>3800</v>
      </c>
      <c r="P764" s="2">
        <v>30</v>
      </c>
      <c r="Q764" s="2" t="s">
        <v>73</v>
      </c>
      <c r="R764" s="2" t="s">
        <v>57</v>
      </c>
      <c r="S764" s="3">
        <v>45697</v>
      </c>
      <c r="T764" s="6">
        <v>4</v>
      </c>
    </row>
    <row r="765" spans="1:20" x14ac:dyDescent="0.3">
      <c r="A765" s="2" t="s">
        <v>1350</v>
      </c>
      <c r="B765" s="3">
        <v>45920</v>
      </c>
      <c r="C765" s="2" t="s">
        <v>390</v>
      </c>
      <c r="D765" s="2" t="s">
        <v>391</v>
      </c>
      <c r="E765" s="2" t="s">
        <v>23</v>
      </c>
      <c r="F765" s="2">
        <v>52</v>
      </c>
      <c r="G765" s="2" t="s">
        <v>122</v>
      </c>
      <c r="H765" s="2" t="s">
        <v>123</v>
      </c>
      <c r="I765" s="2" t="s">
        <v>92</v>
      </c>
      <c r="J765" s="2" t="s">
        <v>93</v>
      </c>
      <c r="K765" s="2" t="s">
        <v>87</v>
      </c>
      <c r="L765" s="2" t="s">
        <v>94</v>
      </c>
      <c r="M765" s="2">
        <v>4</v>
      </c>
      <c r="N765" s="2">
        <v>6076.2</v>
      </c>
      <c r="O765" s="2">
        <v>3720</v>
      </c>
      <c r="P765" s="2">
        <v>5</v>
      </c>
      <c r="Q765" s="2" t="s">
        <v>73</v>
      </c>
      <c r="R765" s="2" t="s">
        <v>65</v>
      </c>
      <c r="S765" s="3" t="s">
        <v>1604</v>
      </c>
      <c r="T765" s="6" t="s">
        <v>1604</v>
      </c>
    </row>
    <row r="766" spans="1:20" x14ac:dyDescent="0.3">
      <c r="A766" s="2" t="s">
        <v>1351</v>
      </c>
      <c r="B766" s="3">
        <v>45641</v>
      </c>
      <c r="C766" s="2" t="s">
        <v>1137</v>
      </c>
      <c r="D766" s="2" t="s">
        <v>1018</v>
      </c>
      <c r="E766" s="2" t="s">
        <v>23</v>
      </c>
      <c r="F766" s="2">
        <v>29</v>
      </c>
      <c r="G766" s="2" t="s">
        <v>90</v>
      </c>
      <c r="H766" s="2" t="s">
        <v>91</v>
      </c>
      <c r="I766" s="2" t="s">
        <v>92</v>
      </c>
      <c r="J766" s="2" t="s">
        <v>93</v>
      </c>
      <c r="K766" s="2" t="s">
        <v>87</v>
      </c>
      <c r="L766" s="2" t="s">
        <v>94</v>
      </c>
      <c r="M766" s="2">
        <v>2</v>
      </c>
      <c r="N766" s="2">
        <v>1918.8</v>
      </c>
      <c r="O766" s="2">
        <v>1860</v>
      </c>
      <c r="P766" s="2">
        <v>40</v>
      </c>
      <c r="Q766" s="2" t="s">
        <v>50</v>
      </c>
      <c r="R766" s="2" t="s">
        <v>31</v>
      </c>
      <c r="S766" s="3">
        <v>45653</v>
      </c>
      <c r="T766" s="6">
        <v>3</v>
      </c>
    </row>
    <row r="767" spans="1:20" x14ac:dyDescent="0.3">
      <c r="A767" s="2" t="s">
        <v>1352</v>
      </c>
      <c r="B767" s="3">
        <v>45589</v>
      </c>
      <c r="C767" s="2" t="s">
        <v>1121</v>
      </c>
      <c r="D767" s="2" t="s">
        <v>1122</v>
      </c>
      <c r="E767" s="2" t="s">
        <v>77</v>
      </c>
      <c r="F767" s="2">
        <v>47</v>
      </c>
      <c r="G767" s="2" t="s">
        <v>122</v>
      </c>
      <c r="H767" s="2" t="s">
        <v>123</v>
      </c>
      <c r="I767" s="2" t="s">
        <v>54</v>
      </c>
      <c r="J767" s="2" t="s">
        <v>55</v>
      </c>
      <c r="K767" s="2" t="s">
        <v>28</v>
      </c>
      <c r="L767" s="2" t="s">
        <v>56</v>
      </c>
      <c r="M767" s="2">
        <v>4</v>
      </c>
      <c r="N767" s="2">
        <v>2236.8000000000002</v>
      </c>
      <c r="O767" s="2">
        <v>1640</v>
      </c>
      <c r="P767" s="2">
        <v>20</v>
      </c>
      <c r="Q767" s="2" t="s">
        <v>30</v>
      </c>
      <c r="R767" s="2" t="s">
        <v>42</v>
      </c>
      <c r="S767" s="3">
        <v>45601</v>
      </c>
      <c r="T767" s="6">
        <v>4</v>
      </c>
    </row>
    <row r="768" spans="1:20" x14ac:dyDescent="0.3">
      <c r="A768" s="2" t="s">
        <v>1353</v>
      </c>
      <c r="B768" s="3">
        <v>45546</v>
      </c>
      <c r="C768" s="2" t="s">
        <v>758</v>
      </c>
      <c r="D768" s="2" t="s">
        <v>635</v>
      </c>
      <c r="E768" s="2" t="s">
        <v>77</v>
      </c>
      <c r="F768" s="2">
        <v>57</v>
      </c>
      <c r="G768" s="2" t="s">
        <v>122</v>
      </c>
      <c r="H768" s="2" t="s">
        <v>123</v>
      </c>
      <c r="I768" s="2" t="s">
        <v>143</v>
      </c>
      <c r="J768" s="2" t="s">
        <v>144</v>
      </c>
      <c r="K768" s="2" t="s">
        <v>130</v>
      </c>
      <c r="L768" s="2" t="s">
        <v>131</v>
      </c>
      <c r="M768" s="2">
        <v>5</v>
      </c>
      <c r="N768" s="2">
        <v>27495</v>
      </c>
      <c r="O768" s="2">
        <v>21500</v>
      </c>
      <c r="P768" s="2">
        <v>0</v>
      </c>
      <c r="Q768" s="2" t="s">
        <v>50</v>
      </c>
      <c r="R768" s="2" t="s">
        <v>42</v>
      </c>
      <c r="S768" s="3">
        <v>45548</v>
      </c>
      <c r="T768" s="6">
        <v>3</v>
      </c>
    </row>
    <row r="769" spans="1:20" x14ac:dyDescent="0.3">
      <c r="A769" s="2" t="s">
        <v>1354</v>
      </c>
      <c r="B769" s="3">
        <v>45814</v>
      </c>
      <c r="C769" s="2" t="s">
        <v>205</v>
      </c>
      <c r="D769" s="2" t="s">
        <v>206</v>
      </c>
      <c r="E769" s="2" t="s">
        <v>77</v>
      </c>
      <c r="F769" s="2">
        <v>26</v>
      </c>
      <c r="G769" s="2" t="s">
        <v>122</v>
      </c>
      <c r="H769" s="2" t="s">
        <v>123</v>
      </c>
      <c r="I769" s="2" t="s">
        <v>229</v>
      </c>
      <c r="J769" s="2" t="s">
        <v>230</v>
      </c>
      <c r="K769" s="2" t="s">
        <v>28</v>
      </c>
      <c r="L769" s="2" t="s">
        <v>231</v>
      </c>
      <c r="M769" s="2">
        <v>4</v>
      </c>
      <c r="N769" s="2">
        <v>6396.8</v>
      </c>
      <c r="O769" s="2">
        <v>4920</v>
      </c>
      <c r="P769" s="2">
        <v>20</v>
      </c>
      <c r="Q769" s="2" t="s">
        <v>41</v>
      </c>
      <c r="R769" s="2" t="s">
        <v>42</v>
      </c>
      <c r="S769" s="3">
        <v>45825</v>
      </c>
      <c r="T769" s="6">
        <v>3</v>
      </c>
    </row>
    <row r="770" spans="1:20" x14ac:dyDescent="0.3">
      <c r="A770" s="2" t="s">
        <v>1355</v>
      </c>
      <c r="B770" s="3">
        <v>45807</v>
      </c>
      <c r="C770" s="2" t="s">
        <v>555</v>
      </c>
      <c r="D770" s="2" t="s">
        <v>556</v>
      </c>
      <c r="E770" s="2" t="s">
        <v>23</v>
      </c>
      <c r="F770" s="2">
        <v>52</v>
      </c>
      <c r="G770" s="2" t="s">
        <v>69</v>
      </c>
      <c r="H770" s="2" t="s">
        <v>69</v>
      </c>
      <c r="I770" s="2" t="s">
        <v>177</v>
      </c>
      <c r="J770" s="2" t="s">
        <v>178</v>
      </c>
      <c r="K770" s="2" t="s">
        <v>87</v>
      </c>
      <c r="L770" s="2" t="s">
        <v>179</v>
      </c>
      <c r="M770" s="2">
        <v>4</v>
      </c>
      <c r="N770" s="2">
        <v>8996.4</v>
      </c>
      <c r="O770" s="2">
        <v>6480</v>
      </c>
      <c r="P770" s="2">
        <v>10</v>
      </c>
      <c r="Q770" s="2" t="s">
        <v>30</v>
      </c>
      <c r="R770" s="2" t="s">
        <v>57</v>
      </c>
      <c r="S770" s="3">
        <v>45815</v>
      </c>
      <c r="T770" s="6">
        <v>2</v>
      </c>
    </row>
    <row r="771" spans="1:20" x14ac:dyDescent="0.3">
      <c r="A771" s="2" t="s">
        <v>1356</v>
      </c>
      <c r="B771" s="3">
        <v>45377</v>
      </c>
      <c r="C771" s="2" t="s">
        <v>546</v>
      </c>
      <c r="D771" s="2" t="s">
        <v>547</v>
      </c>
      <c r="E771" s="2" t="s">
        <v>77</v>
      </c>
      <c r="F771" s="2">
        <v>33</v>
      </c>
      <c r="G771" s="2" t="s">
        <v>35</v>
      </c>
      <c r="H771" s="2" t="s">
        <v>36</v>
      </c>
      <c r="I771" s="2" t="s">
        <v>183</v>
      </c>
      <c r="J771" s="2" t="s">
        <v>184</v>
      </c>
      <c r="K771" s="2" t="s">
        <v>130</v>
      </c>
      <c r="L771" s="2" t="s">
        <v>185</v>
      </c>
      <c r="M771" s="2">
        <v>5</v>
      </c>
      <c r="N771" s="2">
        <v>11997</v>
      </c>
      <c r="O771" s="2">
        <v>15250</v>
      </c>
      <c r="P771" s="2">
        <v>40</v>
      </c>
      <c r="Q771" s="2" t="s">
        <v>103</v>
      </c>
      <c r="R771" s="2" t="s">
        <v>65</v>
      </c>
      <c r="S771" s="3" t="s">
        <v>1604</v>
      </c>
      <c r="T771" s="6" t="s">
        <v>1604</v>
      </c>
    </row>
    <row r="772" spans="1:20" x14ac:dyDescent="0.3">
      <c r="A772" s="2" t="s">
        <v>1357</v>
      </c>
      <c r="B772" s="3">
        <v>45563</v>
      </c>
      <c r="C772" s="2" t="s">
        <v>450</v>
      </c>
      <c r="D772" s="2" t="s">
        <v>451</v>
      </c>
      <c r="E772" s="2" t="s">
        <v>77</v>
      </c>
      <c r="F772" s="2">
        <v>30</v>
      </c>
      <c r="G772" s="2" t="s">
        <v>78</v>
      </c>
      <c r="H772" s="2" t="s">
        <v>79</v>
      </c>
      <c r="I772" s="2" t="s">
        <v>70</v>
      </c>
      <c r="J772" s="2" t="s">
        <v>71</v>
      </c>
      <c r="K772" s="2" t="s">
        <v>28</v>
      </c>
      <c r="L772" s="2" t="s">
        <v>72</v>
      </c>
      <c r="M772" s="2">
        <v>2</v>
      </c>
      <c r="N772" s="2">
        <v>2848.1</v>
      </c>
      <c r="O772" s="2">
        <v>1840</v>
      </c>
      <c r="P772" s="2">
        <v>5</v>
      </c>
      <c r="Q772" s="2" t="s">
        <v>50</v>
      </c>
      <c r="R772" s="2" t="s">
        <v>42</v>
      </c>
      <c r="S772" s="3">
        <v>45575</v>
      </c>
      <c r="T772" s="6">
        <v>3</v>
      </c>
    </row>
    <row r="773" spans="1:20" x14ac:dyDescent="0.3">
      <c r="A773" s="2" t="s">
        <v>1358</v>
      </c>
      <c r="B773" s="3">
        <v>45736</v>
      </c>
      <c r="C773" s="2" t="s">
        <v>640</v>
      </c>
      <c r="D773" s="2" t="s">
        <v>349</v>
      </c>
      <c r="E773" s="2" t="s">
        <v>23</v>
      </c>
      <c r="F773" s="2">
        <v>42</v>
      </c>
      <c r="G773" s="2" t="s">
        <v>161</v>
      </c>
      <c r="H773" s="2" t="s">
        <v>25</v>
      </c>
      <c r="I773" s="2" t="s">
        <v>80</v>
      </c>
      <c r="J773" s="2" t="s">
        <v>81</v>
      </c>
      <c r="K773" s="2" t="s">
        <v>28</v>
      </c>
      <c r="L773" s="2" t="s">
        <v>29</v>
      </c>
      <c r="M773" s="2">
        <v>4</v>
      </c>
      <c r="N773" s="2">
        <v>3036.2</v>
      </c>
      <c r="O773" s="2">
        <v>1880</v>
      </c>
      <c r="P773" s="2">
        <v>5</v>
      </c>
      <c r="Q773" s="2" t="s">
        <v>73</v>
      </c>
      <c r="R773" s="2" t="s">
        <v>42</v>
      </c>
      <c r="S773" s="3">
        <v>45748</v>
      </c>
      <c r="T773" s="6">
        <v>5</v>
      </c>
    </row>
    <row r="774" spans="1:20" x14ac:dyDescent="0.3">
      <c r="A774" s="2" t="s">
        <v>1359</v>
      </c>
      <c r="B774" s="3">
        <v>45763</v>
      </c>
      <c r="C774" s="2" t="s">
        <v>412</v>
      </c>
      <c r="D774" s="2" t="s">
        <v>413</v>
      </c>
      <c r="E774" s="2" t="s">
        <v>77</v>
      </c>
      <c r="F774" s="2">
        <v>38</v>
      </c>
      <c r="G774" s="2" t="s">
        <v>101</v>
      </c>
      <c r="H774" s="2" t="s">
        <v>102</v>
      </c>
      <c r="I774" s="2" t="s">
        <v>143</v>
      </c>
      <c r="J774" s="2" t="s">
        <v>144</v>
      </c>
      <c r="K774" s="2" t="s">
        <v>130</v>
      </c>
      <c r="L774" s="2" t="s">
        <v>131</v>
      </c>
      <c r="M774" s="2">
        <v>5</v>
      </c>
      <c r="N774" s="2">
        <v>20621.25</v>
      </c>
      <c r="O774" s="2">
        <v>21500</v>
      </c>
      <c r="P774" s="2">
        <v>25</v>
      </c>
      <c r="Q774" s="2" t="s">
        <v>103</v>
      </c>
      <c r="R774" s="2" t="s">
        <v>57</v>
      </c>
      <c r="S774" s="3">
        <v>45769</v>
      </c>
      <c r="T774" s="6">
        <v>3</v>
      </c>
    </row>
    <row r="775" spans="1:20" x14ac:dyDescent="0.3">
      <c r="A775" s="2" t="s">
        <v>1360</v>
      </c>
      <c r="B775" s="3">
        <v>45420</v>
      </c>
      <c r="C775" s="2" t="s">
        <v>693</v>
      </c>
      <c r="D775" s="2" t="s">
        <v>694</v>
      </c>
      <c r="E775" s="2" t="s">
        <v>23</v>
      </c>
      <c r="F775" s="2">
        <v>30</v>
      </c>
      <c r="G775" s="2" t="s">
        <v>161</v>
      </c>
      <c r="H775" s="2" t="s">
        <v>25</v>
      </c>
      <c r="I775" s="2" t="s">
        <v>70</v>
      </c>
      <c r="J775" s="2" t="s">
        <v>71</v>
      </c>
      <c r="K775" s="2" t="s">
        <v>28</v>
      </c>
      <c r="L775" s="2" t="s">
        <v>72</v>
      </c>
      <c r="M775" s="2">
        <v>1</v>
      </c>
      <c r="N775" s="2">
        <v>1499</v>
      </c>
      <c r="O775" s="2">
        <v>920</v>
      </c>
      <c r="P775" s="2">
        <v>0</v>
      </c>
      <c r="Q775" s="2" t="s">
        <v>30</v>
      </c>
      <c r="R775" s="2" t="s">
        <v>57</v>
      </c>
      <c r="S775" s="3">
        <v>45422</v>
      </c>
      <c r="T775" s="6">
        <v>4</v>
      </c>
    </row>
    <row r="776" spans="1:20" x14ac:dyDescent="0.3">
      <c r="A776" s="2" t="s">
        <v>1361</v>
      </c>
      <c r="B776" s="3">
        <v>45784</v>
      </c>
      <c r="C776" s="2" t="s">
        <v>193</v>
      </c>
      <c r="D776" s="2" t="s">
        <v>194</v>
      </c>
      <c r="E776" s="2" t="s">
        <v>23</v>
      </c>
      <c r="F776" s="2">
        <v>19</v>
      </c>
      <c r="G776" s="2" t="s">
        <v>90</v>
      </c>
      <c r="H776" s="2" t="s">
        <v>91</v>
      </c>
      <c r="I776" s="2" t="s">
        <v>134</v>
      </c>
      <c r="J776" s="2" t="s">
        <v>135</v>
      </c>
      <c r="K776" s="2" t="s">
        <v>39</v>
      </c>
      <c r="L776" s="2" t="s">
        <v>136</v>
      </c>
      <c r="M776" s="2">
        <v>5</v>
      </c>
      <c r="N776" s="2">
        <v>845.75</v>
      </c>
      <c r="O776" s="2">
        <v>450</v>
      </c>
      <c r="P776" s="2">
        <v>15</v>
      </c>
      <c r="Q776" s="2" t="s">
        <v>73</v>
      </c>
      <c r="R776" s="2" t="s">
        <v>42</v>
      </c>
      <c r="S776" s="3">
        <v>45793</v>
      </c>
      <c r="T776" s="6">
        <v>3</v>
      </c>
    </row>
    <row r="777" spans="1:20" x14ac:dyDescent="0.3">
      <c r="A777" s="2" t="s">
        <v>1362</v>
      </c>
      <c r="B777" s="3">
        <v>45777</v>
      </c>
      <c r="C777" s="2" t="s">
        <v>354</v>
      </c>
      <c r="D777" s="2" t="s">
        <v>355</v>
      </c>
      <c r="E777" s="2" t="s">
        <v>77</v>
      </c>
      <c r="F777" s="2">
        <v>38</v>
      </c>
      <c r="G777" s="2" t="s">
        <v>161</v>
      </c>
      <c r="H777" s="2" t="s">
        <v>25</v>
      </c>
      <c r="I777" s="2" t="s">
        <v>229</v>
      </c>
      <c r="J777" s="2" t="s">
        <v>230</v>
      </c>
      <c r="K777" s="2" t="s">
        <v>28</v>
      </c>
      <c r="L777" s="2" t="s">
        <v>231</v>
      </c>
      <c r="M777" s="2">
        <v>2</v>
      </c>
      <c r="N777" s="2">
        <v>3598.2</v>
      </c>
      <c r="O777" s="2">
        <v>2460</v>
      </c>
      <c r="P777" s="2">
        <v>10</v>
      </c>
      <c r="Q777" s="2" t="s">
        <v>103</v>
      </c>
      <c r="R777" s="2" t="s">
        <v>42</v>
      </c>
      <c r="S777" s="3">
        <v>45786</v>
      </c>
      <c r="T777" s="6">
        <v>2</v>
      </c>
    </row>
    <row r="778" spans="1:20" x14ac:dyDescent="0.3">
      <c r="A778" s="2" t="s">
        <v>1363</v>
      </c>
      <c r="B778" s="3">
        <v>45752</v>
      </c>
      <c r="C778" s="2" t="s">
        <v>788</v>
      </c>
      <c r="D778" s="2" t="s">
        <v>789</v>
      </c>
      <c r="E778" s="2" t="s">
        <v>77</v>
      </c>
      <c r="F778" s="2">
        <v>52</v>
      </c>
      <c r="G778" s="2" t="s">
        <v>90</v>
      </c>
      <c r="H778" s="2" t="s">
        <v>91</v>
      </c>
      <c r="I778" s="2" t="s">
        <v>70</v>
      </c>
      <c r="J778" s="2" t="s">
        <v>71</v>
      </c>
      <c r="K778" s="2" t="s">
        <v>28</v>
      </c>
      <c r="L778" s="2" t="s">
        <v>72</v>
      </c>
      <c r="M778" s="2">
        <v>3</v>
      </c>
      <c r="N778" s="2">
        <v>3147.9</v>
      </c>
      <c r="O778" s="2">
        <v>2760</v>
      </c>
      <c r="P778" s="2">
        <v>30</v>
      </c>
      <c r="Q778" s="2" t="s">
        <v>73</v>
      </c>
      <c r="R778" s="2" t="s">
        <v>42</v>
      </c>
      <c r="S778" s="3">
        <v>45754</v>
      </c>
      <c r="T778" s="6">
        <v>3</v>
      </c>
    </row>
    <row r="779" spans="1:20" x14ac:dyDescent="0.3">
      <c r="A779" s="2" t="s">
        <v>1364</v>
      </c>
      <c r="B779" s="3">
        <v>45937</v>
      </c>
      <c r="C779" s="2" t="s">
        <v>1146</v>
      </c>
      <c r="D779" s="2" t="s">
        <v>1147</v>
      </c>
      <c r="E779" s="2" t="s">
        <v>77</v>
      </c>
      <c r="F779" s="2">
        <v>47</v>
      </c>
      <c r="G779" s="2" t="s">
        <v>122</v>
      </c>
      <c r="H779" s="2" t="s">
        <v>123</v>
      </c>
      <c r="I779" s="2" t="s">
        <v>37</v>
      </c>
      <c r="J779" s="2" t="s">
        <v>38</v>
      </c>
      <c r="K779" s="2" t="s">
        <v>39</v>
      </c>
      <c r="L779" s="2" t="s">
        <v>40</v>
      </c>
      <c r="M779" s="2">
        <v>5</v>
      </c>
      <c r="N779" s="2">
        <v>3596</v>
      </c>
      <c r="O779" s="2">
        <v>2600</v>
      </c>
      <c r="P779" s="2">
        <v>20</v>
      </c>
      <c r="Q779" s="2" t="s">
        <v>73</v>
      </c>
      <c r="R779" s="2" t="s">
        <v>42</v>
      </c>
      <c r="S779" s="3">
        <v>45945</v>
      </c>
      <c r="T779" s="6">
        <v>5</v>
      </c>
    </row>
    <row r="780" spans="1:20" x14ac:dyDescent="0.3">
      <c r="A780" s="2" t="s">
        <v>1365</v>
      </c>
      <c r="B780" s="3">
        <v>45817</v>
      </c>
      <c r="C780" s="2" t="s">
        <v>563</v>
      </c>
      <c r="D780" s="2" t="s">
        <v>53</v>
      </c>
      <c r="E780" s="2" t="s">
        <v>23</v>
      </c>
      <c r="F780" s="2">
        <v>47</v>
      </c>
      <c r="G780" s="2" t="s">
        <v>90</v>
      </c>
      <c r="H780" s="2" t="s">
        <v>91</v>
      </c>
      <c r="I780" s="2" t="s">
        <v>85</v>
      </c>
      <c r="J780" s="2" t="s">
        <v>86</v>
      </c>
      <c r="K780" s="2" t="s">
        <v>87</v>
      </c>
      <c r="L780" s="2" t="s">
        <v>88</v>
      </c>
      <c r="M780" s="2">
        <v>1</v>
      </c>
      <c r="N780" s="2">
        <v>1399</v>
      </c>
      <c r="O780" s="2">
        <v>790</v>
      </c>
      <c r="P780" s="2">
        <v>0</v>
      </c>
      <c r="Q780" s="2" t="s">
        <v>103</v>
      </c>
      <c r="R780" s="2" t="s">
        <v>65</v>
      </c>
      <c r="S780" s="3" t="s">
        <v>1604</v>
      </c>
      <c r="T780" s="6" t="s">
        <v>1604</v>
      </c>
    </row>
    <row r="781" spans="1:20" x14ac:dyDescent="0.3">
      <c r="A781" s="2" t="s">
        <v>1366</v>
      </c>
      <c r="B781" s="3">
        <v>45615</v>
      </c>
      <c r="C781" s="2" t="s">
        <v>429</v>
      </c>
      <c r="D781" s="2" t="s">
        <v>315</v>
      </c>
      <c r="E781" s="2" t="s">
        <v>77</v>
      </c>
      <c r="F781" s="2">
        <v>23</v>
      </c>
      <c r="G781" s="2" t="s">
        <v>46</v>
      </c>
      <c r="H781" s="2" t="s">
        <v>25</v>
      </c>
      <c r="I781" s="2" t="s">
        <v>128</v>
      </c>
      <c r="J781" s="2" t="s">
        <v>129</v>
      </c>
      <c r="K781" s="2" t="s">
        <v>130</v>
      </c>
      <c r="L781" s="2" t="s">
        <v>131</v>
      </c>
      <c r="M781" s="2">
        <v>4</v>
      </c>
      <c r="N781" s="2">
        <v>15597.6</v>
      </c>
      <c r="O781" s="2">
        <v>20400</v>
      </c>
      <c r="P781" s="2">
        <v>40</v>
      </c>
      <c r="Q781" s="2" t="s">
        <v>73</v>
      </c>
      <c r="R781" s="2" t="s">
        <v>42</v>
      </c>
      <c r="S781" s="3">
        <v>45626</v>
      </c>
      <c r="T781" s="6">
        <v>4</v>
      </c>
    </row>
    <row r="782" spans="1:20" x14ac:dyDescent="0.3">
      <c r="A782" s="2" t="s">
        <v>1367</v>
      </c>
      <c r="B782" s="3">
        <v>45751</v>
      </c>
      <c r="C782" s="2" t="s">
        <v>665</v>
      </c>
      <c r="D782" s="2" t="s">
        <v>666</v>
      </c>
      <c r="E782" s="2" t="s">
        <v>77</v>
      </c>
      <c r="F782" s="2">
        <v>55</v>
      </c>
      <c r="G782" s="2" t="s">
        <v>161</v>
      </c>
      <c r="H782" s="2" t="s">
        <v>25</v>
      </c>
      <c r="I782" s="2" t="s">
        <v>319</v>
      </c>
      <c r="J782" s="2" t="s">
        <v>320</v>
      </c>
      <c r="K782" s="2" t="s">
        <v>28</v>
      </c>
      <c r="L782" s="2" t="s">
        <v>29</v>
      </c>
      <c r="M782" s="2">
        <v>3</v>
      </c>
      <c r="N782" s="2">
        <v>3057.45</v>
      </c>
      <c r="O782" s="2">
        <v>2130</v>
      </c>
      <c r="P782" s="2">
        <v>15</v>
      </c>
      <c r="Q782" s="2" t="s">
        <v>103</v>
      </c>
      <c r="R782" s="2" t="s">
        <v>42</v>
      </c>
      <c r="S782" s="3">
        <v>45760</v>
      </c>
      <c r="T782" s="6">
        <v>4</v>
      </c>
    </row>
    <row r="783" spans="1:20" x14ac:dyDescent="0.3">
      <c r="A783" s="2" t="s">
        <v>1368</v>
      </c>
      <c r="B783" s="3">
        <v>45811</v>
      </c>
      <c r="C783" s="2" t="s">
        <v>215</v>
      </c>
      <c r="D783" s="2" t="s">
        <v>147</v>
      </c>
      <c r="E783" s="2" t="s">
        <v>23</v>
      </c>
      <c r="F783" s="2">
        <v>33</v>
      </c>
      <c r="G783" s="2" t="s">
        <v>126</v>
      </c>
      <c r="H783" s="2" t="s">
        <v>127</v>
      </c>
      <c r="I783" s="2" t="s">
        <v>155</v>
      </c>
      <c r="J783" s="2" t="s">
        <v>156</v>
      </c>
      <c r="K783" s="2" t="s">
        <v>114</v>
      </c>
      <c r="L783" s="2" t="s">
        <v>157</v>
      </c>
      <c r="M783" s="2">
        <v>4</v>
      </c>
      <c r="N783" s="2">
        <v>3596.4</v>
      </c>
      <c r="O783" s="2">
        <v>2440</v>
      </c>
      <c r="P783" s="2">
        <v>10</v>
      </c>
      <c r="Q783" s="2" t="s">
        <v>41</v>
      </c>
      <c r="R783" s="2" t="s">
        <v>31</v>
      </c>
      <c r="S783" s="3">
        <v>45819</v>
      </c>
      <c r="T783" s="6">
        <v>5</v>
      </c>
    </row>
    <row r="784" spans="1:20" x14ac:dyDescent="0.3">
      <c r="A784" s="2" t="s">
        <v>1369</v>
      </c>
      <c r="B784" s="3">
        <v>45981</v>
      </c>
      <c r="C784" s="2" t="s">
        <v>514</v>
      </c>
      <c r="D784" s="2" t="s">
        <v>515</v>
      </c>
      <c r="E784" s="2" t="s">
        <v>23</v>
      </c>
      <c r="F784" s="2">
        <v>37</v>
      </c>
      <c r="G784" s="2" t="s">
        <v>101</v>
      </c>
      <c r="H784" s="2" t="s">
        <v>102</v>
      </c>
      <c r="I784" s="2" t="s">
        <v>319</v>
      </c>
      <c r="J784" s="2" t="s">
        <v>320</v>
      </c>
      <c r="K784" s="2" t="s">
        <v>28</v>
      </c>
      <c r="L784" s="2" t="s">
        <v>29</v>
      </c>
      <c r="M784" s="2">
        <v>5</v>
      </c>
      <c r="N784" s="2">
        <v>5095.75</v>
      </c>
      <c r="O784" s="2">
        <v>3550</v>
      </c>
      <c r="P784" s="2">
        <v>15</v>
      </c>
      <c r="Q784" s="2" t="s">
        <v>41</v>
      </c>
      <c r="R784" s="2" t="s">
        <v>31</v>
      </c>
      <c r="S784" s="3">
        <v>45984</v>
      </c>
      <c r="T784" s="6">
        <v>5</v>
      </c>
    </row>
    <row r="785" spans="1:20" x14ac:dyDescent="0.3">
      <c r="A785" s="2" t="s">
        <v>1370</v>
      </c>
      <c r="B785" s="3">
        <v>45424</v>
      </c>
      <c r="C785" s="2" t="s">
        <v>863</v>
      </c>
      <c r="D785" s="2" t="s">
        <v>380</v>
      </c>
      <c r="E785" s="2" t="s">
        <v>77</v>
      </c>
      <c r="F785" s="2">
        <v>24</v>
      </c>
      <c r="G785" s="2" t="s">
        <v>154</v>
      </c>
      <c r="H785" s="2" t="s">
        <v>91</v>
      </c>
      <c r="I785" s="2" t="s">
        <v>319</v>
      </c>
      <c r="J785" s="2" t="s">
        <v>320</v>
      </c>
      <c r="K785" s="2" t="s">
        <v>28</v>
      </c>
      <c r="L785" s="2" t="s">
        <v>29</v>
      </c>
      <c r="M785" s="2">
        <v>5</v>
      </c>
      <c r="N785" s="2">
        <v>3597</v>
      </c>
      <c r="O785" s="2">
        <v>3550</v>
      </c>
      <c r="P785" s="2">
        <v>40</v>
      </c>
      <c r="Q785" s="2" t="s">
        <v>73</v>
      </c>
      <c r="R785" s="2" t="s">
        <v>57</v>
      </c>
      <c r="S785" s="3">
        <v>45432</v>
      </c>
      <c r="T785" s="6">
        <v>5</v>
      </c>
    </row>
    <row r="786" spans="1:20" x14ac:dyDescent="0.3">
      <c r="A786" s="2" t="s">
        <v>1371</v>
      </c>
      <c r="B786" s="3">
        <v>45602</v>
      </c>
      <c r="C786" s="2" t="s">
        <v>752</v>
      </c>
      <c r="D786" s="2" t="s">
        <v>250</v>
      </c>
      <c r="E786" s="2" t="s">
        <v>23</v>
      </c>
      <c r="F786" s="2">
        <v>37</v>
      </c>
      <c r="G786" s="2" t="s">
        <v>154</v>
      </c>
      <c r="H786" s="2" t="s">
        <v>91</v>
      </c>
      <c r="I786" s="2" t="s">
        <v>222</v>
      </c>
      <c r="J786" s="2" t="s">
        <v>223</v>
      </c>
      <c r="K786" s="2" t="s">
        <v>114</v>
      </c>
      <c r="L786" s="2" t="s">
        <v>115</v>
      </c>
      <c r="M786" s="2">
        <v>1</v>
      </c>
      <c r="N786" s="2">
        <v>899</v>
      </c>
      <c r="O786" s="2">
        <v>510</v>
      </c>
      <c r="P786" s="2">
        <v>0</v>
      </c>
      <c r="Q786" s="2" t="s">
        <v>41</v>
      </c>
      <c r="R786" s="2" t="s">
        <v>42</v>
      </c>
      <c r="S786" s="3">
        <v>45609</v>
      </c>
      <c r="T786" s="6">
        <v>3</v>
      </c>
    </row>
    <row r="787" spans="1:20" x14ac:dyDescent="0.3">
      <c r="A787" s="2" t="s">
        <v>1372</v>
      </c>
      <c r="B787" s="3">
        <v>45470</v>
      </c>
      <c r="C787" s="2" t="s">
        <v>681</v>
      </c>
      <c r="D787" s="2" t="s">
        <v>203</v>
      </c>
      <c r="E787" s="2" t="s">
        <v>23</v>
      </c>
      <c r="F787" s="2">
        <v>58</v>
      </c>
      <c r="G787" s="2" t="s">
        <v>24</v>
      </c>
      <c r="H787" s="2" t="s">
        <v>25</v>
      </c>
      <c r="I787" s="2" t="s">
        <v>54</v>
      </c>
      <c r="J787" s="2" t="s">
        <v>55</v>
      </c>
      <c r="K787" s="2" t="s">
        <v>28</v>
      </c>
      <c r="L787" s="2" t="s">
        <v>56</v>
      </c>
      <c r="M787" s="2">
        <v>3</v>
      </c>
      <c r="N787" s="2">
        <v>1467.9</v>
      </c>
      <c r="O787" s="2">
        <v>1230</v>
      </c>
      <c r="P787" s="2">
        <v>30</v>
      </c>
      <c r="Q787" s="2" t="s">
        <v>73</v>
      </c>
      <c r="R787" s="2" t="s">
        <v>65</v>
      </c>
      <c r="S787" s="3" t="s">
        <v>1604</v>
      </c>
      <c r="T787" s="6" t="s">
        <v>1604</v>
      </c>
    </row>
    <row r="788" spans="1:20" x14ac:dyDescent="0.3">
      <c r="A788" s="2" t="s">
        <v>1373</v>
      </c>
      <c r="B788" s="3">
        <v>45524</v>
      </c>
      <c r="C788" s="2" t="s">
        <v>962</v>
      </c>
      <c r="D788" s="2" t="s">
        <v>963</v>
      </c>
      <c r="E788" s="2" t="s">
        <v>77</v>
      </c>
      <c r="F788" s="2">
        <v>25</v>
      </c>
      <c r="G788" s="2" t="s">
        <v>90</v>
      </c>
      <c r="H788" s="2" t="s">
        <v>91</v>
      </c>
      <c r="I788" s="2" t="s">
        <v>37</v>
      </c>
      <c r="J788" s="2" t="s">
        <v>38</v>
      </c>
      <c r="K788" s="2" t="s">
        <v>39</v>
      </c>
      <c r="L788" s="2" t="s">
        <v>40</v>
      </c>
      <c r="M788" s="2">
        <v>3</v>
      </c>
      <c r="N788" s="2">
        <v>2022.75</v>
      </c>
      <c r="O788" s="2">
        <v>1560</v>
      </c>
      <c r="P788" s="2">
        <v>25</v>
      </c>
      <c r="Q788" s="2" t="s">
        <v>41</v>
      </c>
      <c r="R788" s="2" t="s">
        <v>57</v>
      </c>
      <c r="S788" s="3">
        <v>45526</v>
      </c>
      <c r="T788" s="6">
        <v>4</v>
      </c>
    </row>
    <row r="789" spans="1:20" x14ac:dyDescent="0.3">
      <c r="A789" s="2" t="s">
        <v>1374</v>
      </c>
      <c r="B789" s="3">
        <v>45446</v>
      </c>
      <c r="C789" s="2" t="s">
        <v>1375</v>
      </c>
      <c r="D789" s="2" t="s">
        <v>385</v>
      </c>
      <c r="E789" s="2" t="s">
        <v>23</v>
      </c>
      <c r="F789" s="2">
        <v>49</v>
      </c>
      <c r="G789" s="2" t="s">
        <v>69</v>
      </c>
      <c r="H789" s="2" t="s">
        <v>69</v>
      </c>
      <c r="I789" s="2" t="s">
        <v>85</v>
      </c>
      <c r="J789" s="2" t="s">
        <v>86</v>
      </c>
      <c r="K789" s="2" t="s">
        <v>87</v>
      </c>
      <c r="L789" s="2" t="s">
        <v>88</v>
      </c>
      <c r="M789" s="2">
        <v>1</v>
      </c>
      <c r="N789" s="2">
        <v>839.4</v>
      </c>
      <c r="O789" s="2">
        <v>790</v>
      </c>
      <c r="P789" s="2">
        <v>40</v>
      </c>
      <c r="Q789" s="2" t="s">
        <v>103</v>
      </c>
      <c r="R789" s="2" t="s">
        <v>57</v>
      </c>
      <c r="S789" s="3">
        <v>45449</v>
      </c>
      <c r="T789" s="6">
        <v>3</v>
      </c>
    </row>
    <row r="790" spans="1:20" x14ac:dyDescent="0.3">
      <c r="A790" s="2" t="s">
        <v>1376</v>
      </c>
      <c r="B790" s="3">
        <v>45917</v>
      </c>
      <c r="C790" s="2" t="s">
        <v>650</v>
      </c>
      <c r="D790" s="2" t="s">
        <v>638</v>
      </c>
      <c r="E790" s="2" t="s">
        <v>77</v>
      </c>
      <c r="F790" s="2">
        <v>25</v>
      </c>
      <c r="G790" s="2" t="s">
        <v>24</v>
      </c>
      <c r="H790" s="2" t="s">
        <v>25</v>
      </c>
      <c r="I790" s="2" t="s">
        <v>112</v>
      </c>
      <c r="J790" s="2" t="s">
        <v>113</v>
      </c>
      <c r="K790" s="2" t="s">
        <v>114</v>
      </c>
      <c r="L790" s="2" t="s">
        <v>115</v>
      </c>
      <c r="M790" s="2">
        <v>1</v>
      </c>
      <c r="N790" s="2">
        <v>629.1</v>
      </c>
      <c r="O790" s="2">
        <v>370</v>
      </c>
      <c r="P790" s="2">
        <v>10</v>
      </c>
      <c r="Q790" s="2" t="s">
        <v>73</v>
      </c>
      <c r="R790" s="2" t="s">
        <v>57</v>
      </c>
      <c r="S790" s="3">
        <v>45922</v>
      </c>
      <c r="T790" s="6">
        <v>4</v>
      </c>
    </row>
    <row r="791" spans="1:20" x14ac:dyDescent="0.3">
      <c r="A791" s="2" t="s">
        <v>1377</v>
      </c>
      <c r="B791" s="3">
        <v>45452</v>
      </c>
      <c r="C791" s="2" t="s">
        <v>1083</v>
      </c>
      <c r="D791" s="2" t="s">
        <v>1084</v>
      </c>
      <c r="E791" s="2" t="s">
        <v>77</v>
      </c>
      <c r="F791" s="2">
        <v>20</v>
      </c>
      <c r="G791" s="2" t="s">
        <v>61</v>
      </c>
      <c r="H791" s="2" t="s">
        <v>62</v>
      </c>
      <c r="I791" s="2" t="s">
        <v>112</v>
      </c>
      <c r="J791" s="2" t="s">
        <v>113</v>
      </c>
      <c r="K791" s="2" t="s">
        <v>114</v>
      </c>
      <c r="L791" s="2" t="s">
        <v>115</v>
      </c>
      <c r="M791" s="2">
        <v>4</v>
      </c>
      <c r="N791" s="2">
        <v>2656.2</v>
      </c>
      <c r="O791" s="2">
        <v>1480</v>
      </c>
      <c r="P791" s="2">
        <v>5</v>
      </c>
      <c r="Q791" s="2" t="s">
        <v>30</v>
      </c>
      <c r="R791" s="2" t="s">
        <v>31</v>
      </c>
      <c r="S791" s="3">
        <v>45459</v>
      </c>
      <c r="T791" s="6">
        <v>4</v>
      </c>
    </row>
    <row r="792" spans="1:20" x14ac:dyDescent="0.3">
      <c r="A792" s="2" t="s">
        <v>1378</v>
      </c>
      <c r="B792" s="3">
        <v>45433</v>
      </c>
      <c r="C792" s="2" t="s">
        <v>490</v>
      </c>
      <c r="D792" s="2" t="s">
        <v>139</v>
      </c>
      <c r="E792" s="2" t="s">
        <v>77</v>
      </c>
      <c r="F792" s="2">
        <v>33</v>
      </c>
      <c r="G792" s="2" t="s">
        <v>154</v>
      </c>
      <c r="H792" s="2" t="s">
        <v>91</v>
      </c>
      <c r="I792" s="2" t="s">
        <v>63</v>
      </c>
      <c r="J792" s="2" t="s">
        <v>64</v>
      </c>
      <c r="K792" s="2" t="s">
        <v>39</v>
      </c>
      <c r="L792" s="2" t="s">
        <v>40</v>
      </c>
      <c r="M792" s="2">
        <v>4</v>
      </c>
      <c r="N792" s="2">
        <v>2396</v>
      </c>
      <c r="O792" s="2">
        <v>1320</v>
      </c>
      <c r="P792" s="2">
        <v>0</v>
      </c>
      <c r="Q792" s="2" t="s">
        <v>30</v>
      </c>
      <c r="R792" s="2" t="s">
        <v>57</v>
      </c>
      <c r="S792" s="3">
        <v>45442</v>
      </c>
      <c r="T792" s="6">
        <v>4</v>
      </c>
    </row>
    <row r="793" spans="1:20" x14ac:dyDescent="0.3">
      <c r="A793" s="2" t="s">
        <v>1379</v>
      </c>
      <c r="B793" s="3">
        <v>45585</v>
      </c>
      <c r="C793" s="2" t="s">
        <v>843</v>
      </c>
      <c r="D793" s="2" t="s">
        <v>97</v>
      </c>
      <c r="E793" s="2" t="s">
        <v>23</v>
      </c>
      <c r="F793" s="2">
        <v>37</v>
      </c>
      <c r="G793" s="2" t="s">
        <v>78</v>
      </c>
      <c r="H793" s="2" t="s">
        <v>79</v>
      </c>
      <c r="I793" s="2" t="s">
        <v>54</v>
      </c>
      <c r="J793" s="2" t="s">
        <v>55</v>
      </c>
      <c r="K793" s="2" t="s">
        <v>28</v>
      </c>
      <c r="L793" s="2" t="s">
        <v>56</v>
      </c>
      <c r="M793" s="2">
        <v>3</v>
      </c>
      <c r="N793" s="2">
        <v>1572.75</v>
      </c>
      <c r="O793" s="2">
        <v>1230</v>
      </c>
      <c r="P793" s="2">
        <v>25</v>
      </c>
      <c r="Q793" s="2" t="s">
        <v>103</v>
      </c>
      <c r="R793" s="2" t="s">
        <v>42</v>
      </c>
      <c r="S793" s="3">
        <v>45597</v>
      </c>
      <c r="T793" s="6">
        <v>4</v>
      </c>
    </row>
    <row r="794" spans="1:20" x14ac:dyDescent="0.3">
      <c r="A794" s="2" t="s">
        <v>1380</v>
      </c>
      <c r="B794" s="3">
        <v>45447</v>
      </c>
      <c r="C794" s="2" t="s">
        <v>272</v>
      </c>
      <c r="D794" s="2" t="s">
        <v>273</v>
      </c>
      <c r="E794" s="2" t="s">
        <v>23</v>
      </c>
      <c r="F794" s="2">
        <v>46</v>
      </c>
      <c r="G794" s="2" t="s">
        <v>122</v>
      </c>
      <c r="H794" s="2" t="s">
        <v>123</v>
      </c>
      <c r="I794" s="2" t="s">
        <v>304</v>
      </c>
      <c r="J794" s="2" t="s">
        <v>305</v>
      </c>
      <c r="K794" s="2" t="s">
        <v>28</v>
      </c>
      <c r="L794" s="2" t="s">
        <v>231</v>
      </c>
      <c r="M794" s="2">
        <v>2</v>
      </c>
      <c r="N794" s="2">
        <v>2518.6</v>
      </c>
      <c r="O794" s="2">
        <v>2160</v>
      </c>
      <c r="P794" s="2">
        <v>30</v>
      </c>
      <c r="Q794" s="2" t="s">
        <v>103</v>
      </c>
      <c r="R794" s="2" t="s">
        <v>42</v>
      </c>
      <c r="S794" s="3">
        <v>45456</v>
      </c>
      <c r="T794" s="6">
        <v>4</v>
      </c>
    </row>
    <row r="795" spans="1:20" x14ac:dyDescent="0.3">
      <c r="A795" s="2" t="s">
        <v>1381</v>
      </c>
      <c r="B795" s="3">
        <v>45322</v>
      </c>
      <c r="C795" s="2" t="s">
        <v>138</v>
      </c>
      <c r="D795" s="2" t="s">
        <v>139</v>
      </c>
      <c r="E795" s="2" t="s">
        <v>77</v>
      </c>
      <c r="F795" s="2">
        <v>42</v>
      </c>
      <c r="G795" s="2" t="s">
        <v>173</v>
      </c>
      <c r="H795" s="2" t="s">
        <v>79</v>
      </c>
      <c r="I795" s="2" t="s">
        <v>80</v>
      </c>
      <c r="J795" s="2" t="s">
        <v>81</v>
      </c>
      <c r="K795" s="2" t="s">
        <v>28</v>
      </c>
      <c r="L795" s="2" t="s">
        <v>29</v>
      </c>
      <c r="M795" s="2">
        <v>5</v>
      </c>
      <c r="N795" s="2">
        <v>3795.25</v>
      </c>
      <c r="O795" s="2">
        <v>2350</v>
      </c>
      <c r="P795" s="2">
        <v>5</v>
      </c>
      <c r="Q795" s="2" t="s">
        <v>73</v>
      </c>
      <c r="R795" s="2" t="s">
        <v>42</v>
      </c>
      <c r="S795" s="3">
        <v>45329</v>
      </c>
      <c r="T795" s="6">
        <v>5</v>
      </c>
    </row>
    <row r="796" spans="1:20" x14ac:dyDescent="0.3">
      <c r="A796" s="2" t="s">
        <v>1382</v>
      </c>
      <c r="B796" s="3">
        <v>45460</v>
      </c>
      <c r="C796" s="2" t="s">
        <v>1044</v>
      </c>
      <c r="D796" s="2" t="s">
        <v>1045</v>
      </c>
      <c r="E796" s="2" t="s">
        <v>77</v>
      </c>
      <c r="F796" s="2">
        <v>31</v>
      </c>
      <c r="G796" s="2" t="s">
        <v>24</v>
      </c>
      <c r="H796" s="2" t="s">
        <v>25</v>
      </c>
      <c r="I796" s="2" t="s">
        <v>47</v>
      </c>
      <c r="J796" s="2" t="s">
        <v>48</v>
      </c>
      <c r="K796" s="2" t="s">
        <v>39</v>
      </c>
      <c r="L796" s="2" t="s">
        <v>49</v>
      </c>
      <c r="M796" s="2">
        <v>1</v>
      </c>
      <c r="N796" s="2">
        <v>359.1</v>
      </c>
      <c r="O796" s="2">
        <v>210</v>
      </c>
      <c r="P796" s="2">
        <v>10</v>
      </c>
      <c r="Q796" s="2" t="s">
        <v>50</v>
      </c>
      <c r="R796" s="2" t="s">
        <v>42</v>
      </c>
      <c r="S796" s="3">
        <v>45472</v>
      </c>
      <c r="T796" s="6">
        <v>4</v>
      </c>
    </row>
    <row r="797" spans="1:20" x14ac:dyDescent="0.3">
      <c r="A797" s="2" t="s">
        <v>1383</v>
      </c>
      <c r="B797" s="3">
        <v>45721</v>
      </c>
      <c r="C797" s="2" t="s">
        <v>662</v>
      </c>
      <c r="D797" s="2" t="s">
        <v>97</v>
      </c>
      <c r="E797" s="2" t="s">
        <v>23</v>
      </c>
      <c r="F797" s="2">
        <v>47</v>
      </c>
      <c r="G797" s="2" t="s">
        <v>35</v>
      </c>
      <c r="H797" s="2" t="s">
        <v>36</v>
      </c>
      <c r="I797" s="2" t="s">
        <v>177</v>
      </c>
      <c r="J797" s="2" t="s">
        <v>178</v>
      </c>
      <c r="K797" s="2" t="s">
        <v>87</v>
      </c>
      <c r="L797" s="2" t="s">
        <v>179</v>
      </c>
      <c r="M797" s="2">
        <v>3</v>
      </c>
      <c r="N797" s="2">
        <v>5622.75</v>
      </c>
      <c r="O797" s="2">
        <v>4860</v>
      </c>
      <c r="P797" s="2">
        <v>25</v>
      </c>
      <c r="Q797" s="2" t="s">
        <v>73</v>
      </c>
      <c r="R797" s="2" t="s">
        <v>57</v>
      </c>
      <c r="S797" s="3">
        <v>45727</v>
      </c>
      <c r="T797" s="6">
        <v>3</v>
      </c>
    </row>
    <row r="798" spans="1:20" x14ac:dyDescent="0.3">
      <c r="A798" s="2" t="s">
        <v>1384</v>
      </c>
      <c r="B798" s="3">
        <v>45494</v>
      </c>
      <c r="C798" s="2" t="s">
        <v>879</v>
      </c>
      <c r="D798" s="2" t="s">
        <v>880</v>
      </c>
      <c r="E798" s="2" t="s">
        <v>23</v>
      </c>
      <c r="F798" s="2">
        <v>44</v>
      </c>
      <c r="G798" s="2" t="s">
        <v>46</v>
      </c>
      <c r="H798" s="2" t="s">
        <v>25</v>
      </c>
      <c r="I798" s="2" t="s">
        <v>26</v>
      </c>
      <c r="J798" s="2" t="s">
        <v>27</v>
      </c>
      <c r="K798" s="2" t="s">
        <v>28</v>
      </c>
      <c r="L798" s="2" t="s">
        <v>29</v>
      </c>
      <c r="M798" s="2">
        <v>5</v>
      </c>
      <c r="N798" s="2">
        <v>4871.25</v>
      </c>
      <c r="O798" s="2">
        <v>3950</v>
      </c>
      <c r="P798" s="2">
        <v>25</v>
      </c>
      <c r="Q798" s="2" t="s">
        <v>103</v>
      </c>
      <c r="R798" s="2" t="s">
        <v>31</v>
      </c>
      <c r="S798" s="3">
        <v>45498</v>
      </c>
      <c r="T798" s="6">
        <v>4</v>
      </c>
    </row>
    <row r="799" spans="1:20" x14ac:dyDescent="0.3">
      <c r="A799" s="2" t="s">
        <v>1385</v>
      </c>
      <c r="B799" s="3">
        <v>45510</v>
      </c>
      <c r="C799" s="2" t="s">
        <v>926</v>
      </c>
      <c r="D799" s="2" t="s">
        <v>927</v>
      </c>
      <c r="E799" s="2" t="s">
        <v>23</v>
      </c>
      <c r="F799" s="2">
        <v>42</v>
      </c>
      <c r="G799" s="2" t="s">
        <v>35</v>
      </c>
      <c r="H799" s="2" t="s">
        <v>36</v>
      </c>
      <c r="I799" s="2" t="s">
        <v>112</v>
      </c>
      <c r="J799" s="2" t="s">
        <v>113</v>
      </c>
      <c r="K799" s="2" t="s">
        <v>114</v>
      </c>
      <c r="L799" s="2" t="s">
        <v>115</v>
      </c>
      <c r="M799" s="2">
        <v>3</v>
      </c>
      <c r="N799" s="2">
        <v>1887.3</v>
      </c>
      <c r="O799" s="2">
        <v>1110</v>
      </c>
      <c r="P799" s="2">
        <v>10</v>
      </c>
      <c r="Q799" s="2" t="s">
        <v>73</v>
      </c>
      <c r="R799" s="2" t="s">
        <v>42</v>
      </c>
      <c r="S799" s="3">
        <v>45520</v>
      </c>
      <c r="T799" s="6">
        <v>4</v>
      </c>
    </row>
    <row r="800" spans="1:20" x14ac:dyDescent="0.3">
      <c r="A800" s="2" t="s">
        <v>1386</v>
      </c>
      <c r="B800" s="3">
        <v>45539</v>
      </c>
      <c r="C800" s="2" t="s">
        <v>331</v>
      </c>
      <c r="D800" s="2" t="s">
        <v>332</v>
      </c>
      <c r="E800" s="2" t="s">
        <v>23</v>
      </c>
      <c r="F800" s="2">
        <v>39</v>
      </c>
      <c r="G800" s="2" t="s">
        <v>122</v>
      </c>
      <c r="H800" s="2" t="s">
        <v>123</v>
      </c>
      <c r="I800" s="2" t="s">
        <v>112</v>
      </c>
      <c r="J800" s="2" t="s">
        <v>113</v>
      </c>
      <c r="K800" s="2" t="s">
        <v>114</v>
      </c>
      <c r="L800" s="2" t="s">
        <v>115</v>
      </c>
      <c r="M800" s="2">
        <v>1</v>
      </c>
      <c r="N800" s="2">
        <v>699</v>
      </c>
      <c r="O800" s="2">
        <v>370</v>
      </c>
      <c r="P800" s="2">
        <v>0</v>
      </c>
      <c r="Q800" s="2" t="s">
        <v>41</v>
      </c>
      <c r="R800" s="2" t="s">
        <v>42</v>
      </c>
      <c r="S800" s="3">
        <v>45551</v>
      </c>
      <c r="T800" s="6">
        <v>4</v>
      </c>
    </row>
    <row r="801" spans="1:20" x14ac:dyDescent="0.3">
      <c r="A801" s="2" t="s">
        <v>1387</v>
      </c>
      <c r="B801" s="3">
        <v>45418</v>
      </c>
      <c r="C801" s="2" t="s">
        <v>809</v>
      </c>
      <c r="D801" s="2" t="s">
        <v>810</v>
      </c>
      <c r="E801" s="2" t="s">
        <v>77</v>
      </c>
      <c r="F801" s="2">
        <v>41</v>
      </c>
      <c r="G801" s="2" t="s">
        <v>69</v>
      </c>
      <c r="H801" s="2" t="s">
        <v>69</v>
      </c>
      <c r="I801" s="2" t="s">
        <v>63</v>
      </c>
      <c r="J801" s="2" t="s">
        <v>64</v>
      </c>
      <c r="K801" s="2" t="s">
        <v>39</v>
      </c>
      <c r="L801" s="2" t="s">
        <v>40</v>
      </c>
      <c r="M801" s="2">
        <v>3</v>
      </c>
      <c r="N801" s="2">
        <v>1797</v>
      </c>
      <c r="O801" s="2">
        <v>990</v>
      </c>
      <c r="P801" s="2">
        <v>0</v>
      </c>
      <c r="Q801" s="2" t="s">
        <v>103</v>
      </c>
      <c r="R801" s="2" t="s">
        <v>42</v>
      </c>
      <c r="S801" s="3">
        <v>45423</v>
      </c>
      <c r="T801" s="6">
        <v>4</v>
      </c>
    </row>
    <row r="802" spans="1:20" x14ac:dyDescent="0.3">
      <c r="A802" s="2" t="s">
        <v>1388</v>
      </c>
      <c r="B802" s="3">
        <v>45650</v>
      </c>
      <c r="C802" s="2" t="s">
        <v>1042</v>
      </c>
      <c r="D802" s="2" t="s">
        <v>238</v>
      </c>
      <c r="E802" s="2" t="s">
        <v>23</v>
      </c>
      <c r="F802" s="2">
        <v>33</v>
      </c>
      <c r="G802" s="2" t="s">
        <v>35</v>
      </c>
      <c r="H802" s="2" t="s">
        <v>36</v>
      </c>
      <c r="I802" s="2" t="s">
        <v>107</v>
      </c>
      <c r="J802" s="2" t="s">
        <v>108</v>
      </c>
      <c r="K802" s="2" t="s">
        <v>87</v>
      </c>
      <c r="L802" s="2" t="s">
        <v>88</v>
      </c>
      <c r="M802" s="2">
        <v>5</v>
      </c>
      <c r="N802" s="2">
        <v>3595.5</v>
      </c>
      <c r="O802" s="2">
        <v>2100</v>
      </c>
      <c r="P802" s="2">
        <v>10</v>
      </c>
      <c r="Q802" s="2" t="s">
        <v>103</v>
      </c>
      <c r="R802" s="2" t="s">
        <v>65</v>
      </c>
      <c r="S802" s="3" t="s">
        <v>1604</v>
      </c>
      <c r="T802" s="6" t="s">
        <v>1604</v>
      </c>
    </row>
    <row r="803" spans="1:20" x14ac:dyDescent="0.3">
      <c r="A803" s="2" t="s">
        <v>1389</v>
      </c>
      <c r="B803" s="3">
        <v>45545</v>
      </c>
      <c r="C803" s="2" t="s">
        <v>284</v>
      </c>
      <c r="D803" s="2" t="s">
        <v>285</v>
      </c>
      <c r="E803" s="2" t="s">
        <v>77</v>
      </c>
      <c r="F803" s="2">
        <v>28</v>
      </c>
      <c r="G803" s="2" t="s">
        <v>126</v>
      </c>
      <c r="H803" s="2" t="s">
        <v>127</v>
      </c>
      <c r="I803" s="2" t="s">
        <v>112</v>
      </c>
      <c r="J803" s="2" t="s">
        <v>113</v>
      </c>
      <c r="K803" s="2" t="s">
        <v>114</v>
      </c>
      <c r="L803" s="2" t="s">
        <v>115</v>
      </c>
      <c r="M803" s="2">
        <v>5</v>
      </c>
      <c r="N803" s="2">
        <v>2970.75</v>
      </c>
      <c r="O803" s="2">
        <v>1850</v>
      </c>
      <c r="P803" s="2">
        <v>15</v>
      </c>
      <c r="Q803" s="2" t="s">
        <v>41</v>
      </c>
      <c r="R803" s="2" t="s">
        <v>42</v>
      </c>
      <c r="S803" s="3">
        <v>45548</v>
      </c>
      <c r="T803" s="6">
        <v>3</v>
      </c>
    </row>
    <row r="804" spans="1:20" x14ac:dyDescent="0.3">
      <c r="A804" s="2" t="s">
        <v>1390</v>
      </c>
      <c r="B804" s="3">
        <v>46020</v>
      </c>
      <c r="C804" s="2" t="s">
        <v>205</v>
      </c>
      <c r="D804" s="2" t="s">
        <v>206</v>
      </c>
      <c r="E804" s="2" t="s">
        <v>77</v>
      </c>
      <c r="F804" s="2">
        <v>26</v>
      </c>
      <c r="G804" s="2" t="s">
        <v>122</v>
      </c>
      <c r="H804" s="2" t="s">
        <v>123</v>
      </c>
      <c r="I804" s="2" t="s">
        <v>54</v>
      </c>
      <c r="J804" s="2" t="s">
        <v>55</v>
      </c>
      <c r="K804" s="2" t="s">
        <v>28</v>
      </c>
      <c r="L804" s="2" t="s">
        <v>56</v>
      </c>
      <c r="M804" s="2">
        <v>1</v>
      </c>
      <c r="N804" s="2">
        <v>699</v>
      </c>
      <c r="O804" s="2">
        <v>410</v>
      </c>
      <c r="P804" s="2">
        <v>0</v>
      </c>
      <c r="Q804" s="2" t="s">
        <v>103</v>
      </c>
      <c r="R804" s="2" t="s">
        <v>42</v>
      </c>
      <c r="S804" s="3">
        <v>46029</v>
      </c>
      <c r="T804" s="6">
        <v>4</v>
      </c>
    </row>
    <row r="805" spans="1:20" x14ac:dyDescent="0.3">
      <c r="A805" s="2" t="s">
        <v>1391</v>
      </c>
      <c r="B805" s="3">
        <v>45748</v>
      </c>
      <c r="C805" s="2" t="s">
        <v>902</v>
      </c>
      <c r="D805" s="2" t="s">
        <v>303</v>
      </c>
      <c r="E805" s="2" t="s">
        <v>77</v>
      </c>
      <c r="F805" s="2">
        <v>33</v>
      </c>
      <c r="G805" s="2" t="s">
        <v>211</v>
      </c>
      <c r="H805" s="2" t="s">
        <v>127</v>
      </c>
      <c r="I805" s="2" t="s">
        <v>107</v>
      </c>
      <c r="J805" s="2" t="s">
        <v>108</v>
      </c>
      <c r="K805" s="2" t="s">
        <v>87</v>
      </c>
      <c r="L805" s="2" t="s">
        <v>88</v>
      </c>
      <c r="M805" s="2">
        <v>5</v>
      </c>
      <c r="N805" s="2">
        <v>2796.5</v>
      </c>
      <c r="O805" s="2">
        <v>2100</v>
      </c>
      <c r="P805" s="2">
        <v>30</v>
      </c>
      <c r="Q805" s="2" t="s">
        <v>50</v>
      </c>
      <c r="R805" s="2" t="s">
        <v>65</v>
      </c>
      <c r="S805" s="3" t="s">
        <v>1604</v>
      </c>
      <c r="T805" s="6" t="s">
        <v>1604</v>
      </c>
    </row>
    <row r="806" spans="1:20" x14ac:dyDescent="0.3">
      <c r="A806" s="2" t="s">
        <v>1392</v>
      </c>
      <c r="B806" s="3">
        <v>45823</v>
      </c>
      <c r="C806" s="2" t="s">
        <v>226</v>
      </c>
      <c r="D806" s="2" t="s">
        <v>227</v>
      </c>
      <c r="E806" s="2" t="s">
        <v>23</v>
      </c>
      <c r="F806" s="2">
        <v>32</v>
      </c>
      <c r="G806" s="2" t="s">
        <v>207</v>
      </c>
      <c r="H806" s="2" t="s">
        <v>36</v>
      </c>
      <c r="I806" s="2" t="s">
        <v>198</v>
      </c>
      <c r="J806" s="2" t="s">
        <v>199</v>
      </c>
      <c r="K806" s="2" t="s">
        <v>114</v>
      </c>
      <c r="L806" s="2" t="s">
        <v>200</v>
      </c>
      <c r="M806" s="2">
        <v>4</v>
      </c>
      <c r="N806" s="2">
        <v>3637.2</v>
      </c>
      <c r="O806" s="2">
        <v>3040</v>
      </c>
      <c r="P806" s="2">
        <v>30</v>
      </c>
      <c r="Q806" s="2" t="s">
        <v>103</v>
      </c>
      <c r="R806" s="2" t="s">
        <v>31</v>
      </c>
      <c r="S806" s="3">
        <v>45832</v>
      </c>
      <c r="T806" s="6">
        <v>5</v>
      </c>
    </row>
    <row r="807" spans="1:20" x14ac:dyDescent="0.3">
      <c r="A807" s="2" t="s">
        <v>1393</v>
      </c>
      <c r="B807" s="3">
        <v>45458</v>
      </c>
      <c r="C807" s="2" t="s">
        <v>387</v>
      </c>
      <c r="D807" s="2" t="s">
        <v>388</v>
      </c>
      <c r="E807" s="2" t="s">
        <v>23</v>
      </c>
      <c r="F807" s="2">
        <v>32</v>
      </c>
      <c r="G807" s="2" t="s">
        <v>173</v>
      </c>
      <c r="H807" s="2" t="s">
        <v>79</v>
      </c>
      <c r="I807" s="2" t="s">
        <v>37</v>
      </c>
      <c r="J807" s="2" t="s">
        <v>38</v>
      </c>
      <c r="K807" s="2" t="s">
        <v>39</v>
      </c>
      <c r="L807" s="2" t="s">
        <v>40</v>
      </c>
      <c r="M807" s="2">
        <v>4</v>
      </c>
      <c r="N807" s="2">
        <v>3236.4</v>
      </c>
      <c r="O807" s="2">
        <v>2080</v>
      </c>
      <c r="P807" s="2">
        <v>10</v>
      </c>
      <c r="Q807" s="2" t="s">
        <v>50</v>
      </c>
      <c r="R807" s="2" t="s">
        <v>57</v>
      </c>
      <c r="S807" s="3">
        <v>45468</v>
      </c>
      <c r="T807" s="6">
        <v>3</v>
      </c>
    </row>
    <row r="808" spans="1:20" x14ac:dyDescent="0.3">
      <c r="A808" s="2" t="s">
        <v>1394</v>
      </c>
      <c r="B808" s="3">
        <v>46003</v>
      </c>
      <c r="C808" s="2" t="s">
        <v>904</v>
      </c>
      <c r="D808" s="2" t="s">
        <v>358</v>
      </c>
      <c r="E808" s="2" t="s">
        <v>23</v>
      </c>
      <c r="F808" s="2">
        <v>48</v>
      </c>
      <c r="G808" s="2" t="s">
        <v>61</v>
      </c>
      <c r="H808" s="2" t="s">
        <v>62</v>
      </c>
      <c r="I808" s="2" t="s">
        <v>37</v>
      </c>
      <c r="J808" s="2" t="s">
        <v>38</v>
      </c>
      <c r="K808" s="2" t="s">
        <v>39</v>
      </c>
      <c r="L808" s="2" t="s">
        <v>40</v>
      </c>
      <c r="M808" s="2">
        <v>1</v>
      </c>
      <c r="N808" s="2">
        <v>809.1</v>
      </c>
      <c r="O808" s="2">
        <v>520</v>
      </c>
      <c r="P808" s="2">
        <v>10</v>
      </c>
      <c r="Q808" s="2" t="s">
        <v>50</v>
      </c>
      <c r="R808" s="2" t="s">
        <v>42</v>
      </c>
      <c r="S808" s="3">
        <v>46006</v>
      </c>
      <c r="T808" s="6">
        <v>5</v>
      </c>
    </row>
    <row r="809" spans="1:20" x14ac:dyDescent="0.3">
      <c r="A809" s="2" t="s">
        <v>1395</v>
      </c>
      <c r="B809" s="3">
        <v>45404</v>
      </c>
      <c r="C809" s="2" t="s">
        <v>962</v>
      </c>
      <c r="D809" s="2" t="s">
        <v>963</v>
      </c>
      <c r="E809" s="2" t="s">
        <v>77</v>
      </c>
      <c r="F809" s="2">
        <v>25</v>
      </c>
      <c r="G809" s="2" t="s">
        <v>211</v>
      </c>
      <c r="H809" s="2" t="s">
        <v>127</v>
      </c>
      <c r="I809" s="2" t="s">
        <v>198</v>
      </c>
      <c r="J809" s="2" t="s">
        <v>199</v>
      </c>
      <c r="K809" s="2" t="s">
        <v>114</v>
      </c>
      <c r="L809" s="2" t="s">
        <v>200</v>
      </c>
      <c r="M809" s="2">
        <v>3</v>
      </c>
      <c r="N809" s="2">
        <v>3897</v>
      </c>
      <c r="O809" s="2">
        <v>2280</v>
      </c>
      <c r="P809" s="2">
        <v>0</v>
      </c>
      <c r="Q809" s="2" t="s">
        <v>50</v>
      </c>
      <c r="R809" s="2" t="s">
        <v>42</v>
      </c>
      <c r="S809" s="3">
        <v>45407</v>
      </c>
      <c r="T809" s="6">
        <v>4</v>
      </c>
    </row>
    <row r="810" spans="1:20" x14ac:dyDescent="0.3">
      <c r="A810" s="2" t="s">
        <v>1396</v>
      </c>
      <c r="B810" s="3">
        <v>45604</v>
      </c>
      <c r="C810" s="2" t="s">
        <v>520</v>
      </c>
      <c r="D810" s="2" t="s">
        <v>506</v>
      </c>
      <c r="E810" s="2" t="s">
        <v>77</v>
      </c>
      <c r="F810" s="2">
        <v>36</v>
      </c>
      <c r="G810" s="2" t="s">
        <v>35</v>
      </c>
      <c r="H810" s="2" t="s">
        <v>36</v>
      </c>
      <c r="I810" s="2" t="s">
        <v>143</v>
      </c>
      <c r="J810" s="2" t="s">
        <v>144</v>
      </c>
      <c r="K810" s="2" t="s">
        <v>130</v>
      </c>
      <c r="L810" s="2" t="s">
        <v>131</v>
      </c>
      <c r="M810" s="2">
        <v>4</v>
      </c>
      <c r="N810" s="2">
        <v>21996</v>
      </c>
      <c r="O810" s="2">
        <v>17200</v>
      </c>
      <c r="P810" s="2">
        <v>0</v>
      </c>
      <c r="Q810" s="2" t="s">
        <v>30</v>
      </c>
      <c r="R810" s="2" t="s">
        <v>42</v>
      </c>
      <c r="S810" s="3">
        <v>45615</v>
      </c>
      <c r="T810" s="6">
        <v>5</v>
      </c>
    </row>
    <row r="811" spans="1:20" x14ac:dyDescent="0.3">
      <c r="A811" s="2" t="s">
        <v>1397</v>
      </c>
      <c r="B811" s="3">
        <v>45341</v>
      </c>
      <c r="C811" s="2" t="s">
        <v>1319</v>
      </c>
      <c r="D811" s="2" t="s">
        <v>894</v>
      </c>
      <c r="E811" s="2" t="s">
        <v>77</v>
      </c>
      <c r="F811" s="2">
        <v>33</v>
      </c>
      <c r="G811" s="2" t="s">
        <v>35</v>
      </c>
      <c r="H811" s="2" t="s">
        <v>36</v>
      </c>
      <c r="I811" s="2" t="s">
        <v>70</v>
      </c>
      <c r="J811" s="2" t="s">
        <v>71</v>
      </c>
      <c r="K811" s="2" t="s">
        <v>28</v>
      </c>
      <c r="L811" s="2" t="s">
        <v>72</v>
      </c>
      <c r="M811" s="2">
        <v>2</v>
      </c>
      <c r="N811" s="2">
        <v>1798.8</v>
      </c>
      <c r="O811" s="2">
        <v>1840</v>
      </c>
      <c r="P811" s="2">
        <v>40</v>
      </c>
      <c r="Q811" s="2" t="s">
        <v>73</v>
      </c>
      <c r="R811" s="2" t="s">
        <v>42</v>
      </c>
      <c r="S811" s="3">
        <v>45351</v>
      </c>
      <c r="T811" s="6">
        <v>4</v>
      </c>
    </row>
    <row r="812" spans="1:20" x14ac:dyDescent="0.3">
      <c r="A812" s="2" t="s">
        <v>1398</v>
      </c>
      <c r="B812" s="3">
        <v>45361</v>
      </c>
      <c r="C812" s="2" t="s">
        <v>599</v>
      </c>
      <c r="D812" s="2" t="s">
        <v>600</v>
      </c>
      <c r="E812" s="2" t="s">
        <v>77</v>
      </c>
      <c r="F812" s="2">
        <v>32</v>
      </c>
      <c r="G812" s="2" t="s">
        <v>122</v>
      </c>
      <c r="H812" s="2" t="s">
        <v>123</v>
      </c>
      <c r="I812" s="2" t="s">
        <v>37</v>
      </c>
      <c r="J812" s="2" t="s">
        <v>38</v>
      </c>
      <c r="K812" s="2" t="s">
        <v>39</v>
      </c>
      <c r="L812" s="2" t="s">
        <v>40</v>
      </c>
      <c r="M812" s="2">
        <v>5</v>
      </c>
      <c r="N812" s="2">
        <v>3596</v>
      </c>
      <c r="O812" s="2">
        <v>2600</v>
      </c>
      <c r="P812" s="2">
        <v>20</v>
      </c>
      <c r="Q812" s="2" t="s">
        <v>50</v>
      </c>
      <c r="R812" s="2" t="s">
        <v>42</v>
      </c>
      <c r="S812" s="3">
        <v>45368</v>
      </c>
      <c r="T812" s="6">
        <v>5</v>
      </c>
    </row>
    <row r="813" spans="1:20" x14ac:dyDescent="0.3">
      <c r="A813" s="2" t="s">
        <v>1399</v>
      </c>
      <c r="B813" s="3">
        <v>45778</v>
      </c>
      <c r="C813" s="2" t="s">
        <v>632</v>
      </c>
      <c r="D813" s="2" t="s">
        <v>372</v>
      </c>
      <c r="E813" s="2" t="s">
        <v>77</v>
      </c>
      <c r="F813" s="2">
        <v>34</v>
      </c>
      <c r="G813" s="2" t="s">
        <v>173</v>
      </c>
      <c r="H813" s="2" t="s">
        <v>79</v>
      </c>
      <c r="I813" s="2" t="s">
        <v>112</v>
      </c>
      <c r="J813" s="2" t="s">
        <v>113</v>
      </c>
      <c r="K813" s="2" t="s">
        <v>114</v>
      </c>
      <c r="L813" s="2" t="s">
        <v>115</v>
      </c>
      <c r="M813" s="2">
        <v>4</v>
      </c>
      <c r="N813" s="2">
        <v>1677.6</v>
      </c>
      <c r="O813" s="2">
        <v>1480</v>
      </c>
      <c r="P813" s="2">
        <v>40</v>
      </c>
      <c r="Q813" s="2" t="s">
        <v>103</v>
      </c>
      <c r="R813" s="2" t="s">
        <v>42</v>
      </c>
      <c r="S813" s="3">
        <v>45785</v>
      </c>
      <c r="T813" s="6">
        <v>3</v>
      </c>
    </row>
    <row r="814" spans="1:20" x14ac:dyDescent="0.3">
      <c r="A814" s="2" t="s">
        <v>1400</v>
      </c>
      <c r="B814" s="3">
        <v>45931</v>
      </c>
      <c r="C814" s="2" t="s">
        <v>775</v>
      </c>
      <c r="D814" s="2" t="s">
        <v>244</v>
      </c>
      <c r="E814" s="2" t="s">
        <v>77</v>
      </c>
      <c r="F814" s="2">
        <v>46</v>
      </c>
      <c r="G814" s="2" t="s">
        <v>165</v>
      </c>
      <c r="H814" s="2" t="s">
        <v>166</v>
      </c>
      <c r="I814" s="2" t="s">
        <v>304</v>
      </c>
      <c r="J814" s="2" t="s">
        <v>305</v>
      </c>
      <c r="K814" s="2" t="s">
        <v>28</v>
      </c>
      <c r="L814" s="2" t="s">
        <v>231</v>
      </c>
      <c r="M814" s="2">
        <v>4</v>
      </c>
      <c r="N814" s="2">
        <v>5397</v>
      </c>
      <c r="O814" s="2">
        <v>4320</v>
      </c>
      <c r="P814" s="2">
        <v>25</v>
      </c>
      <c r="Q814" s="2" t="s">
        <v>50</v>
      </c>
      <c r="R814" s="2" t="s">
        <v>42</v>
      </c>
      <c r="S814" s="3">
        <v>45943</v>
      </c>
      <c r="T814" s="6">
        <v>5</v>
      </c>
    </row>
    <row r="815" spans="1:20" x14ac:dyDescent="0.3">
      <c r="A815" s="2" t="s">
        <v>1401</v>
      </c>
      <c r="B815" s="3">
        <v>45576</v>
      </c>
      <c r="C815" s="2" t="s">
        <v>125</v>
      </c>
      <c r="D815" s="2" t="s">
        <v>121</v>
      </c>
      <c r="E815" s="2" t="s">
        <v>23</v>
      </c>
      <c r="F815" s="2">
        <v>27</v>
      </c>
      <c r="G815" s="2" t="s">
        <v>78</v>
      </c>
      <c r="H815" s="2" t="s">
        <v>79</v>
      </c>
      <c r="I815" s="2" t="s">
        <v>85</v>
      </c>
      <c r="J815" s="2" t="s">
        <v>86</v>
      </c>
      <c r="K815" s="2" t="s">
        <v>87</v>
      </c>
      <c r="L815" s="2" t="s">
        <v>88</v>
      </c>
      <c r="M815" s="2">
        <v>1</v>
      </c>
      <c r="N815" s="2">
        <v>1119.2</v>
      </c>
      <c r="O815" s="2">
        <v>790</v>
      </c>
      <c r="P815" s="2">
        <v>20</v>
      </c>
      <c r="Q815" s="2" t="s">
        <v>50</v>
      </c>
      <c r="R815" s="2" t="s">
        <v>31</v>
      </c>
      <c r="S815" s="3">
        <v>45579</v>
      </c>
      <c r="T815" s="6">
        <v>3</v>
      </c>
    </row>
    <row r="816" spans="1:20" x14ac:dyDescent="0.3">
      <c r="A816" s="2" t="s">
        <v>1402</v>
      </c>
      <c r="B816" s="3">
        <v>45489</v>
      </c>
      <c r="C816" s="2" t="s">
        <v>133</v>
      </c>
      <c r="D816" s="2" t="s">
        <v>857</v>
      </c>
      <c r="E816" s="2" t="s">
        <v>77</v>
      </c>
      <c r="F816" s="2">
        <v>56</v>
      </c>
      <c r="G816" s="2" t="s">
        <v>24</v>
      </c>
      <c r="H816" s="2" t="s">
        <v>25</v>
      </c>
      <c r="I816" s="2" t="s">
        <v>198</v>
      </c>
      <c r="J816" s="2" t="s">
        <v>199</v>
      </c>
      <c r="K816" s="2" t="s">
        <v>114</v>
      </c>
      <c r="L816" s="2" t="s">
        <v>200</v>
      </c>
      <c r="M816" s="2">
        <v>5</v>
      </c>
      <c r="N816" s="2">
        <v>5520.75</v>
      </c>
      <c r="O816" s="2">
        <v>3800</v>
      </c>
      <c r="P816" s="2">
        <v>15</v>
      </c>
      <c r="Q816" s="2" t="s">
        <v>103</v>
      </c>
      <c r="R816" s="2" t="s">
        <v>65</v>
      </c>
      <c r="S816" s="3" t="s">
        <v>1604</v>
      </c>
      <c r="T816" s="6" t="s">
        <v>1604</v>
      </c>
    </row>
    <row r="817" spans="1:20" x14ac:dyDescent="0.3">
      <c r="A817" s="2" t="s">
        <v>1403</v>
      </c>
      <c r="B817" s="3">
        <v>45311</v>
      </c>
      <c r="C817" s="2" t="s">
        <v>962</v>
      </c>
      <c r="D817" s="2" t="s">
        <v>963</v>
      </c>
      <c r="E817" s="2" t="s">
        <v>77</v>
      </c>
      <c r="F817" s="2">
        <v>25</v>
      </c>
      <c r="G817" s="2" t="s">
        <v>78</v>
      </c>
      <c r="H817" s="2" t="s">
        <v>79</v>
      </c>
      <c r="I817" s="2" t="s">
        <v>80</v>
      </c>
      <c r="J817" s="2" t="s">
        <v>81</v>
      </c>
      <c r="K817" s="2" t="s">
        <v>28</v>
      </c>
      <c r="L817" s="2" t="s">
        <v>29</v>
      </c>
      <c r="M817" s="2">
        <v>3</v>
      </c>
      <c r="N817" s="2">
        <v>2037.45</v>
      </c>
      <c r="O817" s="2">
        <v>1410</v>
      </c>
      <c r="P817" s="2">
        <v>15</v>
      </c>
      <c r="Q817" s="2" t="s">
        <v>30</v>
      </c>
      <c r="R817" s="2" t="s">
        <v>57</v>
      </c>
      <c r="S817" s="3">
        <v>45322</v>
      </c>
      <c r="T817" s="6">
        <v>5</v>
      </c>
    </row>
    <row r="818" spans="1:20" x14ac:dyDescent="0.3">
      <c r="A818" s="2" t="s">
        <v>1404</v>
      </c>
      <c r="B818" s="3">
        <v>45378</v>
      </c>
      <c r="C818" s="2" t="s">
        <v>640</v>
      </c>
      <c r="D818" s="2" t="s">
        <v>349</v>
      </c>
      <c r="E818" s="2" t="s">
        <v>23</v>
      </c>
      <c r="F818" s="2">
        <v>42</v>
      </c>
      <c r="G818" s="2" t="s">
        <v>126</v>
      </c>
      <c r="H818" s="2" t="s">
        <v>127</v>
      </c>
      <c r="I818" s="2" t="s">
        <v>47</v>
      </c>
      <c r="J818" s="2" t="s">
        <v>48</v>
      </c>
      <c r="K818" s="2" t="s">
        <v>39</v>
      </c>
      <c r="L818" s="2" t="s">
        <v>49</v>
      </c>
      <c r="M818" s="2">
        <v>5</v>
      </c>
      <c r="N818" s="2">
        <v>1995</v>
      </c>
      <c r="O818" s="2">
        <v>1050</v>
      </c>
      <c r="P818" s="2">
        <v>0</v>
      </c>
      <c r="Q818" s="2" t="s">
        <v>103</v>
      </c>
      <c r="R818" s="2" t="s">
        <v>57</v>
      </c>
      <c r="S818" s="3">
        <v>45380</v>
      </c>
      <c r="T818" s="6">
        <v>4</v>
      </c>
    </row>
    <row r="819" spans="1:20" x14ac:dyDescent="0.3">
      <c r="A819" s="2" t="s">
        <v>1405</v>
      </c>
      <c r="B819" s="3">
        <v>45739</v>
      </c>
      <c r="C819" s="2" t="s">
        <v>967</v>
      </c>
      <c r="D819" s="2" t="s">
        <v>968</v>
      </c>
      <c r="E819" s="2" t="s">
        <v>23</v>
      </c>
      <c r="F819" s="2">
        <v>29</v>
      </c>
      <c r="G819" s="2" t="s">
        <v>122</v>
      </c>
      <c r="H819" s="2" t="s">
        <v>123</v>
      </c>
      <c r="I819" s="2" t="s">
        <v>80</v>
      </c>
      <c r="J819" s="2" t="s">
        <v>81</v>
      </c>
      <c r="K819" s="2" t="s">
        <v>28</v>
      </c>
      <c r="L819" s="2" t="s">
        <v>29</v>
      </c>
      <c r="M819" s="2">
        <v>5</v>
      </c>
      <c r="N819" s="2">
        <v>2996.25</v>
      </c>
      <c r="O819" s="2">
        <v>2350</v>
      </c>
      <c r="P819" s="2">
        <v>25</v>
      </c>
      <c r="Q819" s="2" t="s">
        <v>103</v>
      </c>
      <c r="R819" s="2" t="s">
        <v>42</v>
      </c>
      <c r="S819" s="3">
        <v>45742</v>
      </c>
      <c r="T819" s="6">
        <v>3</v>
      </c>
    </row>
    <row r="820" spans="1:20" x14ac:dyDescent="0.3">
      <c r="A820" s="2" t="s">
        <v>1406</v>
      </c>
      <c r="B820" s="3">
        <v>45393</v>
      </c>
      <c r="C820" s="2" t="s">
        <v>133</v>
      </c>
      <c r="D820" s="2" t="s">
        <v>857</v>
      </c>
      <c r="E820" s="2" t="s">
        <v>77</v>
      </c>
      <c r="F820" s="2">
        <v>56</v>
      </c>
      <c r="G820" s="2" t="s">
        <v>78</v>
      </c>
      <c r="H820" s="2" t="s">
        <v>79</v>
      </c>
      <c r="I820" s="2" t="s">
        <v>143</v>
      </c>
      <c r="J820" s="2" t="s">
        <v>144</v>
      </c>
      <c r="K820" s="2" t="s">
        <v>130</v>
      </c>
      <c r="L820" s="2" t="s">
        <v>131</v>
      </c>
      <c r="M820" s="2">
        <v>2</v>
      </c>
      <c r="N820" s="2">
        <v>9898.2000000000007</v>
      </c>
      <c r="O820" s="2">
        <v>8600</v>
      </c>
      <c r="P820" s="2">
        <v>10</v>
      </c>
      <c r="Q820" s="2" t="s">
        <v>41</v>
      </c>
      <c r="R820" s="2" t="s">
        <v>57</v>
      </c>
      <c r="S820" s="3">
        <v>45396</v>
      </c>
      <c r="T820" s="6">
        <v>3</v>
      </c>
    </row>
    <row r="821" spans="1:20" x14ac:dyDescent="0.3">
      <c r="A821" s="2" t="s">
        <v>1407</v>
      </c>
      <c r="B821" s="3">
        <v>45606</v>
      </c>
      <c r="C821" s="2" t="s">
        <v>1314</v>
      </c>
      <c r="D821" s="2" t="s">
        <v>1315</v>
      </c>
      <c r="E821" s="2" t="s">
        <v>77</v>
      </c>
      <c r="F821" s="2">
        <v>50</v>
      </c>
      <c r="G821" s="2" t="s">
        <v>78</v>
      </c>
      <c r="H821" s="2" t="s">
        <v>79</v>
      </c>
      <c r="I821" s="2" t="s">
        <v>26</v>
      </c>
      <c r="J821" s="2" t="s">
        <v>27</v>
      </c>
      <c r="K821" s="2" t="s">
        <v>28</v>
      </c>
      <c r="L821" s="2" t="s">
        <v>29</v>
      </c>
      <c r="M821" s="2">
        <v>5</v>
      </c>
      <c r="N821" s="2">
        <v>4871.25</v>
      </c>
      <c r="O821" s="2">
        <v>3950</v>
      </c>
      <c r="P821" s="2">
        <v>25</v>
      </c>
      <c r="Q821" s="2" t="s">
        <v>30</v>
      </c>
      <c r="R821" s="2" t="s">
        <v>42</v>
      </c>
      <c r="S821" s="3">
        <v>45608</v>
      </c>
      <c r="T821" s="6">
        <v>4</v>
      </c>
    </row>
    <row r="822" spans="1:20" x14ac:dyDescent="0.3">
      <c r="A822" s="2" t="s">
        <v>1408</v>
      </c>
      <c r="B822" s="3">
        <v>45691</v>
      </c>
      <c r="C822" s="2" t="s">
        <v>240</v>
      </c>
      <c r="D822" s="2" t="s">
        <v>241</v>
      </c>
      <c r="E822" s="2" t="s">
        <v>23</v>
      </c>
      <c r="F822" s="2">
        <v>25</v>
      </c>
      <c r="G822" s="2" t="s">
        <v>126</v>
      </c>
      <c r="H822" s="2" t="s">
        <v>127</v>
      </c>
      <c r="I822" s="2" t="s">
        <v>252</v>
      </c>
      <c r="J822" s="2" t="s">
        <v>253</v>
      </c>
      <c r="K822" s="2" t="s">
        <v>28</v>
      </c>
      <c r="L822" s="2" t="s">
        <v>254</v>
      </c>
      <c r="M822" s="2">
        <v>4</v>
      </c>
      <c r="N822" s="2">
        <v>8997</v>
      </c>
      <c r="O822" s="2">
        <v>7600</v>
      </c>
      <c r="P822" s="2">
        <v>25</v>
      </c>
      <c r="Q822" s="2" t="s">
        <v>41</v>
      </c>
      <c r="R822" s="2" t="s">
        <v>42</v>
      </c>
      <c r="S822" s="3">
        <v>45694</v>
      </c>
      <c r="T822" s="6">
        <v>2</v>
      </c>
    </row>
    <row r="823" spans="1:20" x14ac:dyDescent="0.3">
      <c r="A823" s="2" t="s">
        <v>1409</v>
      </c>
      <c r="B823" s="3">
        <v>45499</v>
      </c>
      <c r="C823" s="2" t="s">
        <v>141</v>
      </c>
      <c r="D823" s="2" t="s">
        <v>142</v>
      </c>
      <c r="E823" s="2" t="s">
        <v>23</v>
      </c>
      <c r="F823" s="2">
        <v>57</v>
      </c>
      <c r="G823" s="2" t="s">
        <v>90</v>
      </c>
      <c r="H823" s="2" t="s">
        <v>91</v>
      </c>
      <c r="I823" s="2" t="s">
        <v>37</v>
      </c>
      <c r="J823" s="2" t="s">
        <v>38</v>
      </c>
      <c r="K823" s="2" t="s">
        <v>39</v>
      </c>
      <c r="L823" s="2" t="s">
        <v>40</v>
      </c>
      <c r="M823" s="2">
        <v>5</v>
      </c>
      <c r="N823" s="2">
        <v>3146.5</v>
      </c>
      <c r="O823" s="2">
        <v>2600</v>
      </c>
      <c r="P823" s="2">
        <v>30</v>
      </c>
      <c r="Q823" s="2" t="s">
        <v>73</v>
      </c>
      <c r="R823" s="2" t="s">
        <v>42</v>
      </c>
      <c r="S823" s="3">
        <v>45501</v>
      </c>
      <c r="T823" s="6">
        <v>4</v>
      </c>
    </row>
    <row r="824" spans="1:20" x14ac:dyDescent="0.3">
      <c r="A824" s="2" t="s">
        <v>1410</v>
      </c>
      <c r="B824" s="3">
        <v>45767</v>
      </c>
      <c r="C824" s="2" t="s">
        <v>429</v>
      </c>
      <c r="D824" s="2" t="s">
        <v>315</v>
      </c>
      <c r="E824" s="2" t="s">
        <v>77</v>
      </c>
      <c r="F824" s="2">
        <v>23</v>
      </c>
      <c r="G824" s="2" t="s">
        <v>122</v>
      </c>
      <c r="H824" s="2" t="s">
        <v>123</v>
      </c>
      <c r="I824" s="2" t="s">
        <v>54</v>
      </c>
      <c r="J824" s="2" t="s">
        <v>55</v>
      </c>
      <c r="K824" s="2" t="s">
        <v>28</v>
      </c>
      <c r="L824" s="2" t="s">
        <v>56</v>
      </c>
      <c r="M824" s="2">
        <v>4</v>
      </c>
      <c r="N824" s="2">
        <v>2796</v>
      </c>
      <c r="O824" s="2">
        <v>1640</v>
      </c>
      <c r="P824" s="2">
        <v>0</v>
      </c>
      <c r="Q824" s="2" t="s">
        <v>103</v>
      </c>
      <c r="R824" s="2" t="s">
        <v>31</v>
      </c>
      <c r="S824" s="3">
        <v>45772</v>
      </c>
      <c r="T824" s="6">
        <v>2</v>
      </c>
    </row>
    <row r="825" spans="1:20" x14ac:dyDescent="0.3">
      <c r="A825" s="2" t="s">
        <v>1411</v>
      </c>
      <c r="B825" s="3">
        <v>45567</v>
      </c>
      <c r="C825" s="2" t="s">
        <v>429</v>
      </c>
      <c r="D825" s="2" t="s">
        <v>315</v>
      </c>
      <c r="E825" s="2" t="s">
        <v>77</v>
      </c>
      <c r="F825" s="2">
        <v>23</v>
      </c>
      <c r="G825" s="2" t="s">
        <v>69</v>
      </c>
      <c r="H825" s="2" t="s">
        <v>69</v>
      </c>
      <c r="I825" s="2" t="s">
        <v>304</v>
      </c>
      <c r="J825" s="2" t="s">
        <v>305</v>
      </c>
      <c r="K825" s="2" t="s">
        <v>28</v>
      </c>
      <c r="L825" s="2" t="s">
        <v>231</v>
      </c>
      <c r="M825" s="2">
        <v>5</v>
      </c>
      <c r="N825" s="2">
        <v>8095.5</v>
      </c>
      <c r="O825" s="2">
        <v>5400</v>
      </c>
      <c r="P825" s="2">
        <v>10</v>
      </c>
      <c r="Q825" s="2" t="s">
        <v>41</v>
      </c>
      <c r="R825" s="2" t="s">
        <v>65</v>
      </c>
      <c r="S825" s="3" t="s">
        <v>1604</v>
      </c>
      <c r="T825" s="6" t="s">
        <v>1604</v>
      </c>
    </row>
    <row r="826" spans="1:20" x14ac:dyDescent="0.3">
      <c r="A826" s="2" t="s">
        <v>1412</v>
      </c>
      <c r="B826" s="3">
        <v>45708</v>
      </c>
      <c r="C826" s="2" t="s">
        <v>538</v>
      </c>
      <c r="D826" s="2" t="s">
        <v>539</v>
      </c>
      <c r="E826" s="2" t="s">
        <v>23</v>
      </c>
      <c r="F826" s="2">
        <v>49</v>
      </c>
      <c r="G826" s="2" t="s">
        <v>46</v>
      </c>
      <c r="H826" s="2" t="s">
        <v>25</v>
      </c>
      <c r="I826" s="2" t="s">
        <v>92</v>
      </c>
      <c r="J826" s="2" t="s">
        <v>93</v>
      </c>
      <c r="K826" s="2" t="s">
        <v>87</v>
      </c>
      <c r="L826" s="2" t="s">
        <v>94</v>
      </c>
      <c r="M826" s="2">
        <v>5</v>
      </c>
      <c r="N826" s="2">
        <v>6795.75</v>
      </c>
      <c r="O826" s="2">
        <v>4650</v>
      </c>
      <c r="P826" s="2">
        <v>15</v>
      </c>
      <c r="Q826" s="2" t="s">
        <v>30</v>
      </c>
      <c r="R826" s="2" t="s">
        <v>42</v>
      </c>
      <c r="S826" s="3">
        <v>45718</v>
      </c>
      <c r="T826" s="6">
        <v>3</v>
      </c>
    </row>
    <row r="827" spans="1:20" x14ac:dyDescent="0.3">
      <c r="A827" s="2" t="s">
        <v>1413</v>
      </c>
      <c r="B827" s="3">
        <v>45543</v>
      </c>
      <c r="C827" s="2" t="s">
        <v>886</v>
      </c>
      <c r="D827" s="2" t="s">
        <v>887</v>
      </c>
      <c r="E827" s="2" t="s">
        <v>77</v>
      </c>
      <c r="F827" s="2">
        <v>49</v>
      </c>
      <c r="G827" s="2" t="s">
        <v>122</v>
      </c>
      <c r="H827" s="2" t="s">
        <v>123</v>
      </c>
      <c r="I827" s="2" t="s">
        <v>222</v>
      </c>
      <c r="J827" s="2" t="s">
        <v>223</v>
      </c>
      <c r="K827" s="2" t="s">
        <v>114</v>
      </c>
      <c r="L827" s="2" t="s">
        <v>115</v>
      </c>
      <c r="M827" s="2">
        <v>4</v>
      </c>
      <c r="N827" s="2">
        <v>3596</v>
      </c>
      <c r="O827" s="2">
        <v>2040</v>
      </c>
      <c r="P827" s="2">
        <v>0</v>
      </c>
      <c r="Q827" s="2" t="s">
        <v>73</v>
      </c>
      <c r="R827" s="2" t="s">
        <v>57</v>
      </c>
      <c r="S827" s="3">
        <v>45552</v>
      </c>
      <c r="T827" s="6">
        <v>4</v>
      </c>
    </row>
    <row r="828" spans="1:20" x14ac:dyDescent="0.3">
      <c r="A828" s="2" t="s">
        <v>1414</v>
      </c>
      <c r="B828" s="3">
        <v>45960</v>
      </c>
      <c r="C828" s="2" t="s">
        <v>190</v>
      </c>
      <c r="D828" s="2" t="s">
        <v>191</v>
      </c>
      <c r="E828" s="2" t="s">
        <v>23</v>
      </c>
      <c r="F828" s="2">
        <v>45</v>
      </c>
      <c r="G828" s="2" t="s">
        <v>161</v>
      </c>
      <c r="H828" s="2" t="s">
        <v>25</v>
      </c>
      <c r="I828" s="2" t="s">
        <v>26</v>
      </c>
      <c r="J828" s="2" t="s">
        <v>27</v>
      </c>
      <c r="K828" s="2" t="s">
        <v>28</v>
      </c>
      <c r="L828" s="2" t="s">
        <v>29</v>
      </c>
      <c r="M828" s="2">
        <v>4</v>
      </c>
      <c r="N828" s="2">
        <v>4156.8</v>
      </c>
      <c r="O828" s="2">
        <v>3160</v>
      </c>
      <c r="P828" s="2">
        <v>20</v>
      </c>
      <c r="Q828" s="2" t="s">
        <v>50</v>
      </c>
      <c r="R828" s="2" t="s">
        <v>42</v>
      </c>
      <c r="S828" s="3">
        <v>45972</v>
      </c>
      <c r="T828" s="6">
        <v>5</v>
      </c>
    </row>
    <row r="829" spans="1:20" x14ac:dyDescent="0.3">
      <c r="A829" s="2" t="s">
        <v>1415</v>
      </c>
      <c r="B829" s="3">
        <v>45651</v>
      </c>
      <c r="C829" s="2" t="s">
        <v>904</v>
      </c>
      <c r="D829" s="2" t="s">
        <v>358</v>
      </c>
      <c r="E829" s="2" t="s">
        <v>23</v>
      </c>
      <c r="F829" s="2">
        <v>48</v>
      </c>
      <c r="G829" s="2" t="s">
        <v>35</v>
      </c>
      <c r="H829" s="2" t="s">
        <v>36</v>
      </c>
      <c r="I829" s="2" t="s">
        <v>26</v>
      </c>
      <c r="J829" s="2" t="s">
        <v>27</v>
      </c>
      <c r="K829" s="2" t="s">
        <v>28</v>
      </c>
      <c r="L829" s="2" t="s">
        <v>29</v>
      </c>
      <c r="M829" s="2">
        <v>2</v>
      </c>
      <c r="N829" s="2">
        <v>2468.1</v>
      </c>
      <c r="O829" s="2">
        <v>1580</v>
      </c>
      <c r="P829" s="2">
        <v>5</v>
      </c>
      <c r="Q829" s="2" t="s">
        <v>41</v>
      </c>
      <c r="R829" s="2" t="s">
        <v>42</v>
      </c>
      <c r="S829" s="3">
        <v>45659</v>
      </c>
      <c r="T829" s="6">
        <v>3</v>
      </c>
    </row>
    <row r="830" spans="1:20" x14ac:dyDescent="0.3">
      <c r="A830" s="2" t="s">
        <v>1416</v>
      </c>
      <c r="B830" s="3">
        <v>45435</v>
      </c>
      <c r="C830" s="2" t="s">
        <v>1417</v>
      </c>
      <c r="D830" s="2" t="s">
        <v>1418</v>
      </c>
      <c r="E830" s="2" t="s">
        <v>77</v>
      </c>
      <c r="F830" s="2">
        <v>43</v>
      </c>
      <c r="G830" s="2" t="s">
        <v>207</v>
      </c>
      <c r="H830" s="2" t="s">
        <v>36</v>
      </c>
      <c r="I830" s="2" t="s">
        <v>134</v>
      </c>
      <c r="J830" s="2" t="s">
        <v>135</v>
      </c>
      <c r="K830" s="2" t="s">
        <v>39</v>
      </c>
      <c r="L830" s="2" t="s">
        <v>136</v>
      </c>
      <c r="M830" s="2">
        <v>2</v>
      </c>
      <c r="N830" s="2">
        <v>298.5</v>
      </c>
      <c r="O830" s="2">
        <v>180</v>
      </c>
      <c r="P830" s="2">
        <v>25</v>
      </c>
      <c r="Q830" s="2" t="s">
        <v>41</v>
      </c>
      <c r="R830" s="2" t="s">
        <v>31</v>
      </c>
      <c r="S830" s="3">
        <v>45441</v>
      </c>
      <c r="T830" s="6">
        <v>5</v>
      </c>
    </row>
    <row r="831" spans="1:20" x14ac:dyDescent="0.3">
      <c r="A831" s="2" t="s">
        <v>1419</v>
      </c>
      <c r="B831" s="3">
        <v>45571</v>
      </c>
      <c r="C831" s="2" t="s">
        <v>706</v>
      </c>
      <c r="D831" s="2" t="s">
        <v>303</v>
      </c>
      <c r="E831" s="2" t="s">
        <v>77</v>
      </c>
      <c r="F831" s="2">
        <v>40</v>
      </c>
      <c r="G831" s="2" t="s">
        <v>126</v>
      </c>
      <c r="H831" s="2" t="s">
        <v>127</v>
      </c>
      <c r="I831" s="2" t="s">
        <v>183</v>
      </c>
      <c r="J831" s="2" t="s">
        <v>184</v>
      </c>
      <c r="K831" s="2" t="s">
        <v>130</v>
      </c>
      <c r="L831" s="2" t="s">
        <v>185</v>
      </c>
      <c r="M831" s="2">
        <v>2</v>
      </c>
      <c r="N831" s="2">
        <v>4798.8</v>
      </c>
      <c r="O831" s="2">
        <v>6100</v>
      </c>
      <c r="P831" s="2">
        <v>40</v>
      </c>
      <c r="Q831" s="2" t="s">
        <v>50</v>
      </c>
      <c r="R831" s="2" t="s">
        <v>42</v>
      </c>
      <c r="S831" s="3">
        <v>45573</v>
      </c>
      <c r="T831" s="6">
        <v>3</v>
      </c>
    </row>
    <row r="832" spans="1:20" x14ac:dyDescent="0.3">
      <c r="A832" s="2" t="s">
        <v>1420</v>
      </c>
      <c r="B832" s="3">
        <v>45953</v>
      </c>
      <c r="C832" s="2" t="s">
        <v>1247</v>
      </c>
      <c r="D832" s="2" t="s">
        <v>323</v>
      </c>
      <c r="E832" s="2" t="s">
        <v>23</v>
      </c>
      <c r="F832" s="2">
        <v>33</v>
      </c>
      <c r="G832" s="2" t="s">
        <v>101</v>
      </c>
      <c r="H832" s="2" t="s">
        <v>102</v>
      </c>
      <c r="I832" s="2" t="s">
        <v>80</v>
      </c>
      <c r="J832" s="2" t="s">
        <v>81</v>
      </c>
      <c r="K832" s="2" t="s">
        <v>28</v>
      </c>
      <c r="L832" s="2" t="s">
        <v>29</v>
      </c>
      <c r="M832" s="2">
        <v>1</v>
      </c>
      <c r="N832" s="2">
        <v>719.1</v>
      </c>
      <c r="O832" s="2">
        <v>470</v>
      </c>
      <c r="P832" s="2">
        <v>10</v>
      </c>
      <c r="Q832" s="2" t="s">
        <v>103</v>
      </c>
      <c r="R832" s="2" t="s">
        <v>65</v>
      </c>
      <c r="S832" s="3" t="s">
        <v>1604</v>
      </c>
      <c r="T832" s="6" t="s">
        <v>1604</v>
      </c>
    </row>
    <row r="833" spans="1:20" x14ac:dyDescent="0.3">
      <c r="A833" s="2" t="s">
        <v>1421</v>
      </c>
      <c r="B833" s="3">
        <v>46005</v>
      </c>
      <c r="C833" s="2" t="s">
        <v>1422</v>
      </c>
      <c r="D833" s="2" t="s">
        <v>402</v>
      </c>
      <c r="E833" s="2" t="s">
        <v>23</v>
      </c>
      <c r="F833" s="2">
        <v>41</v>
      </c>
      <c r="G833" s="2" t="s">
        <v>165</v>
      </c>
      <c r="H833" s="2" t="s">
        <v>166</v>
      </c>
      <c r="I833" s="2" t="s">
        <v>222</v>
      </c>
      <c r="J833" s="2" t="s">
        <v>223</v>
      </c>
      <c r="K833" s="2" t="s">
        <v>114</v>
      </c>
      <c r="L833" s="2" t="s">
        <v>115</v>
      </c>
      <c r="M833" s="2">
        <v>1</v>
      </c>
      <c r="N833" s="2">
        <v>854.05</v>
      </c>
      <c r="O833" s="2">
        <v>510</v>
      </c>
      <c r="P833" s="2">
        <v>5</v>
      </c>
      <c r="Q833" s="2" t="s">
        <v>50</v>
      </c>
      <c r="R833" s="2" t="s">
        <v>42</v>
      </c>
      <c r="S833" s="3">
        <v>46017</v>
      </c>
      <c r="T833" s="6">
        <v>5</v>
      </c>
    </row>
    <row r="834" spans="1:20" x14ac:dyDescent="0.3">
      <c r="A834" s="2" t="s">
        <v>1423</v>
      </c>
      <c r="B834" s="3">
        <v>45980</v>
      </c>
      <c r="C834" s="2" t="s">
        <v>404</v>
      </c>
      <c r="D834" s="2" t="s">
        <v>326</v>
      </c>
      <c r="E834" s="2" t="s">
        <v>23</v>
      </c>
      <c r="F834" s="2">
        <v>54</v>
      </c>
      <c r="G834" s="2" t="s">
        <v>211</v>
      </c>
      <c r="H834" s="2" t="s">
        <v>127</v>
      </c>
      <c r="I834" s="2" t="s">
        <v>47</v>
      </c>
      <c r="J834" s="2" t="s">
        <v>48</v>
      </c>
      <c r="K834" s="2" t="s">
        <v>39</v>
      </c>
      <c r="L834" s="2" t="s">
        <v>49</v>
      </c>
      <c r="M834" s="2">
        <v>5</v>
      </c>
      <c r="N834" s="2">
        <v>1496.25</v>
      </c>
      <c r="O834" s="2">
        <v>1050</v>
      </c>
      <c r="P834" s="2">
        <v>25</v>
      </c>
      <c r="Q834" s="2" t="s">
        <v>103</v>
      </c>
      <c r="R834" s="2" t="s">
        <v>42</v>
      </c>
      <c r="S834" s="3">
        <v>45982</v>
      </c>
      <c r="T834" s="6">
        <v>3</v>
      </c>
    </row>
    <row r="835" spans="1:20" x14ac:dyDescent="0.3">
      <c r="A835" s="2" t="s">
        <v>1424</v>
      </c>
      <c r="B835" s="3">
        <v>45765</v>
      </c>
      <c r="C835" s="2" t="s">
        <v>294</v>
      </c>
      <c r="D835" s="2" t="s">
        <v>295</v>
      </c>
      <c r="E835" s="2" t="s">
        <v>77</v>
      </c>
      <c r="F835" s="2">
        <v>31</v>
      </c>
      <c r="G835" s="2" t="s">
        <v>154</v>
      </c>
      <c r="H835" s="2" t="s">
        <v>91</v>
      </c>
      <c r="I835" s="2" t="s">
        <v>63</v>
      </c>
      <c r="J835" s="2" t="s">
        <v>64</v>
      </c>
      <c r="K835" s="2" t="s">
        <v>39</v>
      </c>
      <c r="L835" s="2" t="s">
        <v>40</v>
      </c>
      <c r="M835" s="2">
        <v>1</v>
      </c>
      <c r="N835" s="2">
        <v>509.15</v>
      </c>
      <c r="O835" s="2">
        <v>330</v>
      </c>
      <c r="P835" s="2">
        <v>15</v>
      </c>
      <c r="Q835" s="2" t="s">
        <v>73</v>
      </c>
      <c r="R835" s="2" t="s">
        <v>57</v>
      </c>
      <c r="S835" s="3">
        <v>45771</v>
      </c>
      <c r="T835" s="6">
        <v>4</v>
      </c>
    </row>
    <row r="836" spans="1:20" x14ac:dyDescent="0.3">
      <c r="A836" s="2" t="s">
        <v>1425</v>
      </c>
      <c r="B836" s="3">
        <v>45488</v>
      </c>
      <c r="C836" s="2" t="s">
        <v>105</v>
      </c>
      <c r="D836" s="2" t="s">
        <v>106</v>
      </c>
      <c r="E836" s="2" t="s">
        <v>77</v>
      </c>
      <c r="F836" s="2">
        <v>45</v>
      </c>
      <c r="G836" s="2" t="s">
        <v>35</v>
      </c>
      <c r="H836" s="2" t="s">
        <v>36</v>
      </c>
      <c r="I836" s="2" t="s">
        <v>85</v>
      </c>
      <c r="J836" s="2" t="s">
        <v>86</v>
      </c>
      <c r="K836" s="2" t="s">
        <v>87</v>
      </c>
      <c r="L836" s="2" t="s">
        <v>88</v>
      </c>
      <c r="M836" s="2">
        <v>2</v>
      </c>
      <c r="N836" s="2">
        <v>2378.3000000000002</v>
      </c>
      <c r="O836" s="2">
        <v>1580</v>
      </c>
      <c r="P836" s="2">
        <v>15</v>
      </c>
      <c r="Q836" s="2" t="s">
        <v>103</v>
      </c>
      <c r="R836" s="2" t="s">
        <v>42</v>
      </c>
      <c r="S836" s="3">
        <v>45490</v>
      </c>
      <c r="T836" s="6">
        <v>4</v>
      </c>
    </row>
    <row r="837" spans="1:20" x14ac:dyDescent="0.3">
      <c r="A837" s="2" t="s">
        <v>1426</v>
      </c>
      <c r="B837" s="3">
        <v>45796</v>
      </c>
      <c r="C837" s="2" t="s">
        <v>849</v>
      </c>
      <c r="D837" s="2" t="s">
        <v>850</v>
      </c>
      <c r="E837" s="2" t="s">
        <v>23</v>
      </c>
      <c r="F837" s="2">
        <v>21</v>
      </c>
      <c r="G837" s="2" t="s">
        <v>161</v>
      </c>
      <c r="H837" s="2" t="s">
        <v>25</v>
      </c>
      <c r="I837" s="2" t="s">
        <v>70</v>
      </c>
      <c r="J837" s="2" t="s">
        <v>71</v>
      </c>
      <c r="K837" s="2" t="s">
        <v>28</v>
      </c>
      <c r="L837" s="2" t="s">
        <v>72</v>
      </c>
      <c r="M837" s="2">
        <v>4</v>
      </c>
      <c r="N837" s="2">
        <v>5696.2</v>
      </c>
      <c r="O837" s="2">
        <v>3680</v>
      </c>
      <c r="P837" s="2">
        <v>5</v>
      </c>
      <c r="Q837" s="2" t="s">
        <v>41</v>
      </c>
      <c r="R837" s="2" t="s">
        <v>65</v>
      </c>
      <c r="S837" s="3" t="s">
        <v>1604</v>
      </c>
      <c r="T837" s="6" t="s">
        <v>1604</v>
      </c>
    </row>
    <row r="838" spans="1:20" x14ac:dyDescent="0.3">
      <c r="A838" s="2" t="s">
        <v>1427</v>
      </c>
      <c r="B838" s="3">
        <v>45804</v>
      </c>
      <c r="C838" s="2" t="s">
        <v>1339</v>
      </c>
      <c r="D838" s="2" t="s">
        <v>1340</v>
      </c>
      <c r="E838" s="2" t="s">
        <v>23</v>
      </c>
      <c r="F838" s="2">
        <v>25</v>
      </c>
      <c r="G838" s="2" t="s">
        <v>78</v>
      </c>
      <c r="H838" s="2" t="s">
        <v>79</v>
      </c>
      <c r="I838" s="2" t="s">
        <v>222</v>
      </c>
      <c r="J838" s="2" t="s">
        <v>223</v>
      </c>
      <c r="K838" s="2" t="s">
        <v>114</v>
      </c>
      <c r="L838" s="2" t="s">
        <v>115</v>
      </c>
      <c r="M838" s="2">
        <v>2</v>
      </c>
      <c r="N838" s="2">
        <v>1618.2</v>
      </c>
      <c r="O838" s="2">
        <v>1020</v>
      </c>
      <c r="P838" s="2">
        <v>10</v>
      </c>
      <c r="Q838" s="2" t="s">
        <v>73</v>
      </c>
      <c r="R838" s="2" t="s">
        <v>65</v>
      </c>
      <c r="S838" s="3" t="s">
        <v>1604</v>
      </c>
      <c r="T838" s="6" t="s">
        <v>1604</v>
      </c>
    </row>
    <row r="839" spans="1:20" x14ac:dyDescent="0.3">
      <c r="A839" s="2" t="s">
        <v>1428</v>
      </c>
      <c r="B839" s="3">
        <v>45423</v>
      </c>
      <c r="C839" s="2" t="s">
        <v>769</v>
      </c>
      <c r="D839" s="2" t="s">
        <v>326</v>
      </c>
      <c r="E839" s="2" t="s">
        <v>23</v>
      </c>
      <c r="F839" s="2">
        <v>20</v>
      </c>
      <c r="G839" s="2" t="s">
        <v>173</v>
      </c>
      <c r="H839" s="2" t="s">
        <v>79</v>
      </c>
      <c r="I839" s="2" t="s">
        <v>128</v>
      </c>
      <c r="J839" s="2" t="s">
        <v>129</v>
      </c>
      <c r="K839" s="2" t="s">
        <v>130</v>
      </c>
      <c r="L839" s="2" t="s">
        <v>131</v>
      </c>
      <c r="M839" s="2">
        <v>5</v>
      </c>
      <c r="N839" s="2">
        <v>27620.75</v>
      </c>
      <c r="O839" s="2">
        <v>25500</v>
      </c>
      <c r="P839" s="2">
        <v>15</v>
      </c>
      <c r="Q839" s="2" t="s">
        <v>50</v>
      </c>
      <c r="R839" s="2" t="s">
        <v>31</v>
      </c>
      <c r="S839" s="3">
        <v>45429</v>
      </c>
      <c r="T839" s="6">
        <v>4</v>
      </c>
    </row>
    <row r="840" spans="1:20" x14ac:dyDescent="0.3">
      <c r="A840" s="2" t="s">
        <v>1429</v>
      </c>
      <c r="B840" s="3">
        <v>45986</v>
      </c>
      <c r="C840" s="2" t="s">
        <v>1064</v>
      </c>
      <c r="D840" s="2" t="s">
        <v>182</v>
      </c>
      <c r="E840" s="2" t="s">
        <v>23</v>
      </c>
      <c r="F840" s="2">
        <v>45</v>
      </c>
      <c r="G840" s="2" t="s">
        <v>207</v>
      </c>
      <c r="H840" s="2" t="s">
        <v>36</v>
      </c>
      <c r="I840" s="2" t="s">
        <v>107</v>
      </c>
      <c r="J840" s="2" t="s">
        <v>108</v>
      </c>
      <c r="K840" s="2" t="s">
        <v>87</v>
      </c>
      <c r="L840" s="2" t="s">
        <v>88</v>
      </c>
      <c r="M840" s="2">
        <v>5</v>
      </c>
      <c r="N840" s="2">
        <v>2397</v>
      </c>
      <c r="O840" s="2">
        <v>2100</v>
      </c>
      <c r="P840" s="2">
        <v>40</v>
      </c>
      <c r="Q840" s="2" t="s">
        <v>73</v>
      </c>
      <c r="R840" s="2" t="s">
        <v>42</v>
      </c>
      <c r="S840" s="3">
        <v>45998</v>
      </c>
      <c r="T840" s="6">
        <v>2</v>
      </c>
    </row>
    <row r="841" spans="1:20" x14ac:dyDescent="0.3">
      <c r="A841" s="2" t="s">
        <v>1430</v>
      </c>
      <c r="B841" s="3">
        <v>45622</v>
      </c>
      <c r="C841" s="2" t="s">
        <v>1146</v>
      </c>
      <c r="D841" s="2" t="s">
        <v>1147</v>
      </c>
      <c r="E841" s="2" t="s">
        <v>77</v>
      </c>
      <c r="F841" s="2">
        <v>47</v>
      </c>
      <c r="G841" s="2" t="s">
        <v>122</v>
      </c>
      <c r="H841" s="2" t="s">
        <v>123</v>
      </c>
      <c r="I841" s="2" t="s">
        <v>128</v>
      </c>
      <c r="J841" s="2" t="s">
        <v>129</v>
      </c>
      <c r="K841" s="2" t="s">
        <v>130</v>
      </c>
      <c r="L841" s="2" t="s">
        <v>131</v>
      </c>
      <c r="M841" s="2">
        <v>1</v>
      </c>
      <c r="N841" s="2">
        <v>3899.4</v>
      </c>
      <c r="O841" s="2">
        <v>5100</v>
      </c>
      <c r="P841" s="2">
        <v>40</v>
      </c>
      <c r="Q841" s="2" t="s">
        <v>103</v>
      </c>
      <c r="R841" s="2" t="s">
        <v>42</v>
      </c>
      <c r="S841" s="3">
        <v>45632</v>
      </c>
      <c r="T841" s="6">
        <v>2</v>
      </c>
    </row>
    <row r="842" spans="1:20" x14ac:dyDescent="0.3">
      <c r="A842" s="2" t="s">
        <v>1431</v>
      </c>
      <c r="B842" s="3">
        <v>45521</v>
      </c>
      <c r="C842" s="2" t="s">
        <v>809</v>
      </c>
      <c r="D842" s="2" t="s">
        <v>810</v>
      </c>
      <c r="E842" s="2" t="s">
        <v>77</v>
      </c>
      <c r="F842" s="2">
        <v>41</v>
      </c>
      <c r="G842" s="2" t="s">
        <v>207</v>
      </c>
      <c r="H842" s="2" t="s">
        <v>36</v>
      </c>
      <c r="I842" s="2" t="s">
        <v>134</v>
      </c>
      <c r="J842" s="2" t="s">
        <v>135</v>
      </c>
      <c r="K842" s="2" t="s">
        <v>39</v>
      </c>
      <c r="L842" s="2" t="s">
        <v>136</v>
      </c>
      <c r="M842" s="2">
        <v>5</v>
      </c>
      <c r="N842" s="2">
        <v>597</v>
      </c>
      <c r="O842" s="2">
        <v>450</v>
      </c>
      <c r="P842" s="2">
        <v>40</v>
      </c>
      <c r="Q842" s="2" t="s">
        <v>41</v>
      </c>
      <c r="R842" s="2" t="s">
        <v>42</v>
      </c>
      <c r="S842" s="3">
        <v>45529</v>
      </c>
      <c r="T842" s="6">
        <v>4</v>
      </c>
    </row>
    <row r="843" spans="1:20" x14ac:dyDescent="0.3">
      <c r="A843" s="2" t="s">
        <v>1432</v>
      </c>
      <c r="B843" s="3">
        <v>45634</v>
      </c>
      <c r="C843" s="2" t="s">
        <v>297</v>
      </c>
      <c r="D843" s="2" t="s">
        <v>298</v>
      </c>
      <c r="E843" s="2" t="s">
        <v>1433</v>
      </c>
      <c r="F843" s="2">
        <v>55</v>
      </c>
      <c r="G843" s="2" t="s">
        <v>161</v>
      </c>
      <c r="H843" s="2" t="s">
        <v>25</v>
      </c>
      <c r="I843" s="2" t="s">
        <v>177</v>
      </c>
      <c r="J843" s="2" t="s">
        <v>178</v>
      </c>
      <c r="K843" s="2" t="s">
        <v>87</v>
      </c>
      <c r="L843" s="2" t="s">
        <v>179</v>
      </c>
      <c r="M843" s="2">
        <v>2</v>
      </c>
      <c r="N843" s="2">
        <v>3498.6</v>
      </c>
      <c r="O843" s="2">
        <v>3240</v>
      </c>
      <c r="P843" s="2">
        <v>30</v>
      </c>
      <c r="Q843" s="2" t="s">
        <v>73</v>
      </c>
      <c r="R843" s="2" t="s">
        <v>42</v>
      </c>
      <c r="S843" s="3">
        <v>45639</v>
      </c>
      <c r="T843" s="6">
        <v>3</v>
      </c>
    </row>
    <row r="844" spans="1:20" x14ac:dyDescent="0.3">
      <c r="A844" s="2" t="s">
        <v>1434</v>
      </c>
      <c r="B844" s="3">
        <v>45629</v>
      </c>
      <c r="C844" s="2" t="s">
        <v>999</v>
      </c>
      <c r="D844" s="2" t="s">
        <v>210</v>
      </c>
      <c r="E844" s="2" t="s">
        <v>23</v>
      </c>
      <c r="F844" s="2">
        <v>47</v>
      </c>
      <c r="G844" s="2" t="s">
        <v>46</v>
      </c>
      <c r="H844" s="2" t="s">
        <v>25</v>
      </c>
      <c r="I844" s="2" t="s">
        <v>92</v>
      </c>
      <c r="J844" s="2" t="s">
        <v>93</v>
      </c>
      <c r="K844" s="2" t="s">
        <v>87</v>
      </c>
      <c r="L844" s="2" t="s">
        <v>94</v>
      </c>
      <c r="M844" s="2">
        <v>1</v>
      </c>
      <c r="N844" s="2">
        <v>1599</v>
      </c>
      <c r="O844" s="2">
        <v>930</v>
      </c>
      <c r="P844" s="2">
        <v>0</v>
      </c>
      <c r="Q844" s="2" t="s">
        <v>103</v>
      </c>
      <c r="R844" s="2" t="s">
        <v>42</v>
      </c>
      <c r="S844" s="3">
        <v>45631</v>
      </c>
      <c r="T844" s="6">
        <v>4</v>
      </c>
    </row>
    <row r="845" spans="1:20" x14ac:dyDescent="0.3">
      <c r="A845" s="2" t="s">
        <v>1435</v>
      </c>
      <c r="B845" s="3">
        <v>45548</v>
      </c>
      <c r="C845" s="2" t="s">
        <v>343</v>
      </c>
      <c r="D845" s="2" t="s">
        <v>188</v>
      </c>
      <c r="E845" s="2" t="s">
        <v>23</v>
      </c>
      <c r="F845" s="2">
        <v>41</v>
      </c>
      <c r="G845" s="2" t="s">
        <v>69</v>
      </c>
      <c r="H845" s="2" t="s">
        <v>69</v>
      </c>
      <c r="I845" s="2" t="s">
        <v>37</v>
      </c>
      <c r="J845" s="2" t="s">
        <v>38</v>
      </c>
      <c r="K845" s="2" t="s">
        <v>39</v>
      </c>
      <c r="L845" s="2" t="s">
        <v>40</v>
      </c>
      <c r="M845" s="2">
        <v>2</v>
      </c>
      <c r="N845" s="2">
        <v>1348.5</v>
      </c>
      <c r="O845" s="2">
        <v>1040</v>
      </c>
      <c r="P845" s="2">
        <v>25</v>
      </c>
      <c r="Q845" s="2" t="s">
        <v>73</v>
      </c>
      <c r="R845" s="2" t="s">
        <v>57</v>
      </c>
      <c r="S845" s="3">
        <v>45555</v>
      </c>
      <c r="T845" s="6">
        <v>4</v>
      </c>
    </row>
    <row r="846" spans="1:20" x14ac:dyDescent="0.3">
      <c r="A846" s="2" t="s">
        <v>1436</v>
      </c>
      <c r="B846" s="3">
        <v>45366</v>
      </c>
      <c r="C846" s="2" t="s">
        <v>996</v>
      </c>
      <c r="D846" s="2" t="s">
        <v>997</v>
      </c>
      <c r="E846" s="2" t="s">
        <v>23</v>
      </c>
      <c r="F846" s="2">
        <v>54</v>
      </c>
      <c r="G846" s="2" t="s">
        <v>69</v>
      </c>
      <c r="H846" s="2" t="s">
        <v>69</v>
      </c>
      <c r="I846" s="2" t="s">
        <v>92</v>
      </c>
      <c r="J846" s="2" t="s">
        <v>93</v>
      </c>
      <c r="K846" s="2" t="s">
        <v>87</v>
      </c>
      <c r="L846" s="2" t="s">
        <v>94</v>
      </c>
      <c r="M846" s="2">
        <v>4</v>
      </c>
      <c r="N846" s="2">
        <v>6076.2</v>
      </c>
      <c r="O846" s="2">
        <v>3720</v>
      </c>
      <c r="P846" s="2">
        <v>5</v>
      </c>
      <c r="Q846" s="2" t="s">
        <v>73</v>
      </c>
      <c r="R846" s="2" t="s">
        <v>42</v>
      </c>
      <c r="S846" s="3">
        <v>45368</v>
      </c>
      <c r="T846" s="6">
        <v>5</v>
      </c>
    </row>
    <row r="847" spans="1:20" x14ac:dyDescent="0.3">
      <c r="A847" s="2" t="s">
        <v>1437</v>
      </c>
      <c r="B847" s="3">
        <v>45612</v>
      </c>
      <c r="C847" s="2" t="s">
        <v>769</v>
      </c>
      <c r="D847" s="2" t="s">
        <v>326</v>
      </c>
      <c r="E847" s="2" t="s">
        <v>23</v>
      </c>
      <c r="F847" s="2">
        <v>20</v>
      </c>
      <c r="G847" s="2" t="s">
        <v>173</v>
      </c>
      <c r="H847" s="2" t="s">
        <v>79</v>
      </c>
      <c r="I847" s="2" t="s">
        <v>26</v>
      </c>
      <c r="J847" s="2" t="s">
        <v>27</v>
      </c>
      <c r="K847" s="2" t="s">
        <v>28</v>
      </c>
      <c r="L847" s="2" t="s">
        <v>29</v>
      </c>
      <c r="M847" s="2">
        <v>4</v>
      </c>
      <c r="N847" s="2">
        <v>5196</v>
      </c>
      <c r="O847" s="2">
        <v>3160</v>
      </c>
      <c r="P847" s="2">
        <v>0</v>
      </c>
      <c r="Q847" s="2" t="s">
        <v>41</v>
      </c>
      <c r="R847" s="2" t="s">
        <v>65</v>
      </c>
      <c r="S847" s="3" t="s">
        <v>1604</v>
      </c>
      <c r="T847" s="6" t="s">
        <v>1604</v>
      </c>
    </row>
    <row r="848" spans="1:20" x14ac:dyDescent="0.3">
      <c r="A848" s="2" t="s">
        <v>1438</v>
      </c>
      <c r="B848" s="3">
        <v>45933</v>
      </c>
      <c r="C848" s="2" t="s">
        <v>1146</v>
      </c>
      <c r="D848" s="2" t="s">
        <v>1147</v>
      </c>
      <c r="E848" s="2" t="s">
        <v>77</v>
      </c>
      <c r="F848" s="2">
        <v>47</v>
      </c>
      <c r="G848" s="2" t="s">
        <v>46</v>
      </c>
      <c r="H848" s="2" t="s">
        <v>25</v>
      </c>
      <c r="I848" s="2" t="s">
        <v>229</v>
      </c>
      <c r="J848" s="2" t="s">
        <v>230</v>
      </c>
      <c r="K848" s="2" t="s">
        <v>28</v>
      </c>
      <c r="L848" s="2" t="s">
        <v>231</v>
      </c>
      <c r="M848" s="2">
        <v>1</v>
      </c>
      <c r="N848" s="2">
        <v>1999</v>
      </c>
      <c r="O848" s="2">
        <v>1230</v>
      </c>
      <c r="P848" s="2">
        <v>0</v>
      </c>
      <c r="Q848" s="2" t="s">
        <v>41</v>
      </c>
      <c r="R848" s="2" t="s">
        <v>57</v>
      </c>
      <c r="S848" s="3">
        <v>45941</v>
      </c>
      <c r="T848" s="6">
        <v>5</v>
      </c>
    </row>
    <row r="849" spans="1:20" x14ac:dyDescent="0.3">
      <c r="A849" s="2" t="s">
        <v>1439</v>
      </c>
      <c r="B849" s="3">
        <v>45390</v>
      </c>
      <c r="C849" s="2" t="s">
        <v>918</v>
      </c>
      <c r="D849" s="2" t="s">
        <v>182</v>
      </c>
      <c r="E849" s="2" t="s">
        <v>23</v>
      </c>
      <c r="F849" s="2">
        <v>48</v>
      </c>
      <c r="G849" s="2" t="s">
        <v>90</v>
      </c>
      <c r="H849" s="2" t="s">
        <v>91</v>
      </c>
      <c r="I849" s="2" t="s">
        <v>155</v>
      </c>
      <c r="J849" s="2" t="s">
        <v>156</v>
      </c>
      <c r="K849" s="2" t="s">
        <v>114</v>
      </c>
      <c r="L849" s="2" t="s">
        <v>157</v>
      </c>
      <c r="M849" s="2">
        <v>5</v>
      </c>
      <c r="N849" s="2">
        <v>4995</v>
      </c>
      <c r="O849" s="2">
        <v>3050</v>
      </c>
      <c r="P849" s="2">
        <v>0</v>
      </c>
      <c r="Q849" s="2" t="s">
        <v>103</v>
      </c>
      <c r="R849" s="2" t="s">
        <v>42</v>
      </c>
      <c r="S849" s="3">
        <v>45399</v>
      </c>
      <c r="T849" s="6">
        <v>5</v>
      </c>
    </row>
    <row r="850" spans="1:20" x14ac:dyDescent="0.3">
      <c r="A850" s="2" t="s">
        <v>1440</v>
      </c>
      <c r="B850" s="3">
        <v>45927</v>
      </c>
      <c r="C850" s="2" t="s">
        <v>723</v>
      </c>
      <c r="D850" s="2" t="s">
        <v>724</v>
      </c>
      <c r="E850" s="2" t="s">
        <v>77</v>
      </c>
      <c r="F850" s="2">
        <v>35</v>
      </c>
      <c r="G850" s="2" t="s">
        <v>126</v>
      </c>
      <c r="H850" s="2" t="s">
        <v>127</v>
      </c>
      <c r="I850" s="2" t="s">
        <v>92</v>
      </c>
      <c r="J850" s="2" t="s">
        <v>93</v>
      </c>
      <c r="K850" s="2" t="s">
        <v>87</v>
      </c>
      <c r="L850" s="2" t="s">
        <v>94</v>
      </c>
      <c r="M850" s="2">
        <v>1</v>
      </c>
      <c r="N850" s="2">
        <v>959.4</v>
      </c>
      <c r="O850" s="2">
        <v>930</v>
      </c>
      <c r="P850" s="2">
        <v>40</v>
      </c>
      <c r="Q850" s="2" t="s">
        <v>50</v>
      </c>
      <c r="R850" s="2" t="s">
        <v>42</v>
      </c>
      <c r="S850" s="3">
        <v>45938</v>
      </c>
      <c r="T850" s="6">
        <v>4</v>
      </c>
    </row>
    <row r="851" spans="1:20" x14ac:dyDescent="0.3">
      <c r="A851" s="2" t="s">
        <v>1441</v>
      </c>
      <c r="B851" s="3">
        <v>45402</v>
      </c>
      <c r="C851" s="2" t="s">
        <v>650</v>
      </c>
      <c r="D851" s="2" t="s">
        <v>638</v>
      </c>
      <c r="E851" s="2" t="s">
        <v>77</v>
      </c>
      <c r="F851" s="2">
        <v>25</v>
      </c>
      <c r="G851" s="2" t="s">
        <v>161</v>
      </c>
      <c r="H851" s="2" t="s">
        <v>25</v>
      </c>
      <c r="I851" s="2" t="s">
        <v>155</v>
      </c>
      <c r="J851" s="2" t="s">
        <v>156</v>
      </c>
      <c r="K851" s="2" t="s">
        <v>114</v>
      </c>
      <c r="L851" s="2" t="s">
        <v>157</v>
      </c>
      <c r="M851" s="2">
        <v>1</v>
      </c>
      <c r="N851" s="2">
        <v>849.15</v>
      </c>
      <c r="O851" s="2">
        <v>610</v>
      </c>
      <c r="P851" s="2">
        <v>15</v>
      </c>
      <c r="Q851" s="2" t="s">
        <v>50</v>
      </c>
      <c r="R851" s="2" t="s">
        <v>42</v>
      </c>
      <c r="S851" s="3">
        <v>45414</v>
      </c>
      <c r="T851" s="6">
        <v>4</v>
      </c>
    </row>
    <row r="852" spans="1:20" x14ac:dyDescent="0.3">
      <c r="A852" s="2" t="s">
        <v>1442</v>
      </c>
      <c r="B852" s="3">
        <v>45655</v>
      </c>
      <c r="C852" s="2" t="s">
        <v>1443</v>
      </c>
      <c r="D852" s="2" t="s">
        <v>402</v>
      </c>
      <c r="E852" s="2" t="s">
        <v>23</v>
      </c>
      <c r="F852" s="2">
        <v>33</v>
      </c>
      <c r="G852" s="2" t="s">
        <v>101</v>
      </c>
      <c r="H852" s="2" t="s">
        <v>102</v>
      </c>
      <c r="I852" s="2" t="s">
        <v>177</v>
      </c>
      <c r="J852" s="2" t="s">
        <v>178</v>
      </c>
      <c r="K852" s="2" t="s">
        <v>87</v>
      </c>
      <c r="L852" s="2" t="s">
        <v>179</v>
      </c>
      <c r="M852" s="2">
        <v>5</v>
      </c>
      <c r="N852" s="2">
        <v>7497</v>
      </c>
      <c r="O852" s="2">
        <v>8100</v>
      </c>
      <c r="P852" s="2">
        <v>40</v>
      </c>
      <c r="Q852" s="2" t="s">
        <v>30</v>
      </c>
      <c r="R852" s="2" t="s">
        <v>42</v>
      </c>
      <c r="S852" s="3">
        <v>45659</v>
      </c>
      <c r="T852" s="6">
        <v>2</v>
      </c>
    </row>
    <row r="853" spans="1:20" x14ac:dyDescent="0.3">
      <c r="A853" s="2" t="s">
        <v>1444</v>
      </c>
      <c r="B853" s="3">
        <v>45353</v>
      </c>
      <c r="C853" s="2" t="s">
        <v>1445</v>
      </c>
      <c r="D853" s="2" t="s">
        <v>172</v>
      </c>
      <c r="E853" s="2" t="s">
        <v>23</v>
      </c>
      <c r="F853" s="2">
        <v>26</v>
      </c>
      <c r="G853" s="2" t="s">
        <v>35</v>
      </c>
      <c r="H853" s="2" t="s">
        <v>36</v>
      </c>
      <c r="I853" s="2" t="s">
        <v>198</v>
      </c>
      <c r="J853" s="2" t="s">
        <v>199</v>
      </c>
      <c r="K853" s="2" t="s">
        <v>114</v>
      </c>
      <c r="L853" s="2" t="s">
        <v>200</v>
      </c>
      <c r="M853" s="2">
        <v>4</v>
      </c>
      <c r="N853" s="2">
        <v>3897</v>
      </c>
      <c r="O853" s="2">
        <v>3040</v>
      </c>
      <c r="P853" s="2">
        <v>25</v>
      </c>
      <c r="Q853" s="2" t="s">
        <v>41</v>
      </c>
      <c r="R853" s="2" t="s">
        <v>65</v>
      </c>
      <c r="S853" s="3" t="s">
        <v>1604</v>
      </c>
      <c r="T853" s="6" t="s">
        <v>1604</v>
      </c>
    </row>
    <row r="854" spans="1:20" x14ac:dyDescent="0.3">
      <c r="A854" s="2" t="s">
        <v>1446</v>
      </c>
      <c r="B854" s="3">
        <v>45846</v>
      </c>
      <c r="C854" s="2" t="s">
        <v>193</v>
      </c>
      <c r="D854" s="2" t="s">
        <v>194</v>
      </c>
      <c r="E854" s="2" t="s">
        <v>23</v>
      </c>
      <c r="F854" s="2">
        <v>19</v>
      </c>
      <c r="G854" s="2" t="s">
        <v>173</v>
      </c>
      <c r="H854" s="2" t="s">
        <v>79</v>
      </c>
      <c r="I854" s="2" t="s">
        <v>37</v>
      </c>
      <c r="J854" s="2" t="s">
        <v>38</v>
      </c>
      <c r="K854" s="2" t="s">
        <v>39</v>
      </c>
      <c r="L854" s="2" t="s">
        <v>40</v>
      </c>
      <c r="M854" s="2">
        <v>3</v>
      </c>
      <c r="N854" s="2">
        <v>2022.75</v>
      </c>
      <c r="O854" s="2">
        <v>1560</v>
      </c>
      <c r="P854" s="2">
        <v>25</v>
      </c>
      <c r="Q854" s="2" t="s">
        <v>41</v>
      </c>
      <c r="R854" s="2" t="s">
        <v>42</v>
      </c>
      <c r="S854" s="3">
        <v>45848</v>
      </c>
      <c r="T854" s="6">
        <v>3</v>
      </c>
    </row>
    <row r="855" spans="1:20" x14ac:dyDescent="0.3">
      <c r="A855" s="2" t="s">
        <v>1447</v>
      </c>
      <c r="B855" s="3">
        <v>45350</v>
      </c>
      <c r="C855" s="2" t="s">
        <v>1448</v>
      </c>
      <c r="D855" s="2" t="s">
        <v>1449</v>
      </c>
      <c r="E855" s="2" t="s">
        <v>77</v>
      </c>
      <c r="F855" s="2">
        <v>22</v>
      </c>
      <c r="G855" s="2" t="s">
        <v>24</v>
      </c>
      <c r="H855" s="2" t="s">
        <v>25</v>
      </c>
      <c r="I855" s="2" t="s">
        <v>134</v>
      </c>
      <c r="J855" s="2" t="s">
        <v>135</v>
      </c>
      <c r="K855" s="2" t="s">
        <v>39</v>
      </c>
      <c r="L855" s="2" t="s">
        <v>136</v>
      </c>
      <c r="M855" s="2">
        <v>3</v>
      </c>
      <c r="N855" s="2">
        <v>507.45</v>
      </c>
      <c r="O855" s="2">
        <v>270</v>
      </c>
      <c r="P855" s="2">
        <v>15</v>
      </c>
      <c r="Q855" s="2" t="s">
        <v>30</v>
      </c>
      <c r="R855" s="2" t="s">
        <v>31</v>
      </c>
      <c r="S855" s="3">
        <v>45355</v>
      </c>
      <c r="T855" s="6">
        <v>3</v>
      </c>
    </row>
    <row r="856" spans="1:20" x14ac:dyDescent="0.3">
      <c r="A856" s="2" t="s">
        <v>1450</v>
      </c>
      <c r="B856" s="3">
        <v>45641</v>
      </c>
      <c r="C856" s="2" t="s">
        <v>550</v>
      </c>
      <c r="D856" s="2" t="s">
        <v>482</v>
      </c>
      <c r="E856" s="2" t="s">
        <v>23</v>
      </c>
      <c r="F856" s="2">
        <v>33</v>
      </c>
      <c r="G856" s="2" t="s">
        <v>101</v>
      </c>
      <c r="H856" s="2" t="s">
        <v>102</v>
      </c>
      <c r="I856" s="2" t="s">
        <v>85</v>
      </c>
      <c r="J856" s="2" t="s">
        <v>86</v>
      </c>
      <c r="K856" s="2" t="s">
        <v>87</v>
      </c>
      <c r="L856" s="2" t="s">
        <v>88</v>
      </c>
      <c r="M856" s="2">
        <v>4</v>
      </c>
      <c r="N856" s="2">
        <v>4197</v>
      </c>
      <c r="O856" s="2">
        <v>3160</v>
      </c>
      <c r="P856" s="2">
        <v>25</v>
      </c>
      <c r="Q856" s="2" t="s">
        <v>50</v>
      </c>
      <c r="R856" s="2" t="s">
        <v>65</v>
      </c>
      <c r="S856" s="3" t="s">
        <v>1604</v>
      </c>
      <c r="T856" s="6" t="s">
        <v>1604</v>
      </c>
    </row>
    <row r="857" spans="1:20" x14ac:dyDescent="0.3">
      <c r="A857" s="2" t="s">
        <v>1451</v>
      </c>
      <c r="B857" s="3">
        <v>45635</v>
      </c>
      <c r="C857" s="2" t="s">
        <v>1042</v>
      </c>
      <c r="D857" s="2" t="s">
        <v>238</v>
      </c>
      <c r="E857" s="2" t="s">
        <v>23</v>
      </c>
      <c r="F857" s="2">
        <v>33</v>
      </c>
      <c r="G857" s="2" t="s">
        <v>122</v>
      </c>
      <c r="H857" s="2" t="s">
        <v>123</v>
      </c>
      <c r="I857" s="2" t="s">
        <v>183</v>
      </c>
      <c r="J857" s="2" t="s">
        <v>184</v>
      </c>
      <c r="K857" s="2" t="s">
        <v>130</v>
      </c>
      <c r="L857" s="2" t="s">
        <v>185</v>
      </c>
      <c r="M857" s="2">
        <v>2</v>
      </c>
      <c r="N857" s="2">
        <v>7598.1</v>
      </c>
      <c r="O857" s="2">
        <v>6100</v>
      </c>
      <c r="P857" s="2">
        <v>5</v>
      </c>
      <c r="Q857" s="2" t="s">
        <v>103</v>
      </c>
      <c r="R857" s="2" t="s">
        <v>57</v>
      </c>
      <c r="S857" s="3">
        <v>45637</v>
      </c>
      <c r="T857" s="6">
        <v>5</v>
      </c>
    </row>
    <row r="858" spans="1:20" x14ac:dyDescent="0.3">
      <c r="A858" s="2" t="s">
        <v>1452</v>
      </c>
      <c r="B858" s="3">
        <v>45516</v>
      </c>
      <c r="C858" s="2" t="s">
        <v>1247</v>
      </c>
      <c r="D858" s="2" t="s">
        <v>323</v>
      </c>
      <c r="E858" s="2" t="s">
        <v>23</v>
      </c>
      <c r="F858" s="2">
        <v>33</v>
      </c>
      <c r="G858" s="2" t="s">
        <v>90</v>
      </c>
      <c r="H858" s="2" t="s">
        <v>91</v>
      </c>
      <c r="I858" s="2" t="s">
        <v>85</v>
      </c>
      <c r="J858" s="2" t="s">
        <v>86</v>
      </c>
      <c r="K858" s="2" t="s">
        <v>87</v>
      </c>
      <c r="L858" s="2" t="s">
        <v>88</v>
      </c>
      <c r="M858" s="2">
        <v>2</v>
      </c>
      <c r="N858" s="2">
        <v>1678.8</v>
      </c>
      <c r="O858" s="2">
        <v>1580</v>
      </c>
      <c r="P858" s="2">
        <v>40</v>
      </c>
      <c r="Q858" s="2" t="s">
        <v>50</v>
      </c>
      <c r="R858" s="2" t="s">
        <v>42</v>
      </c>
      <c r="S858" s="3">
        <v>45521</v>
      </c>
      <c r="T858" s="6">
        <v>5</v>
      </c>
    </row>
    <row r="859" spans="1:20" x14ac:dyDescent="0.3">
      <c r="A859" s="2" t="s">
        <v>1453</v>
      </c>
      <c r="B859" s="3">
        <v>45631</v>
      </c>
      <c r="C859" s="2" t="s">
        <v>1454</v>
      </c>
      <c r="D859" s="2" t="s">
        <v>1455</v>
      </c>
      <c r="E859" s="2" t="s">
        <v>77</v>
      </c>
      <c r="F859" s="2">
        <v>58</v>
      </c>
      <c r="G859" s="2" t="s">
        <v>154</v>
      </c>
      <c r="H859" s="2" t="s">
        <v>91</v>
      </c>
      <c r="I859" s="2" t="s">
        <v>47</v>
      </c>
      <c r="J859" s="2" t="s">
        <v>48</v>
      </c>
      <c r="K859" s="2" t="s">
        <v>39</v>
      </c>
      <c r="L859" s="2" t="s">
        <v>49</v>
      </c>
      <c r="M859" s="2">
        <v>2</v>
      </c>
      <c r="N859" s="2">
        <v>798</v>
      </c>
      <c r="O859" s="2">
        <v>420</v>
      </c>
      <c r="P859" s="2">
        <v>0</v>
      </c>
      <c r="Q859" s="2" t="s">
        <v>41</v>
      </c>
      <c r="R859" s="2" t="s">
        <v>42</v>
      </c>
      <c r="S859" s="3">
        <v>45634</v>
      </c>
      <c r="T859" s="6">
        <v>4</v>
      </c>
    </row>
    <row r="860" spans="1:20" x14ac:dyDescent="0.3">
      <c r="A860" s="2" t="s">
        <v>1456</v>
      </c>
      <c r="B860" s="3">
        <v>45322</v>
      </c>
      <c r="C860" s="2" t="s">
        <v>1417</v>
      </c>
      <c r="D860" s="2" t="s">
        <v>1418</v>
      </c>
      <c r="E860" s="2" t="s">
        <v>77</v>
      </c>
      <c r="F860" s="2">
        <v>43</v>
      </c>
      <c r="G860" s="2" t="s">
        <v>69</v>
      </c>
      <c r="H860" s="2" t="s">
        <v>69</v>
      </c>
      <c r="I860" s="2" t="s">
        <v>252</v>
      </c>
      <c r="J860" s="2" t="s">
        <v>253</v>
      </c>
      <c r="K860" s="2" t="s">
        <v>28</v>
      </c>
      <c r="L860" s="2" t="s">
        <v>254</v>
      </c>
      <c r="M860" s="2">
        <v>3</v>
      </c>
      <c r="N860" s="2">
        <v>5398.2</v>
      </c>
      <c r="O860" s="2">
        <v>5700</v>
      </c>
      <c r="P860" s="2">
        <v>40</v>
      </c>
      <c r="Q860" s="2" t="s">
        <v>30</v>
      </c>
      <c r="R860" s="2" t="s">
        <v>31</v>
      </c>
      <c r="S860" s="3">
        <v>45333</v>
      </c>
      <c r="T860" s="6">
        <v>4</v>
      </c>
    </row>
    <row r="861" spans="1:20" x14ac:dyDescent="0.3">
      <c r="A861" s="2" t="s">
        <v>1457</v>
      </c>
      <c r="B861" s="3">
        <v>45336</v>
      </c>
      <c r="C861" s="2" t="s">
        <v>266</v>
      </c>
      <c r="D861" s="2" t="s">
        <v>267</v>
      </c>
      <c r="E861" s="2" t="s">
        <v>77</v>
      </c>
      <c r="F861" s="2">
        <v>56</v>
      </c>
      <c r="G861" s="2" t="s">
        <v>154</v>
      </c>
      <c r="H861" s="2" t="s">
        <v>91</v>
      </c>
      <c r="I861" s="2" t="s">
        <v>70</v>
      </c>
      <c r="J861" s="2" t="s">
        <v>71</v>
      </c>
      <c r="K861" s="2" t="s">
        <v>28</v>
      </c>
      <c r="L861" s="2" t="s">
        <v>72</v>
      </c>
      <c r="M861" s="2">
        <v>3</v>
      </c>
      <c r="N861" s="2">
        <v>4047.3</v>
      </c>
      <c r="O861" s="2">
        <v>2760</v>
      </c>
      <c r="P861" s="2">
        <v>10</v>
      </c>
      <c r="Q861" s="2" t="s">
        <v>30</v>
      </c>
      <c r="R861" s="2" t="s">
        <v>42</v>
      </c>
      <c r="S861" s="3">
        <v>45340</v>
      </c>
      <c r="T861" s="6">
        <v>4</v>
      </c>
    </row>
    <row r="862" spans="1:20" x14ac:dyDescent="0.3">
      <c r="A862" s="2" t="s">
        <v>1458</v>
      </c>
      <c r="B862" s="3">
        <v>45859</v>
      </c>
      <c r="C862" s="2" t="s">
        <v>706</v>
      </c>
      <c r="D862" s="2" t="s">
        <v>303</v>
      </c>
      <c r="E862" s="2" t="s">
        <v>77</v>
      </c>
      <c r="F862" s="2">
        <v>40</v>
      </c>
      <c r="G862" s="2" t="s">
        <v>78</v>
      </c>
      <c r="H862" s="2" t="s">
        <v>79</v>
      </c>
      <c r="I862" s="2" t="s">
        <v>70</v>
      </c>
      <c r="J862" s="2" t="s">
        <v>71</v>
      </c>
      <c r="K862" s="2" t="s">
        <v>28</v>
      </c>
      <c r="L862" s="2" t="s">
        <v>72</v>
      </c>
      <c r="M862" s="2">
        <v>1</v>
      </c>
      <c r="N862" s="2">
        <v>1349.1</v>
      </c>
      <c r="O862" s="2">
        <v>920</v>
      </c>
      <c r="P862" s="2">
        <v>10</v>
      </c>
      <c r="Q862" s="2" t="s">
        <v>41</v>
      </c>
      <c r="R862" s="2" t="s">
        <v>42</v>
      </c>
      <c r="S862" s="3">
        <v>45861</v>
      </c>
      <c r="T862" s="6">
        <v>3</v>
      </c>
    </row>
    <row r="863" spans="1:20" x14ac:dyDescent="0.3">
      <c r="A863" s="2" t="s">
        <v>1459</v>
      </c>
      <c r="B863" s="3">
        <v>45680</v>
      </c>
      <c r="C863" s="2" t="s">
        <v>471</v>
      </c>
      <c r="D863" s="2" t="s">
        <v>472</v>
      </c>
      <c r="E863" s="2" t="s">
        <v>23</v>
      </c>
      <c r="F863" s="2">
        <v>37</v>
      </c>
      <c r="G863" s="2" t="s">
        <v>126</v>
      </c>
      <c r="H863" s="2" t="s">
        <v>127</v>
      </c>
      <c r="I863" s="2" t="s">
        <v>70</v>
      </c>
      <c r="J863" s="2" t="s">
        <v>71</v>
      </c>
      <c r="K863" s="2" t="s">
        <v>28</v>
      </c>
      <c r="L863" s="2" t="s">
        <v>72</v>
      </c>
      <c r="M863" s="2">
        <v>3</v>
      </c>
      <c r="N863" s="2">
        <v>2698.2</v>
      </c>
      <c r="O863" s="2">
        <v>2760</v>
      </c>
      <c r="P863" s="2">
        <v>40</v>
      </c>
      <c r="Q863" s="2" t="s">
        <v>30</v>
      </c>
      <c r="R863" s="2" t="s">
        <v>42</v>
      </c>
      <c r="S863" s="3">
        <v>45687</v>
      </c>
      <c r="T863" s="6">
        <v>3</v>
      </c>
    </row>
    <row r="864" spans="1:20" x14ac:dyDescent="0.3">
      <c r="A864" s="2" t="s">
        <v>1460</v>
      </c>
      <c r="B864" s="3">
        <v>45831</v>
      </c>
      <c r="C864" s="2" t="s">
        <v>1044</v>
      </c>
      <c r="D864" s="2" t="s">
        <v>1045</v>
      </c>
      <c r="E864" s="2" t="s">
        <v>77</v>
      </c>
      <c r="F864" s="2">
        <v>31</v>
      </c>
      <c r="G864" s="2" t="s">
        <v>46</v>
      </c>
      <c r="H864" s="2" t="s">
        <v>25</v>
      </c>
      <c r="I864" s="2" t="s">
        <v>229</v>
      </c>
      <c r="J864" s="2" t="s">
        <v>230</v>
      </c>
      <c r="K864" s="2" t="s">
        <v>28</v>
      </c>
      <c r="L864" s="2" t="s">
        <v>231</v>
      </c>
      <c r="M864" s="2">
        <v>2</v>
      </c>
      <c r="N864" s="2">
        <v>3598.2</v>
      </c>
      <c r="O864" s="2">
        <v>2460</v>
      </c>
      <c r="P864" s="2">
        <v>10</v>
      </c>
      <c r="Q864" s="2" t="s">
        <v>30</v>
      </c>
      <c r="R864" s="2" t="s">
        <v>42</v>
      </c>
      <c r="S864" s="3">
        <v>45841</v>
      </c>
      <c r="T864" s="6">
        <v>5</v>
      </c>
    </row>
    <row r="865" spans="1:20" x14ac:dyDescent="0.3">
      <c r="A865" s="2" t="s">
        <v>1461</v>
      </c>
      <c r="B865" s="3">
        <v>46003</v>
      </c>
      <c r="C865" s="2" t="s">
        <v>520</v>
      </c>
      <c r="D865" s="2" t="s">
        <v>506</v>
      </c>
      <c r="E865" s="2" t="s">
        <v>77</v>
      </c>
      <c r="F865" s="2">
        <v>36</v>
      </c>
      <c r="G865" s="2" t="s">
        <v>126</v>
      </c>
      <c r="H865" s="2" t="s">
        <v>127</v>
      </c>
      <c r="I865" s="2" t="s">
        <v>155</v>
      </c>
      <c r="J865" s="2" t="s">
        <v>156</v>
      </c>
      <c r="K865" s="2" t="s">
        <v>114</v>
      </c>
      <c r="L865" s="2" t="s">
        <v>157</v>
      </c>
      <c r="M865" s="2">
        <v>4</v>
      </c>
      <c r="N865" s="2">
        <v>3396.6</v>
      </c>
      <c r="O865" s="2">
        <v>2440</v>
      </c>
      <c r="P865" s="2">
        <v>15</v>
      </c>
      <c r="Q865" s="2" t="s">
        <v>73</v>
      </c>
      <c r="R865" s="2" t="s">
        <v>57</v>
      </c>
      <c r="S865" s="3">
        <v>46014</v>
      </c>
      <c r="T865" s="6">
        <v>4</v>
      </c>
    </row>
    <row r="866" spans="1:20" x14ac:dyDescent="0.3">
      <c r="A866" s="2" t="s">
        <v>1462</v>
      </c>
      <c r="B866" s="3">
        <v>45840</v>
      </c>
      <c r="C866" s="2" t="s">
        <v>409</v>
      </c>
      <c r="D866" s="2" t="s">
        <v>352</v>
      </c>
      <c r="E866" s="2" t="s">
        <v>77</v>
      </c>
      <c r="F866" s="2">
        <v>33</v>
      </c>
      <c r="G866" s="2" t="s">
        <v>173</v>
      </c>
      <c r="H866" s="2" t="s">
        <v>79</v>
      </c>
      <c r="I866" s="2" t="s">
        <v>183</v>
      </c>
      <c r="J866" s="2" t="s">
        <v>184</v>
      </c>
      <c r="K866" s="2" t="s">
        <v>130</v>
      </c>
      <c r="L866" s="2" t="s">
        <v>185</v>
      </c>
      <c r="M866" s="2">
        <v>2</v>
      </c>
      <c r="N866" s="2">
        <v>7998</v>
      </c>
      <c r="O866" s="2">
        <v>6100</v>
      </c>
      <c r="P866" s="2">
        <v>0</v>
      </c>
      <c r="Q866" s="2" t="s">
        <v>41</v>
      </c>
      <c r="R866" s="2" t="s">
        <v>57</v>
      </c>
      <c r="S866" s="3">
        <v>45844</v>
      </c>
      <c r="T866" s="6">
        <v>5</v>
      </c>
    </row>
    <row r="867" spans="1:20" x14ac:dyDescent="0.3">
      <c r="A867" s="2" t="s">
        <v>1463</v>
      </c>
      <c r="B867" s="3">
        <v>45506</v>
      </c>
      <c r="C867" s="2" t="s">
        <v>297</v>
      </c>
      <c r="D867" s="2" t="s">
        <v>298</v>
      </c>
      <c r="E867" s="2" t="s">
        <v>77</v>
      </c>
      <c r="F867" s="2">
        <v>55</v>
      </c>
      <c r="G867" s="2" t="s">
        <v>101</v>
      </c>
      <c r="H867" s="2" t="s">
        <v>102</v>
      </c>
      <c r="I867" s="2" t="s">
        <v>107</v>
      </c>
      <c r="J867" s="2" t="s">
        <v>108</v>
      </c>
      <c r="K867" s="2" t="s">
        <v>87</v>
      </c>
      <c r="L867" s="2" t="s">
        <v>88</v>
      </c>
      <c r="M867" s="2">
        <v>5</v>
      </c>
      <c r="N867" s="2">
        <v>3795.25</v>
      </c>
      <c r="O867" s="2">
        <v>2100</v>
      </c>
      <c r="P867" s="2">
        <v>5</v>
      </c>
      <c r="Q867" s="2" t="s">
        <v>30</v>
      </c>
      <c r="R867" s="2" t="s">
        <v>65</v>
      </c>
      <c r="S867" s="3" t="s">
        <v>1604</v>
      </c>
      <c r="T867" s="6" t="s">
        <v>1604</v>
      </c>
    </row>
    <row r="868" spans="1:20" x14ac:dyDescent="0.3">
      <c r="A868" s="2" t="s">
        <v>1464</v>
      </c>
      <c r="B868" s="3">
        <v>45689</v>
      </c>
      <c r="C868" s="2" t="s">
        <v>427</v>
      </c>
      <c r="D868" s="2" t="s">
        <v>407</v>
      </c>
      <c r="E868" s="2" t="s">
        <v>23</v>
      </c>
      <c r="F868" s="2">
        <v>40</v>
      </c>
      <c r="G868" s="2" t="s">
        <v>211</v>
      </c>
      <c r="H868" s="2" t="s">
        <v>127</v>
      </c>
      <c r="I868" s="2" t="s">
        <v>37</v>
      </c>
      <c r="J868" s="2" t="s">
        <v>38</v>
      </c>
      <c r="K868" s="2" t="s">
        <v>39</v>
      </c>
      <c r="L868" s="2" t="s">
        <v>40</v>
      </c>
      <c r="M868" s="2">
        <v>5</v>
      </c>
      <c r="N868" s="2">
        <v>2697</v>
      </c>
      <c r="O868" s="2">
        <v>2600</v>
      </c>
      <c r="P868" s="2">
        <v>40</v>
      </c>
      <c r="Q868" s="2" t="s">
        <v>30</v>
      </c>
      <c r="R868" s="2" t="s">
        <v>42</v>
      </c>
      <c r="S868" s="3">
        <v>45696</v>
      </c>
      <c r="T868" s="6">
        <v>5</v>
      </c>
    </row>
    <row r="869" spans="1:20" x14ac:dyDescent="0.3">
      <c r="A869" s="2" t="s">
        <v>1465</v>
      </c>
      <c r="B869" s="3">
        <v>45798</v>
      </c>
      <c r="C869" s="2" t="s">
        <v>982</v>
      </c>
      <c r="D869" s="2" t="s">
        <v>890</v>
      </c>
      <c r="E869" s="2" t="s">
        <v>23</v>
      </c>
      <c r="F869" s="2">
        <v>19</v>
      </c>
      <c r="G869" s="2" t="s">
        <v>207</v>
      </c>
      <c r="H869" s="2" t="s">
        <v>36</v>
      </c>
      <c r="I869" s="2" t="s">
        <v>198</v>
      </c>
      <c r="J869" s="2" t="s">
        <v>199</v>
      </c>
      <c r="K869" s="2" t="s">
        <v>114</v>
      </c>
      <c r="L869" s="2" t="s">
        <v>200</v>
      </c>
      <c r="M869" s="2">
        <v>4</v>
      </c>
      <c r="N869" s="2">
        <v>5196</v>
      </c>
      <c r="O869" s="2">
        <v>3040</v>
      </c>
      <c r="P869" s="2">
        <v>0</v>
      </c>
      <c r="Q869" s="2" t="s">
        <v>30</v>
      </c>
      <c r="R869" s="2" t="s">
        <v>42</v>
      </c>
      <c r="S869" s="3">
        <v>45803</v>
      </c>
      <c r="T869" s="6">
        <v>5</v>
      </c>
    </row>
    <row r="870" spans="1:20" x14ac:dyDescent="0.3">
      <c r="A870" s="2" t="s">
        <v>1466</v>
      </c>
      <c r="B870" s="3">
        <v>45532</v>
      </c>
      <c r="C870" s="2" t="s">
        <v>226</v>
      </c>
      <c r="D870" s="2" t="s">
        <v>227</v>
      </c>
      <c r="E870" s="2" t="s">
        <v>23</v>
      </c>
      <c r="F870" s="2">
        <v>32</v>
      </c>
      <c r="G870" s="2" t="s">
        <v>154</v>
      </c>
      <c r="H870" s="2" t="s">
        <v>91</v>
      </c>
      <c r="I870" s="2" t="s">
        <v>143</v>
      </c>
      <c r="J870" s="2" t="s">
        <v>144</v>
      </c>
      <c r="K870" s="2" t="s">
        <v>130</v>
      </c>
      <c r="L870" s="2" t="s">
        <v>131</v>
      </c>
      <c r="M870" s="2">
        <v>4</v>
      </c>
      <c r="N870" s="2">
        <v>15397.2</v>
      </c>
      <c r="O870" s="2">
        <v>17200</v>
      </c>
      <c r="P870" s="2">
        <v>30</v>
      </c>
      <c r="Q870" s="2" t="s">
        <v>50</v>
      </c>
      <c r="R870" s="2" t="s">
        <v>42</v>
      </c>
      <c r="S870" s="3">
        <v>45539</v>
      </c>
      <c r="T870" s="6">
        <v>4</v>
      </c>
    </row>
    <row r="871" spans="1:20" x14ac:dyDescent="0.3">
      <c r="A871" s="2" t="s">
        <v>1467</v>
      </c>
      <c r="B871" s="3">
        <v>45855</v>
      </c>
      <c r="C871" s="2" t="s">
        <v>351</v>
      </c>
      <c r="D871" s="2" t="s">
        <v>352</v>
      </c>
      <c r="E871" s="2" t="s">
        <v>77</v>
      </c>
      <c r="F871" s="2">
        <v>26</v>
      </c>
      <c r="G871" s="2" t="s">
        <v>173</v>
      </c>
      <c r="H871" s="2" t="s">
        <v>79</v>
      </c>
      <c r="I871" s="2" t="s">
        <v>54</v>
      </c>
      <c r="J871" s="2" t="s">
        <v>55</v>
      </c>
      <c r="K871" s="2" t="s">
        <v>28</v>
      </c>
      <c r="L871" s="2" t="s">
        <v>56</v>
      </c>
      <c r="M871" s="2">
        <v>3</v>
      </c>
      <c r="N871" s="2">
        <v>1258.2</v>
      </c>
      <c r="O871" s="2">
        <v>1230</v>
      </c>
      <c r="P871" s="2">
        <v>40</v>
      </c>
      <c r="Q871" s="2" t="s">
        <v>50</v>
      </c>
      <c r="R871" s="2" t="s">
        <v>42</v>
      </c>
      <c r="S871" s="3">
        <v>45860</v>
      </c>
      <c r="T871" s="6">
        <v>2</v>
      </c>
    </row>
    <row r="872" spans="1:20" x14ac:dyDescent="0.3">
      <c r="A872" s="2" t="s">
        <v>1468</v>
      </c>
      <c r="B872" s="3">
        <v>45768</v>
      </c>
      <c r="C872" s="2" t="s">
        <v>300</v>
      </c>
      <c r="D872" s="2" t="s">
        <v>172</v>
      </c>
      <c r="E872" s="2" t="s">
        <v>23</v>
      </c>
      <c r="F872" s="2">
        <v>39</v>
      </c>
      <c r="G872" s="2" t="s">
        <v>126</v>
      </c>
      <c r="H872" s="2" t="s">
        <v>127</v>
      </c>
      <c r="I872" s="2" t="s">
        <v>134</v>
      </c>
      <c r="J872" s="2" t="s">
        <v>135</v>
      </c>
      <c r="K872" s="2" t="s">
        <v>39</v>
      </c>
      <c r="L872" s="2" t="s">
        <v>136</v>
      </c>
      <c r="M872" s="2">
        <v>4</v>
      </c>
      <c r="N872" s="2">
        <v>477.6</v>
      </c>
      <c r="O872" s="2">
        <v>360</v>
      </c>
      <c r="P872" s="2">
        <v>40</v>
      </c>
      <c r="Q872" s="2" t="s">
        <v>103</v>
      </c>
      <c r="R872" s="2" t="s">
        <v>42</v>
      </c>
      <c r="S872" s="3">
        <v>45775</v>
      </c>
      <c r="T872" s="6">
        <v>5</v>
      </c>
    </row>
    <row r="873" spans="1:20" x14ac:dyDescent="0.3">
      <c r="A873" s="2" t="s">
        <v>1469</v>
      </c>
      <c r="B873" s="3">
        <v>45616</v>
      </c>
      <c r="C873" s="2" t="s">
        <v>149</v>
      </c>
      <c r="D873" s="2" t="s">
        <v>150</v>
      </c>
      <c r="E873" s="2" t="s">
        <v>77</v>
      </c>
      <c r="F873" s="2">
        <v>35</v>
      </c>
      <c r="G873" s="2" t="s">
        <v>165</v>
      </c>
      <c r="H873" s="2" t="s">
        <v>166</v>
      </c>
      <c r="I873" s="2" t="s">
        <v>80</v>
      </c>
      <c r="J873" s="2" t="s">
        <v>81</v>
      </c>
      <c r="K873" s="2" t="s">
        <v>28</v>
      </c>
      <c r="L873" s="2" t="s">
        <v>29</v>
      </c>
      <c r="M873" s="2">
        <v>2</v>
      </c>
      <c r="N873" s="2">
        <v>958.8</v>
      </c>
      <c r="O873" s="2">
        <v>940</v>
      </c>
      <c r="P873" s="2">
        <v>40</v>
      </c>
      <c r="Q873" s="2" t="s">
        <v>30</v>
      </c>
      <c r="R873" s="2" t="s">
        <v>42</v>
      </c>
      <c r="S873" s="3">
        <v>45628</v>
      </c>
      <c r="T873" s="6">
        <v>3</v>
      </c>
    </row>
    <row r="874" spans="1:20" x14ac:dyDescent="0.3">
      <c r="A874" s="2" t="s">
        <v>1470</v>
      </c>
      <c r="B874" s="3">
        <v>45659</v>
      </c>
      <c r="C874" s="2" t="s">
        <v>1471</v>
      </c>
      <c r="D874" s="2" t="s">
        <v>164</v>
      </c>
      <c r="E874" s="2" t="s">
        <v>77</v>
      </c>
      <c r="F874" s="2">
        <v>43</v>
      </c>
      <c r="G874" s="2" t="s">
        <v>35</v>
      </c>
      <c r="H874" s="2" t="s">
        <v>36</v>
      </c>
      <c r="I874" s="2" t="s">
        <v>112</v>
      </c>
      <c r="J874" s="2" t="s">
        <v>113</v>
      </c>
      <c r="K874" s="2" t="s">
        <v>114</v>
      </c>
      <c r="L874" s="2" t="s">
        <v>115</v>
      </c>
      <c r="M874" s="2">
        <v>5</v>
      </c>
      <c r="N874" s="2">
        <v>3320.25</v>
      </c>
      <c r="O874" s="2">
        <v>1850</v>
      </c>
      <c r="P874" s="2">
        <v>5</v>
      </c>
      <c r="Q874" s="2" t="s">
        <v>41</v>
      </c>
      <c r="R874" s="2" t="s">
        <v>42</v>
      </c>
      <c r="S874" s="3">
        <v>45662</v>
      </c>
      <c r="T874" s="6">
        <v>3</v>
      </c>
    </row>
    <row r="875" spans="1:20" x14ac:dyDescent="0.3">
      <c r="A875" s="2" t="s">
        <v>1472</v>
      </c>
      <c r="B875" s="3">
        <v>45365</v>
      </c>
      <c r="C875" s="2" t="s">
        <v>514</v>
      </c>
      <c r="D875" s="2" t="s">
        <v>515</v>
      </c>
      <c r="E875" s="2" t="s">
        <v>23</v>
      </c>
      <c r="F875" s="2">
        <v>37</v>
      </c>
      <c r="G875" s="2" t="s">
        <v>24</v>
      </c>
      <c r="H875" s="2" t="s">
        <v>25</v>
      </c>
      <c r="I875" s="2" t="s">
        <v>222</v>
      </c>
      <c r="J875" s="2" t="s">
        <v>223</v>
      </c>
      <c r="K875" s="2" t="s">
        <v>114</v>
      </c>
      <c r="L875" s="2" t="s">
        <v>115</v>
      </c>
      <c r="M875" s="2">
        <v>2</v>
      </c>
      <c r="N875" s="2">
        <v>1348.5</v>
      </c>
      <c r="O875" s="2">
        <v>1020</v>
      </c>
      <c r="P875" s="2">
        <v>25</v>
      </c>
      <c r="Q875" s="2" t="s">
        <v>30</v>
      </c>
      <c r="R875" s="2" t="s">
        <v>31</v>
      </c>
      <c r="S875" s="3">
        <v>45372</v>
      </c>
      <c r="T875" s="6">
        <v>4</v>
      </c>
    </row>
    <row r="876" spans="1:20" x14ac:dyDescent="0.3">
      <c r="A876" s="2" t="s">
        <v>1473</v>
      </c>
      <c r="B876" s="3">
        <v>45601</v>
      </c>
      <c r="C876" s="2" t="s">
        <v>21</v>
      </c>
      <c r="D876" s="2" t="s">
        <v>22</v>
      </c>
      <c r="E876" s="2" t="s">
        <v>23</v>
      </c>
      <c r="F876" s="2">
        <v>39</v>
      </c>
      <c r="G876" s="2" t="s">
        <v>154</v>
      </c>
      <c r="H876" s="2" t="s">
        <v>91</v>
      </c>
      <c r="I876" s="2" t="s">
        <v>85</v>
      </c>
      <c r="J876" s="2" t="s">
        <v>86</v>
      </c>
      <c r="K876" s="2" t="s">
        <v>87</v>
      </c>
      <c r="L876" s="2" t="s">
        <v>88</v>
      </c>
      <c r="M876" s="2">
        <v>5</v>
      </c>
      <c r="N876" s="2">
        <v>6295.5</v>
      </c>
      <c r="O876" s="2">
        <v>3950</v>
      </c>
      <c r="P876" s="2">
        <v>10</v>
      </c>
      <c r="Q876" s="2" t="s">
        <v>50</v>
      </c>
      <c r="R876" s="2" t="s">
        <v>42</v>
      </c>
      <c r="S876" s="3">
        <v>45603</v>
      </c>
      <c r="T876" s="6">
        <v>4</v>
      </c>
    </row>
    <row r="877" spans="1:20" x14ac:dyDescent="0.3">
      <c r="A877" s="2" t="s">
        <v>1474</v>
      </c>
      <c r="B877" s="3">
        <v>45580</v>
      </c>
      <c r="C877" s="2" t="s">
        <v>729</v>
      </c>
      <c r="D877" s="2" t="s">
        <v>276</v>
      </c>
      <c r="E877" s="2" t="s">
        <v>77</v>
      </c>
      <c r="F877" s="2">
        <v>25</v>
      </c>
      <c r="G877" s="2" t="s">
        <v>165</v>
      </c>
      <c r="H877" s="2" t="s">
        <v>166</v>
      </c>
      <c r="I877" s="2" t="s">
        <v>47</v>
      </c>
      <c r="J877" s="2" t="s">
        <v>48</v>
      </c>
      <c r="K877" s="2" t="s">
        <v>39</v>
      </c>
      <c r="L877" s="2" t="s">
        <v>49</v>
      </c>
      <c r="M877" s="2">
        <v>5</v>
      </c>
      <c r="N877" s="2">
        <v>1995</v>
      </c>
      <c r="O877" s="2">
        <v>1050</v>
      </c>
      <c r="P877" s="2">
        <v>0</v>
      </c>
      <c r="Q877" s="2" t="s">
        <v>103</v>
      </c>
      <c r="R877" s="2" t="s">
        <v>31</v>
      </c>
      <c r="S877" s="3">
        <v>45590</v>
      </c>
      <c r="T877" s="6">
        <v>3</v>
      </c>
    </row>
    <row r="878" spans="1:20" x14ac:dyDescent="0.3">
      <c r="A878" s="2" t="s">
        <v>1475</v>
      </c>
      <c r="B878" s="3">
        <v>45699</v>
      </c>
      <c r="C878" s="2" t="s">
        <v>1261</v>
      </c>
      <c r="D878" s="2" t="s">
        <v>894</v>
      </c>
      <c r="E878" s="2" t="s">
        <v>77</v>
      </c>
      <c r="F878" s="2">
        <v>55</v>
      </c>
      <c r="G878" s="2" t="s">
        <v>90</v>
      </c>
      <c r="H878" s="2" t="s">
        <v>91</v>
      </c>
      <c r="I878" s="2" t="s">
        <v>177</v>
      </c>
      <c r="J878" s="2" t="s">
        <v>178</v>
      </c>
      <c r="K878" s="2" t="s">
        <v>87</v>
      </c>
      <c r="L878" s="2" t="s">
        <v>179</v>
      </c>
      <c r="M878" s="2">
        <v>2</v>
      </c>
      <c r="N878" s="2">
        <v>2998.8</v>
      </c>
      <c r="O878" s="2">
        <v>3240</v>
      </c>
      <c r="P878" s="2">
        <v>40</v>
      </c>
      <c r="Q878" s="2" t="s">
        <v>30</v>
      </c>
      <c r="R878" s="2" t="s">
        <v>65</v>
      </c>
      <c r="S878" s="3" t="s">
        <v>1604</v>
      </c>
      <c r="T878" s="6" t="s">
        <v>1604</v>
      </c>
    </row>
    <row r="879" spans="1:20" x14ac:dyDescent="0.3">
      <c r="A879" s="2" t="s">
        <v>1476</v>
      </c>
      <c r="B879" s="3">
        <v>45893</v>
      </c>
      <c r="C879" s="2" t="s">
        <v>1477</v>
      </c>
      <c r="D879" s="2" t="s">
        <v>1478</v>
      </c>
      <c r="E879" s="2" t="s">
        <v>23</v>
      </c>
      <c r="F879" s="2">
        <v>49</v>
      </c>
      <c r="G879" s="2" t="s">
        <v>61</v>
      </c>
      <c r="H879" s="2" t="s">
        <v>62</v>
      </c>
      <c r="I879" s="2" t="s">
        <v>177</v>
      </c>
      <c r="J879" s="2" t="s">
        <v>178</v>
      </c>
      <c r="K879" s="2" t="s">
        <v>87</v>
      </c>
      <c r="L879" s="2" t="s">
        <v>179</v>
      </c>
      <c r="M879" s="2">
        <v>4</v>
      </c>
      <c r="N879" s="2">
        <v>7497</v>
      </c>
      <c r="O879" s="2">
        <v>6480</v>
      </c>
      <c r="P879" s="2">
        <v>25</v>
      </c>
      <c r="Q879" s="2" t="s">
        <v>73</v>
      </c>
      <c r="R879" s="2" t="s">
        <v>42</v>
      </c>
      <c r="S879" s="3">
        <v>45898</v>
      </c>
      <c r="T879" s="6">
        <v>5</v>
      </c>
    </row>
    <row r="880" spans="1:20" x14ac:dyDescent="0.3">
      <c r="A880" s="2" t="s">
        <v>1479</v>
      </c>
      <c r="B880" s="3">
        <v>46006</v>
      </c>
      <c r="C880" s="2" t="s">
        <v>546</v>
      </c>
      <c r="D880" s="2" t="s">
        <v>547</v>
      </c>
      <c r="E880" s="2" t="s">
        <v>77</v>
      </c>
      <c r="F880" s="2">
        <v>33</v>
      </c>
      <c r="G880" s="2" t="s">
        <v>154</v>
      </c>
      <c r="H880" s="2" t="s">
        <v>91</v>
      </c>
      <c r="I880" s="2" t="s">
        <v>63</v>
      </c>
      <c r="J880" s="2" t="s">
        <v>64</v>
      </c>
      <c r="K880" s="2" t="s">
        <v>39</v>
      </c>
      <c r="L880" s="2" t="s">
        <v>40</v>
      </c>
      <c r="M880" s="2">
        <v>4</v>
      </c>
      <c r="N880" s="2">
        <v>2396</v>
      </c>
      <c r="O880" s="2">
        <v>1320</v>
      </c>
      <c r="P880" s="2">
        <v>0</v>
      </c>
      <c r="Q880" s="2" t="s">
        <v>41</v>
      </c>
      <c r="R880" s="2" t="s">
        <v>42</v>
      </c>
      <c r="S880" s="3">
        <v>46017</v>
      </c>
      <c r="T880" s="6">
        <v>3</v>
      </c>
    </row>
    <row r="881" spans="1:20" x14ac:dyDescent="0.3">
      <c r="A881" s="2" t="s">
        <v>1480</v>
      </c>
      <c r="B881" s="3">
        <v>45604</v>
      </c>
      <c r="C881" s="2" t="s">
        <v>202</v>
      </c>
      <c r="D881" s="2" t="s">
        <v>203</v>
      </c>
      <c r="E881" s="2" t="s">
        <v>23</v>
      </c>
      <c r="F881" s="2">
        <v>45</v>
      </c>
      <c r="G881" s="2" t="s">
        <v>101</v>
      </c>
      <c r="H881" s="2" t="s">
        <v>102</v>
      </c>
      <c r="I881" s="2" t="s">
        <v>107</v>
      </c>
      <c r="J881" s="2" t="s">
        <v>108</v>
      </c>
      <c r="K881" s="2" t="s">
        <v>87</v>
      </c>
      <c r="L881" s="2" t="s">
        <v>88</v>
      </c>
      <c r="M881" s="2">
        <v>3</v>
      </c>
      <c r="N881" s="2">
        <v>1797.75</v>
      </c>
      <c r="O881" s="2">
        <v>1260</v>
      </c>
      <c r="P881" s="2">
        <v>25</v>
      </c>
      <c r="Q881" s="2" t="s">
        <v>30</v>
      </c>
      <c r="R881" s="2" t="s">
        <v>42</v>
      </c>
      <c r="S881" s="3">
        <v>45612</v>
      </c>
      <c r="T881" s="6">
        <v>5</v>
      </c>
    </row>
    <row r="882" spans="1:20" x14ac:dyDescent="0.3">
      <c r="A882" s="2" t="s">
        <v>1481</v>
      </c>
      <c r="B882" s="3">
        <v>45999</v>
      </c>
      <c r="C882" s="2" t="s">
        <v>886</v>
      </c>
      <c r="D882" s="2" t="s">
        <v>887</v>
      </c>
      <c r="E882" s="2" t="s">
        <v>77</v>
      </c>
      <c r="F882" s="2">
        <v>49</v>
      </c>
      <c r="G882" s="2" t="s">
        <v>35</v>
      </c>
      <c r="H882" s="2" t="s">
        <v>36</v>
      </c>
      <c r="I882" s="2" t="s">
        <v>183</v>
      </c>
      <c r="J882" s="2" t="s">
        <v>184</v>
      </c>
      <c r="K882" s="2" t="s">
        <v>130</v>
      </c>
      <c r="L882" s="2" t="s">
        <v>185</v>
      </c>
      <c r="M882" s="2">
        <v>5</v>
      </c>
      <c r="N882" s="2">
        <v>19995</v>
      </c>
      <c r="O882" s="2">
        <v>15250</v>
      </c>
      <c r="P882" s="2">
        <v>0</v>
      </c>
      <c r="Q882" s="2" t="s">
        <v>50</v>
      </c>
      <c r="R882" s="2" t="s">
        <v>57</v>
      </c>
      <c r="S882" s="3">
        <v>46001</v>
      </c>
      <c r="T882" s="6">
        <v>3</v>
      </c>
    </row>
    <row r="883" spans="1:20" x14ac:dyDescent="0.3">
      <c r="A883" s="2" t="s">
        <v>1482</v>
      </c>
      <c r="B883" s="3">
        <v>45449</v>
      </c>
      <c r="C883" s="2" t="s">
        <v>837</v>
      </c>
      <c r="D883" s="2" t="s">
        <v>838</v>
      </c>
      <c r="E883" s="2" t="s">
        <v>77</v>
      </c>
      <c r="F883" s="2">
        <v>38</v>
      </c>
      <c r="G883" s="2" t="s">
        <v>165</v>
      </c>
      <c r="H883" s="2" t="s">
        <v>166</v>
      </c>
      <c r="I883" s="2" t="s">
        <v>47</v>
      </c>
      <c r="J883" s="2" t="s">
        <v>48</v>
      </c>
      <c r="K883" s="2" t="s">
        <v>39</v>
      </c>
      <c r="L883" s="2" t="s">
        <v>49</v>
      </c>
      <c r="M883" s="2">
        <v>2</v>
      </c>
      <c r="N883" s="2">
        <v>558.6</v>
      </c>
      <c r="O883" s="2">
        <v>420</v>
      </c>
      <c r="P883" s="2">
        <v>30</v>
      </c>
      <c r="Q883" s="2" t="s">
        <v>73</v>
      </c>
      <c r="R883" s="2" t="s">
        <v>65</v>
      </c>
      <c r="S883" s="3" t="s">
        <v>1604</v>
      </c>
      <c r="T883" s="6" t="s">
        <v>1604</v>
      </c>
    </row>
    <row r="884" spans="1:20" x14ac:dyDescent="0.3">
      <c r="A884" s="2" t="s">
        <v>1483</v>
      </c>
      <c r="B884" s="3">
        <v>45687</v>
      </c>
      <c r="C884" s="2" t="s">
        <v>550</v>
      </c>
      <c r="D884" s="2" t="s">
        <v>482</v>
      </c>
      <c r="E884" s="2" t="s">
        <v>23</v>
      </c>
      <c r="F884" s="2">
        <v>33</v>
      </c>
      <c r="G884" s="2" t="s">
        <v>101</v>
      </c>
      <c r="H884" s="2" t="s">
        <v>102</v>
      </c>
      <c r="I884" s="2" t="s">
        <v>229</v>
      </c>
      <c r="J884" s="2" t="s">
        <v>230</v>
      </c>
      <c r="K884" s="2" t="s">
        <v>28</v>
      </c>
      <c r="L884" s="2" t="s">
        <v>231</v>
      </c>
      <c r="M884" s="2">
        <v>3</v>
      </c>
      <c r="N884" s="2">
        <v>3598.2</v>
      </c>
      <c r="O884" s="2">
        <v>3690</v>
      </c>
      <c r="P884" s="2">
        <v>40</v>
      </c>
      <c r="Q884" s="2" t="s">
        <v>41</v>
      </c>
      <c r="R884" s="2" t="s">
        <v>42</v>
      </c>
      <c r="S884" s="3">
        <v>45691</v>
      </c>
      <c r="T884" s="6">
        <v>3</v>
      </c>
    </row>
    <row r="885" spans="1:20" x14ac:dyDescent="0.3">
      <c r="A885" s="2" t="s">
        <v>1484</v>
      </c>
      <c r="B885" s="3">
        <v>45983</v>
      </c>
      <c r="C885" s="2" t="s">
        <v>429</v>
      </c>
      <c r="D885" s="2" t="s">
        <v>315</v>
      </c>
      <c r="E885" s="2" t="s">
        <v>77</v>
      </c>
      <c r="F885" s="2">
        <v>23</v>
      </c>
      <c r="G885" s="2" t="s">
        <v>78</v>
      </c>
      <c r="H885" s="2" t="s">
        <v>79</v>
      </c>
      <c r="I885" s="2" t="s">
        <v>26</v>
      </c>
      <c r="J885" s="2" t="s">
        <v>27</v>
      </c>
      <c r="K885" s="2" t="s">
        <v>28</v>
      </c>
      <c r="L885" s="2" t="s">
        <v>29</v>
      </c>
      <c r="M885" s="2">
        <v>5</v>
      </c>
      <c r="N885" s="2">
        <v>3897</v>
      </c>
      <c r="O885" s="2">
        <v>3950</v>
      </c>
      <c r="P885" s="2">
        <v>40</v>
      </c>
      <c r="Q885" s="2" t="s">
        <v>73</v>
      </c>
      <c r="R885" s="2" t="s">
        <v>42</v>
      </c>
      <c r="S885" s="3">
        <v>45988</v>
      </c>
      <c r="T885" s="6">
        <v>3</v>
      </c>
    </row>
    <row r="886" spans="1:20" x14ac:dyDescent="0.3">
      <c r="A886" s="2" t="s">
        <v>1485</v>
      </c>
      <c r="B886" s="3">
        <v>45687</v>
      </c>
      <c r="C886" s="2" t="s">
        <v>438</v>
      </c>
      <c r="D886" s="2" t="s">
        <v>439</v>
      </c>
      <c r="E886" s="2" t="s">
        <v>23</v>
      </c>
      <c r="F886" s="2">
        <v>27</v>
      </c>
      <c r="G886" s="2" t="s">
        <v>154</v>
      </c>
      <c r="H886" s="2" t="s">
        <v>91</v>
      </c>
      <c r="I886" s="2" t="s">
        <v>304</v>
      </c>
      <c r="J886" s="2" t="s">
        <v>305</v>
      </c>
      <c r="K886" s="2" t="s">
        <v>28</v>
      </c>
      <c r="L886" s="2" t="s">
        <v>231</v>
      </c>
      <c r="M886" s="2">
        <v>3</v>
      </c>
      <c r="N886" s="2">
        <v>5127.1499999999996</v>
      </c>
      <c r="O886" s="2">
        <v>3240</v>
      </c>
      <c r="P886" s="2">
        <v>5</v>
      </c>
      <c r="Q886" s="2" t="s">
        <v>1604</v>
      </c>
      <c r="R886" s="2" t="s">
        <v>42</v>
      </c>
      <c r="S886" s="3">
        <v>45694</v>
      </c>
      <c r="T886" s="6">
        <v>2</v>
      </c>
    </row>
    <row r="887" spans="1:20" x14ac:dyDescent="0.3">
      <c r="A887" s="2" t="s">
        <v>1486</v>
      </c>
      <c r="B887" s="3">
        <v>45467</v>
      </c>
      <c r="C887" s="2" t="s">
        <v>233</v>
      </c>
      <c r="D887" s="2" t="s">
        <v>118</v>
      </c>
      <c r="E887" s="2" t="s">
        <v>23</v>
      </c>
      <c r="F887" s="2">
        <v>34</v>
      </c>
      <c r="G887" s="2" t="s">
        <v>122</v>
      </c>
      <c r="H887" s="2" t="s">
        <v>123</v>
      </c>
      <c r="I887" s="2" t="s">
        <v>47</v>
      </c>
      <c r="J887" s="2" t="s">
        <v>48</v>
      </c>
      <c r="K887" s="2" t="s">
        <v>39</v>
      </c>
      <c r="L887" s="2" t="s">
        <v>49</v>
      </c>
      <c r="M887" s="2">
        <v>2</v>
      </c>
      <c r="N887" s="2">
        <v>758.1</v>
      </c>
      <c r="O887" s="2">
        <v>420</v>
      </c>
      <c r="P887" s="2">
        <v>5</v>
      </c>
      <c r="Q887" s="2" t="s">
        <v>30</v>
      </c>
      <c r="R887" s="2" t="s">
        <v>65</v>
      </c>
      <c r="S887" s="3" t="s">
        <v>1604</v>
      </c>
      <c r="T887" s="6" t="s">
        <v>1604</v>
      </c>
    </row>
    <row r="888" spans="1:20" x14ac:dyDescent="0.3">
      <c r="A888" s="2" t="s">
        <v>1487</v>
      </c>
      <c r="B888" s="3">
        <v>45720</v>
      </c>
      <c r="C888" s="2" t="s">
        <v>646</v>
      </c>
      <c r="D888" s="2" t="s">
        <v>352</v>
      </c>
      <c r="E888" s="2" t="s">
        <v>77</v>
      </c>
      <c r="F888" s="2">
        <v>22</v>
      </c>
      <c r="G888" s="2" t="s">
        <v>46</v>
      </c>
      <c r="H888" s="2" t="s">
        <v>25</v>
      </c>
      <c r="I888" s="2" t="s">
        <v>47</v>
      </c>
      <c r="J888" s="2" t="s">
        <v>48</v>
      </c>
      <c r="K888" s="2" t="s">
        <v>39</v>
      </c>
      <c r="L888" s="2" t="s">
        <v>49</v>
      </c>
      <c r="M888" s="2">
        <v>2</v>
      </c>
      <c r="N888" s="2">
        <v>718.2</v>
      </c>
      <c r="O888" s="2">
        <v>420</v>
      </c>
      <c r="P888" s="2">
        <v>10</v>
      </c>
      <c r="Q888" s="2" t="s">
        <v>30</v>
      </c>
      <c r="R888" s="2" t="s">
        <v>42</v>
      </c>
      <c r="S888" s="3">
        <v>45728</v>
      </c>
      <c r="T888" s="6">
        <v>5</v>
      </c>
    </row>
    <row r="889" spans="1:20" x14ac:dyDescent="0.3">
      <c r="A889" s="2" t="s">
        <v>1488</v>
      </c>
      <c r="B889" s="3">
        <v>45454</v>
      </c>
      <c r="C889" s="2" t="s">
        <v>930</v>
      </c>
      <c r="D889" s="2" t="s">
        <v>556</v>
      </c>
      <c r="E889" s="2" t="s">
        <v>23</v>
      </c>
      <c r="F889" s="2">
        <v>48</v>
      </c>
      <c r="G889" s="2" t="s">
        <v>35</v>
      </c>
      <c r="H889" s="2" t="s">
        <v>36</v>
      </c>
      <c r="I889" s="2" t="s">
        <v>198</v>
      </c>
      <c r="J889" s="2" t="s">
        <v>199</v>
      </c>
      <c r="K889" s="2" t="s">
        <v>114</v>
      </c>
      <c r="L889" s="2" t="s">
        <v>200</v>
      </c>
      <c r="M889" s="2">
        <v>2</v>
      </c>
      <c r="N889" s="2">
        <v>1558.8</v>
      </c>
      <c r="O889" s="2">
        <v>1520</v>
      </c>
      <c r="P889" s="2">
        <v>40</v>
      </c>
      <c r="Q889" s="2" t="s">
        <v>41</v>
      </c>
      <c r="R889" s="2" t="s">
        <v>42</v>
      </c>
      <c r="S889" s="3">
        <v>45456</v>
      </c>
      <c r="T889" s="6">
        <v>3</v>
      </c>
    </row>
    <row r="890" spans="1:20" x14ac:dyDescent="0.3">
      <c r="A890" s="2" t="s">
        <v>1489</v>
      </c>
      <c r="B890" s="3">
        <v>45748</v>
      </c>
      <c r="C890" s="2" t="s">
        <v>671</v>
      </c>
      <c r="D890" s="2" t="s">
        <v>60</v>
      </c>
      <c r="E890" s="2" t="s">
        <v>23</v>
      </c>
      <c r="F890" s="2">
        <v>38</v>
      </c>
      <c r="G890" s="2" t="s">
        <v>165</v>
      </c>
      <c r="H890" s="2" t="s">
        <v>166</v>
      </c>
      <c r="I890" s="2" t="s">
        <v>155</v>
      </c>
      <c r="J890" s="2" t="s">
        <v>156</v>
      </c>
      <c r="K890" s="2" t="s">
        <v>114</v>
      </c>
      <c r="L890" s="2" t="s">
        <v>157</v>
      </c>
      <c r="M890" s="2">
        <v>2</v>
      </c>
      <c r="N890" s="2">
        <v>1498.5</v>
      </c>
      <c r="O890" s="2">
        <v>1220</v>
      </c>
      <c r="P890" s="2">
        <v>25</v>
      </c>
      <c r="Q890" s="2" t="s">
        <v>50</v>
      </c>
      <c r="R890" s="2" t="s">
        <v>42</v>
      </c>
      <c r="S890" s="3">
        <v>45757</v>
      </c>
      <c r="T890" s="6">
        <v>5</v>
      </c>
    </row>
    <row r="891" spans="1:20" x14ac:dyDescent="0.3">
      <c r="A891" s="2" t="s">
        <v>1490</v>
      </c>
      <c r="B891" s="3">
        <v>45881</v>
      </c>
      <c r="C891" s="2" t="s">
        <v>465</v>
      </c>
      <c r="D891" s="2" t="s">
        <v>53</v>
      </c>
      <c r="E891" s="2" t="s">
        <v>23</v>
      </c>
      <c r="F891" s="2">
        <v>22</v>
      </c>
      <c r="G891" s="2" t="s">
        <v>46</v>
      </c>
      <c r="H891" s="2" t="s">
        <v>25</v>
      </c>
      <c r="I891" s="2" t="s">
        <v>143</v>
      </c>
      <c r="J891" s="2" t="s">
        <v>144</v>
      </c>
      <c r="K891" s="2" t="s">
        <v>130</v>
      </c>
      <c r="L891" s="2" t="s">
        <v>131</v>
      </c>
      <c r="M891" s="2">
        <v>4</v>
      </c>
      <c r="N891" s="2">
        <v>16497</v>
      </c>
      <c r="O891" s="2">
        <v>17200</v>
      </c>
      <c r="P891" s="2">
        <v>25</v>
      </c>
      <c r="Q891" s="2" t="s">
        <v>41</v>
      </c>
      <c r="R891" s="2" t="s">
        <v>42</v>
      </c>
      <c r="S891" s="3">
        <v>45892</v>
      </c>
      <c r="T891" s="6">
        <v>3</v>
      </c>
    </row>
    <row r="892" spans="1:20" x14ac:dyDescent="0.3">
      <c r="A892" s="2" t="s">
        <v>1491</v>
      </c>
      <c r="B892" s="3">
        <v>45717</v>
      </c>
      <c r="C892" s="2" t="s">
        <v>1492</v>
      </c>
      <c r="D892" s="2" t="s">
        <v>1493</v>
      </c>
      <c r="E892" s="2" t="s">
        <v>77</v>
      </c>
      <c r="F892" s="2">
        <v>46</v>
      </c>
      <c r="G892" s="2" t="s">
        <v>78</v>
      </c>
      <c r="H892" s="2" t="s">
        <v>79</v>
      </c>
      <c r="I892" s="2" t="s">
        <v>155</v>
      </c>
      <c r="J892" s="2" t="s">
        <v>156</v>
      </c>
      <c r="K892" s="2" t="s">
        <v>114</v>
      </c>
      <c r="L892" s="2" t="s">
        <v>157</v>
      </c>
      <c r="M892" s="2">
        <v>4</v>
      </c>
      <c r="N892" s="2">
        <v>2397.6</v>
      </c>
      <c r="O892" s="2">
        <v>2440</v>
      </c>
      <c r="P892" s="2">
        <v>40</v>
      </c>
      <c r="Q892" s="2" t="s">
        <v>103</v>
      </c>
      <c r="R892" s="2" t="s">
        <v>31</v>
      </c>
      <c r="S892" s="3">
        <v>45721</v>
      </c>
      <c r="T892" s="6">
        <v>3</v>
      </c>
    </row>
    <row r="893" spans="1:20" x14ac:dyDescent="0.3">
      <c r="A893" s="2" t="s">
        <v>1494</v>
      </c>
      <c r="B893" s="3">
        <v>45694</v>
      </c>
      <c r="C893" s="2" t="s">
        <v>599</v>
      </c>
      <c r="D893" s="2" t="s">
        <v>600</v>
      </c>
      <c r="E893" s="2" t="s">
        <v>77</v>
      </c>
      <c r="F893" s="2">
        <v>32</v>
      </c>
      <c r="G893" s="2" t="s">
        <v>90</v>
      </c>
      <c r="H893" s="2" t="s">
        <v>91</v>
      </c>
      <c r="I893" s="2" t="s">
        <v>319</v>
      </c>
      <c r="J893" s="2" t="s">
        <v>320</v>
      </c>
      <c r="K893" s="2" t="s">
        <v>28</v>
      </c>
      <c r="L893" s="2" t="s">
        <v>29</v>
      </c>
      <c r="M893" s="2">
        <v>3</v>
      </c>
      <c r="N893" s="2">
        <v>2877.6</v>
      </c>
      <c r="O893" s="2">
        <v>2130</v>
      </c>
      <c r="P893" s="2">
        <v>20</v>
      </c>
      <c r="Q893" s="2" t="s">
        <v>73</v>
      </c>
      <c r="R893" s="2" t="s">
        <v>31</v>
      </c>
      <c r="S893" s="3">
        <v>45699</v>
      </c>
      <c r="T893" s="6">
        <v>5</v>
      </c>
    </row>
    <row r="894" spans="1:20" x14ac:dyDescent="0.3">
      <c r="A894" s="2" t="s">
        <v>1495</v>
      </c>
      <c r="B894" s="3">
        <v>45713</v>
      </c>
      <c r="C894" s="2" t="s">
        <v>429</v>
      </c>
      <c r="D894" s="2" t="s">
        <v>315</v>
      </c>
      <c r="E894" s="2" t="s">
        <v>77</v>
      </c>
      <c r="F894" s="2">
        <v>23</v>
      </c>
      <c r="G894" s="2" t="s">
        <v>69</v>
      </c>
      <c r="H894" s="2" t="s">
        <v>69</v>
      </c>
      <c r="I894" s="2" t="s">
        <v>245</v>
      </c>
      <c r="J894" s="2" t="s">
        <v>246</v>
      </c>
      <c r="K894" s="2" t="s">
        <v>130</v>
      </c>
      <c r="L894" s="2" t="s">
        <v>247</v>
      </c>
      <c r="M894" s="2">
        <v>1</v>
      </c>
      <c r="N894" s="2">
        <v>2374.0500000000002</v>
      </c>
      <c r="O894" s="2">
        <v>1870</v>
      </c>
      <c r="P894" s="2">
        <v>5</v>
      </c>
      <c r="Q894" s="2" t="s">
        <v>50</v>
      </c>
      <c r="R894" s="2" t="s">
        <v>57</v>
      </c>
      <c r="S894" s="3">
        <v>45720</v>
      </c>
      <c r="T894" s="6">
        <v>5</v>
      </c>
    </row>
    <row r="895" spans="1:20" x14ac:dyDescent="0.3">
      <c r="A895" s="2" t="s">
        <v>1496</v>
      </c>
      <c r="B895" s="3">
        <v>45753</v>
      </c>
      <c r="C895" s="2" t="s">
        <v>362</v>
      </c>
      <c r="D895" s="2" t="s">
        <v>363</v>
      </c>
      <c r="E895" s="2" t="s">
        <v>77</v>
      </c>
      <c r="F895" s="2">
        <v>30</v>
      </c>
      <c r="G895" s="2" t="s">
        <v>207</v>
      </c>
      <c r="H895" s="2" t="s">
        <v>36</v>
      </c>
      <c r="I895" s="2" t="s">
        <v>70</v>
      </c>
      <c r="J895" s="2" t="s">
        <v>71</v>
      </c>
      <c r="K895" s="2" t="s">
        <v>28</v>
      </c>
      <c r="L895" s="2" t="s">
        <v>72</v>
      </c>
      <c r="M895" s="2">
        <v>5</v>
      </c>
      <c r="N895" s="2">
        <v>7495</v>
      </c>
      <c r="O895" s="2">
        <v>4600</v>
      </c>
      <c r="P895" s="2">
        <v>0</v>
      </c>
      <c r="Q895" s="2" t="s">
        <v>103</v>
      </c>
      <c r="R895" s="2" t="s">
        <v>42</v>
      </c>
      <c r="S895" s="3">
        <v>45756</v>
      </c>
      <c r="T895" s="6">
        <v>5</v>
      </c>
    </row>
    <row r="896" spans="1:20" x14ac:dyDescent="0.3">
      <c r="A896" s="2" t="s">
        <v>1497</v>
      </c>
      <c r="B896" s="3">
        <v>45682</v>
      </c>
      <c r="C896" s="2" t="s">
        <v>605</v>
      </c>
      <c r="D896" s="2" t="s">
        <v>442</v>
      </c>
      <c r="E896" s="2" t="s">
        <v>77</v>
      </c>
      <c r="F896" s="2">
        <v>22</v>
      </c>
      <c r="G896" s="2" t="s">
        <v>165</v>
      </c>
      <c r="H896" s="2" t="s">
        <v>166</v>
      </c>
      <c r="I896" s="2" t="s">
        <v>70</v>
      </c>
      <c r="J896" s="2" t="s">
        <v>71</v>
      </c>
      <c r="K896" s="2" t="s">
        <v>28</v>
      </c>
      <c r="L896" s="2" t="s">
        <v>72</v>
      </c>
      <c r="M896" s="2">
        <v>4</v>
      </c>
      <c r="N896" s="2">
        <v>5996</v>
      </c>
      <c r="O896" s="2">
        <v>3680</v>
      </c>
      <c r="P896" s="2">
        <v>0</v>
      </c>
      <c r="Q896" s="2" t="s">
        <v>73</v>
      </c>
      <c r="R896" s="2" t="s">
        <v>42</v>
      </c>
      <c r="S896" s="3">
        <v>45685</v>
      </c>
      <c r="T896" s="6">
        <v>3</v>
      </c>
    </row>
    <row r="897" spans="1:20" x14ac:dyDescent="0.3">
      <c r="A897" s="2" t="s">
        <v>1498</v>
      </c>
      <c r="B897" s="3">
        <v>45626</v>
      </c>
      <c r="C897" s="2" t="s">
        <v>1137</v>
      </c>
      <c r="D897" s="2" t="s">
        <v>1018</v>
      </c>
      <c r="E897" s="2" t="s">
        <v>23</v>
      </c>
      <c r="F897" s="2">
        <v>29</v>
      </c>
      <c r="G897" s="2" t="s">
        <v>101</v>
      </c>
      <c r="H897" s="2" t="s">
        <v>102</v>
      </c>
      <c r="I897" s="2" t="s">
        <v>63</v>
      </c>
      <c r="J897" s="2" t="s">
        <v>64</v>
      </c>
      <c r="K897" s="2" t="s">
        <v>39</v>
      </c>
      <c r="L897" s="2" t="s">
        <v>40</v>
      </c>
      <c r="M897" s="2">
        <v>1</v>
      </c>
      <c r="N897" s="2">
        <v>569.04999999999995</v>
      </c>
      <c r="O897" s="2">
        <v>330</v>
      </c>
      <c r="P897" s="2">
        <v>5</v>
      </c>
      <c r="Q897" s="2" t="s">
        <v>50</v>
      </c>
      <c r="R897" s="2" t="s">
        <v>31</v>
      </c>
      <c r="S897" s="3">
        <v>45631</v>
      </c>
      <c r="T897" s="6">
        <v>5</v>
      </c>
    </row>
    <row r="898" spans="1:20" x14ac:dyDescent="0.3">
      <c r="A898" s="2" t="s">
        <v>1499</v>
      </c>
      <c r="B898" s="3">
        <v>45435</v>
      </c>
      <c r="C898" s="2" t="s">
        <v>677</v>
      </c>
      <c r="D898" s="2" t="s">
        <v>678</v>
      </c>
      <c r="E898" s="2" t="s">
        <v>77</v>
      </c>
      <c r="F898" s="2">
        <v>34</v>
      </c>
      <c r="G898" s="2" t="s">
        <v>207</v>
      </c>
      <c r="H898" s="2" t="s">
        <v>36</v>
      </c>
      <c r="I898" s="2" t="s">
        <v>319</v>
      </c>
      <c r="J898" s="2" t="s">
        <v>320</v>
      </c>
      <c r="K898" s="2" t="s">
        <v>28</v>
      </c>
      <c r="L898" s="2" t="s">
        <v>29</v>
      </c>
      <c r="M898" s="2">
        <v>2</v>
      </c>
      <c r="N898" s="2">
        <v>2398</v>
      </c>
      <c r="O898" s="2">
        <v>1420</v>
      </c>
      <c r="P898" s="2">
        <v>0</v>
      </c>
      <c r="Q898" s="2" t="s">
        <v>50</v>
      </c>
      <c r="R898" s="2" t="s">
        <v>42</v>
      </c>
      <c r="S898" s="3">
        <v>45439</v>
      </c>
      <c r="T898" s="6">
        <v>4</v>
      </c>
    </row>
    <row r="899" spans="1:20" x14ac:dyDescent="0.3">
      <c r="A899" s="2" t="s">
        <v>1500</v>
      </c>
      <c r="B899" s="3">
        <v>45419</v>
      </c>
      <c r="C899" s="2" t="s">
        <v>640</v>
      </c>
      <c r="D899" s="2" t="s">
        <v>349</v>
      </c>
      <c r="E899" s="2" t="s">
        <v>23</v>
      </c>
      <c r="F899" s="2">
        <v>42</v>
      </c>
      <c r="G899" s="2" t="s">
        <v>165</v>
      </c>
      <c r="H899" s="2" t="s">
        <v>166</v>
      </c>
      <c r="I899" s="2" t="s">
        <v>319</v>
      </c>
      <c r="J899" s="2" t="s">
        <v>320</v>
      </c>
      <c r="K899" s="2" t="s">
        <v>28</v>
      </c>
      <c r="L899" s="2" t="s">
        <v>29</v>
      </c>
      <c r="M899" s="2">
        <v>1</v>
      </c>
      <c r="N899" s="2">
        <v>1199</v>
      </c>
      <c r="O899" s="2">
        <v>710</v>
      </c>
      <c r="P899" s="2">
        <v>0</v>
      </c>
      <c r="Q899" s="2" t="s">
        <v>41</v>
      </c>
      <c r="R899" s="2" t="s">
        <v>42</v>
      </c>
      <c r="S899" s="3">
        <v>45428</v>
      </c>
      <c r="T899" s="6">
        <v>4</v>
      </c>
    </row>
    <row r="900" spans="1:20" x14ac:dyDescent="0.3">
      <c r="A900" s="2" t="s">
        <v>1501</v>
      </c>
      <c r="B900" s="3">
        <v>45474</v>
      </c>
      <c r="C900" s="2" t="s">
        <v>256</v>
      </c>
      <c r="D900" s="2" t="s">
        <v>257</v>
      </c>
      <c r="E900" s="2" t="s">
        <v>23</v>
      </c>
      <c r="F900" s="2">
        <v>23</v>
      </c>
      <c r="G900" s="2" t="s">
        <v>24</v>
      </c>
      <c r="H900" s="2" t="s">
        <v>25</v>
      </c>
      <c r="I900" s="2" t="s">
        <v>107</v>
      </c>
      <c r="J900" s="2" t="s">
        <v>108</v>
      </c>
      <c r="K900" s="2" t="s">
        <v>87</v>
      </c>
      <c r="L900" s="2" t="s">
        <v>88</v>
      </c>
      <c r="M900" s="2">
        <v>5</v>
      </c>
      <c r="N900" s="2">
        <v>3395.75</v>
      </c>
      <c r="O900" s="2">
        <v>2100</v>
      </c>
      <c r="P900" s="2">
        <v>15</v>
      </c>
      <c r="Q900" s="2" t="s">
        <v>103</v>
      </c>
      <c r="R900" s="2" t="s">
        <v>31</v>
      </c>
      <c r="S900" s="3">
        <v>45476</v>
      </c>
      <c r="T900" s="6">
        <v>3</v>
      </c>
    </row>
    <row r="901" spans="1:20" x14ac:dyDescent="0.3">
      <c r="A901" s="2" t="s">
        <v>1502</v>
      </c>
      <c r="B901" s="3">
        <v>45691</v>
      </c>
      <c r="C901" s="2" t="s">
        <v>302</v>
      </c>
      <c r="D901" s="2" t="s">
        <v>303</v>
      </c>
      <c r="E901" s="2" t="s">
        <v>77</v>
      </c>
      <c r="F901" s="2">
        <v>24</v>
      </c>
      <c r="G901" s="2" t="s">
        <v>61</v>
      </c>
      <c r="H901" s="2" t="s">
        <v>62</v>
      </c>
      <c r="I901" s="2" t="s">
        <v>26</v>
      </c>
      <c r="J901" s="2" t="s">
        <v>27</v>
      </c>
      <c r="K901" s="2" t="s">
        <v>28</v>
      </c>
      <c r="L901" s="2" t="s">
        <v>29</v>
      </c>
      <c r="M901" s="2">
        <v>5</v>
      </c>
      <c r="N901" s="2">
        <v>6495</v>
      </c>
      <c r="O901" s="2">
        <v>3950</v>
      </c>
      <c r="P901" s="2">
        <v>0</v>
      </c>
      <c r="Q901" s="2" t="s">
        <v>73</v>
      </c>
      <c r="R901" s="2" t="s">
        <v>57</v>
      </c>
      <c r="S901" s="3">
        <v>45699</v>
      </c>
      <c r="T901" s="6">
        <v>4</v>
      </c>
    </row>
    <row r="902" spans="1:20" x14ac:dyDescent="0.3">
      <c r="A902" s="2" t="s">
        <v>1503</v>
      </c>
      <c r="B902" s="3">
        <v>45547</v>
      </c>
      <c r="C902" s="2" t="s">
        <v>520</v>
      </c>
      <c r="D902" s="2" t="s">
        <v>506</v>
      </c>
      <c r="E902" s="2" t="s">
        <v>77</v>
      </c>
      <c r="F902" s="2">
        <v>36</v>
      </c>
      <c r="G902" s="2" t="s">
        <v>90</v>
      </c>
      <c r="H902" s="2" t="s">
        <v>91</v>
      </c>
      <c r="I902" s="2" t="s">
        <v>70</v>
      </c>
      <c r="J902" s="2" t="s">
        <v>71</v>
      </c>
      <c r="K902" s="2" t="s">
        <v>28</v>
      </c>
      <c r="L902" s="2" t="s">
        <v>72</v>
      </c>
      <c r="M902" s="2">
        <v>1</v>
      </c>
      <c r="N902" s="2">
        <v>1499</v>
      </c>
      <c r="O902" s="2">
        <v>920</v>
      </c>
      <c r="P902" s="2">
        <v>0</v>
      </c>
      <c r="Q902" s="2" t="s">
        <v>103</v>
      </c>
      <c r="R902" s="2" t="s">
        <v>42</v>
      </c>
      <c r="S902" s="3">
        <v>45549</v>
      </c>
      <c r="T902" s="6">
        <v>4</v>
      </c>
    </row>
    <row r="903" spans="1:20" x14ac:dyDescent="0.3">
      <c r="A903" s="2" t="s">
        <v>1504</v>
      </c>
      <c r="B903" s="3">
        <v>45488</v>
      </c>
      <c r="C903" s="2" t="s">
        <v>671</v>
      </c>
      <c r="D903" s="2" t="s">
        <v>60</v>
      </c>
      <c r="E903" s="2" t="s">
        <v>23</v>
      </c>
      <c r="F903" s="2">
        <v>38</v>
      </c>
      <c r="G903" s="2" t="s">
        <v>90</v>
      </c>
      <c r="H903" s="2" t="s">
        <v>91</v>
      </c>
      <c r="I903" s="2" t="s">
        <v>229</v>
      </c>
      <c r="J903" s="2" t="s">
        <v>230</v>
      </c>
      <c r="K903" s="2" t="s">
        <v>28</v>
      </c>
      <c r="L903" s="2" t="s">
        <v>231</v>
      </c>
      <c r="M903" s="2">
        <v>2</v>
      </c>
      <c r="N903" s="2">
        <v>3598.2</v>
      </c>
      <c r="O903" s="2">
        <v>2460</v>
      </c>
      <c r="P903" s="2">
        <v>10</v>
      </c>
      <c r="Q903" s="2" t="s">
        <v>73</v>
      </c>
      <c r="R903" s="2" t="s">
        <v>42</v>
      </c>
      <c r="S903" s="3">
        <v>45498</v>
      </c>
      <c r="T903" s="6">
        <v>3</v>
      </c>
    </row>
    <row r="904" spans="1:20" x14ac:dyDescent="0.3">
      <c r="A904" s="2" t="s">
        <v>1505</v>
      </c>
      <c r="B904" s="3">
        <v>45626</v>
      </c>
      <c r="C904" s="2" t="s">
        <v>852</v>
      </c>
      <c r="D904" s="2" t="s">
        <v>724</v>
      </c>
      <c r="E904" s="2" t="s">
        <v>77</v>
      </c>
      <c r="F904" s="2">
        <v>39</v>
      </c>
      <c r="G904" s="2" t="s">
        <v>154</v>
      </c>
      <c r="H904" s="2" t="s">
        <v>91</v>
      </c>
      <c r="I904" s="2" t="s">
        <v>155</v>
      </c>
      <c r="J904" s="2" t="s">
        <v>156</v>
      </c>
      <c r="K904" s="2" t="s">
        <v>114</v>
      </c>
      <c r="L904" s="2" t="s">
        <v>157</v>
      </c>
      <c r="M904" s="2">
        <v>2</v>
      </c>
      <c r="N904" s="2">
        <v>1398.6</v>
      </c>
      <c r="O904" s="2">
        <v>1220</v>
      </c>
      <c r="P904" s="2">
        <v>30</v>
      </c>
      <c r="Q904" s="2" t="s">
        <v>103</v>
      </c>
      <c r="R904" s="2" t="s">
        <v>42</v>
      </c>
      <c r="S904" s="3">
        <v>45631</v>
      </c>
      <c r="T904" s="6">
        <v>4</v>
      </c>
    </row>
    <row r="905" spans="1:20" x14ac:dyDescent="0.3">
      <c r="A905" s="2" t="s">
        <v>1506</v>
      </c>
      <c r="B905" s="3">
        <v>45400</v>
      </c>
      <c r="C905" s="2" t="s">
        <v>893</v>
      </c>
      <c r="D905" s="2" t="s">
        <v>894</v>
      </c>
      <c r="E905" s="2" t="s">
        <v>77</v>
      </c>
      <c r="F905" s="2">
        <v>42</v>
      </c>
      <c r="G905" s="2" t="s">
        <v>126</v>
      </c>
      <c r="H905" s="2" t="s">
        <v>127</v>
      </c>
      <c r="I905" s="2" t="s">
        <v>319</v>
      </c>
      <c r="J905" s="2" t="s">
        <v>320</v>
      </c>
      <c r="K905" s="2" t="s">
        <v>28</v>
      </c>
      <c r="L905" s="2" t="s">
        <v>29</v>
      </c>
      <c r="M905" s="2">
        <v>1</v>
      </c>
      <c r="N905" s="2">
        <v>839.3</v>
      </c>
      <c r="O905" s="2">
        <v>710</v>
      </c>
      <c r="P905" s="2">
        <v>30</v>
      </c>
      <c r="Q905" s="2" t="s">
        <v>41</v>
      </c>
      <c r="R905" s="2" t="s">
        <v>42</v>
      </c>
      <c r="S905" s="3">
        <v>45408</v>
      </c>
      <c r="T905" s="6">
        <v>4</v>
      </c>
    </row>
    <row r="906" spans="1:20" x14ac:dyDescent="0.3">
      <c r="A906" s="2" t="s">
        <v>1507</v>
      </c>
      <c r="B906" s="3">
        <v>45761</v>
      </c>
      <c r="C906" s="2" t="s">
        <v>215</v>
      </c>
      <c r="D906" s="2" t="s">
        <v>147</v>
      </c>
      <c r="E906" s="2" t="s">
        <v>23</v>
      </c>
      <c r="F906" s="2">
        <v>33</v>
      </c>
      <c r="G906" s="2" t="s">
        <v>46</v>
      </c>
      <c r="H906" s="2" t="s">
        <v>25</v>
      </c>
      <c r="I906" s="2" t="s">
        <v>107</v>
      </c>
      <c r="J906" s="2" t="s">
        <v>108</v>
      </c>
      <c r="K906" s="2" t="s">
        <v>87</v>
      </c>
      <c r="L906" s="2" t="s">
        <v>88</v>
      </c>
      <c r="M906" s="2">
        <v>3</v>
      </c>
      <c r="N906" s="2">
        <v>1797.75</v>
      </c>
      <c r="O906" s="2">
        <v>1260</v>
      </c>
      <c r="P906" s="2">
        <v>25</v>
      </c>
      <c r="Q906" s="2" t="s">
        <v>73</v>
      </c>
      <c r="R906" s="2" t="s">
        <v>42</v>
      </c>
      <c r="S906" s="3">
        <v>45766</v>
      </c>
      <c r="T906" s="6">
        <v>5</v>
      </c>
    </row>
    <row r="907" spans="1:20" x14ac:dyDescent="0.3">
      <c r="A907" s="2" t="s">
        <v>1508</v>
      </c>
      <c r="B907" s="3">
        <v>45600</v>
      </c>
      <c r="C907" s="2" t="s">
        <v>455</v>
      </c>
      <c r="D907" s="2" t="s">
        <v>311</v>
      </c>
      <c r="E907" s="2" t="s">
        <v>23</v>
      </c>
      <c r="F907" s="2">
        <v>42</v>
      </c>
      <c r="G907" s="2" t="s">
        <v>69</v>
      </c>
      <c r="H907" s="2" t="s">
        <v>69</v>
      </c>
      <c r="I907" s="2" t="s">
        <v>85</v>
      </c>
      <c r="J907" s="2" t="s">
        <v>86</v>
      </c>
      <c r="K907" s="2" t="s">
        <v>87</v>
      </c>
      <c r="L907" s="2" t="s">
        <v>88</v>
      </c>
      <c r="M907" s="2">
        <v>5</v>
      </c>
      <c r="N907" s="2">
        <v>6295.5</v>
      </c>
      <c r="O907" s="2">
        <v>3950</v>
      </c>
      <c r="P907" s="2">
        <v>10</v>
      </c>
      <c r="Q907" s="2" t="s">
        <v>41</v>
      </c>
      <c r="R907" s="2" t="s">
        <v>42</v>
      </c>
      <c r="S907" s="3">
        <v>45611</v>
      </c>
      <c r="T907" s="6">
        <v>4</v>
      </c>
    </row>
    <row r="908" spans="1:20" x14ac:dyDescent="0.3">
      <c r="A908" s="2" t="s">
        <v>1509</v>
      </c>
      <c r="B908" s="3">
        <v>45938</v>
      </c>
      <c r="C908" s="2" t="s">
        <v>711</v>
      </c>
      <c r="D908" s="2" t="s">
        <v>712</v>
      </c>
      <c r="E908" s="2" t="s">
        <v>77</v>
      </c>
      <c r="F908" s="2">
        <v>58</v>
      </c>
      <c r="G908" s="2" t="s">
        <v>173</v>
      </c>
      <c r="H908" s="2" t="s">
        <v>79</v>
      </c>
      <c r="I908" s="2" t="s">
        <v>183</v>
      </c>
      <c r="J908" s="2" t="s">
        <v>184</v>
      </c>
      <c r="K908" s="2" t="s">
        <v>130</v>
      </c>
      <c r="L908" s="2" t="s">
        <v>185</v>
      </c>
      <c r="M908" s="2">
        <v>2</v>
      </c>
      <c r="N908" s="2">
        <v>5998.5</v>
      </c>
      <c r="O908" s="2">
        <v>6100</v>
      </c>
      <c r="P908" s="2">
        <v>25</v>
      </c>
      <c r="Q908" s="2" t="s">
        <v>103</v>
      </c>
      <c r="R908" s="2" t="s">
        <v>42</v>
      </c>
      <c r="S908" s="3">
        <v>45945</v>
      </c>
      <c r="T908" s="6">
        <v>2</v>
      </c>
    </row>
    <row r="909" spans="1:20" x14ac:dyDescent="0.3">
      <c r="A909" s="2" t="s">
        <v>1510</v>
      </c>
      <c r="B909" s="3">
        <v>45915</v>
      </c>
      <c r="C909" s="2" t="s">
        <v>788</v>
      </c>
      <c r="D909" s="2" t="s">
        <v>789</v>
      </c>
      <c r="E909" s="2" t="s">
        <v>77</v>
      </c>
      <c r="F909" s="2">
        <v>52</v>
      </c>
      <c r="G909" s="2" t="s">
        <v>61</v>
      </c>
      <c r="H909" s="2" t="s">
        <v>62</v>
      </c>
      <c r="I909" s="2" t="s">
        <v>47</v>
      </c>
      <c r="J909" s="2" t="s">
        <v>48</v>
      </c>
      <c r="K909" s="2" t="s">
        <v>39</v>
      </c>
      <c r="L909" s="2" t="s">
        <v>49</v>
      </c>
      <c r="M909" s="2">
        <v>5</v>
      </c>
      <c r="N909" s="2">
        <v>1695.75</v>
      </c>
      <c r="O909" s="2">
        <v>1050</v>
      </c>
      <c r="P909" s="2">
        <v>15</v>
      </c>
      <c r="Q909" s="2" t="s">
        <v>50</v>
      </c>
      <c r="R909" s="2" t="s">
        <v>65</v>
      </c>
      <c r="S909" s="3" t="s">
        <v>1604</v>
      </c>
      <c r="T909" s="6" t="s">
        <v>1604</v>
      </c>
    </row>
    <row r="910" spans="1:20" x14ac:dyDescent="0.3">
      <c r="A910" s="2" t="s">
        <v>1511</v>
      </c>
      <c r="B910" s="3">
        <v>46013</v>
      </c>
      <c r="C910" s="2" t="s">
        <v>1512</v>
      </c>
      <c r="D910" s="2" t="s">
        <v>1513</v>
      </c>
      <c r="E910" s="2" t="s">
        <v>23</v>
      </c>
      <c r="F910" s="2">
        <v>50</v>
      </c>
      <c r="G910" s="2" t="s">
        <v>90</v>
      </c>
      <c r="H910" s="2" t="s">
        <v>91</v>
      </c>
      <c r="I910" s="2" t="s">
        <v>80</v>
      </c>
      <c r="J910" s="2" t="s">
        <v>81</v>
      </c>
      <c r="K910" s="2" t="s">
        <v>28</v>
      </c>
      <c r="L910" s="2" t="s">
        <v>29</v>
      </c>
      <c r="M910" s="2">
        <v>5</v>
      </c>
      <c r="N910" s="2">
        <v>3795.25</v>
      </c>
      <c r="O910" s="2">
        <v>2350</v>
      </c>
      <c r="P910" s="2">
        <v>5</v>
      </c>
      <c r="Q910" s="2" t="s">
        <v>41</v>
      </c>
      <c r="R910" s="2" t="s">
        <v>42</v>
      </c>
      <c r="S910" s="3">
        <v>46021</v>
      </c>
      <c r="T910" s="6">
        <v>4</v>
      </c>
    </row>
    <row r="911" spans="1:20" x14ac:dyDescent="0.3">
      <c r="A911" s="2" t="s">
        <v>1514</v>
      </c>
      <c r="B911" s="3">
        <v>45926</v>
      </c>
      <c r="C911" s="2" t="s">
        <v>978</v>
      </c>
      <c r="D911" s="2" t="s">
        <v>341</v>
      </c>
      <c r="E911" s="2" t="s">
        <v>23</v>
      </c>
      <c r="F911" s="2">
        <v>52</v>
      </c>
      <c r="G911" s="2" t="s">
        <v>24</v>
      </c>
      <c r="H911" s="2" t="s">
        <v>25</v>
      </c>
      <c r="I911" s="2" t="s">
        <v>252</v>
      </c>
      <c r="J911" s="2" t="s">
        <v>253</v>
      </c>
      <c r="K911" s="2" t="s">
        <v>28</v>
      </c>
      <c r="L911" s="2" t="s">
        <v>254</v>
      </c>
      <c r="M911" s="2">
        <v>3</v>
      </c>
      <c r="N911" s="2">
        <v>5398.2</v>
      </c>
      <c r="O911" s="2">
        <v>5700</v>
      </c>
      <c r="P911" s="2">
        <v>40</v>
      </c>
      <c r="Q911" s="2" t="s">
        <v>41</v>
      </c>
      <c r="R911" s="2" t="s">
        <v>42</v>
      </c>
      <c r="S911" s="3">
        <v>45930</v>
      </c>
      <c r="T911" s="6">
        <v>5</v>
      </c>
    </row>
    <row r="912" spans="1:20" x14ac:dyDescent="0.3">
      <c r="A912" s="2" t="s">
        <v>1515</v>
      </c>
      <c r="B912" s="3">
        <v>45501</v>
      </c>
      <c r="C912" s="2" t="s">
        <v>334</v>
      </c>
      <c r="D912" s="2" t="s">
        <v>335</v>
      </c>
      <c r="E912" s="2" t="s">
        <v>77</v>
      </c>
      <c r="F912" s="2">
        <v>41</v>
      </c>
      <c r="G912" s="2" t="s">
        <v>90</v>
      </c>
      <c r="H912" s="2" t="s">
        <v>91</v>
      </c>
      <c r="I912" s="2" t="s">
        <v>177</v>
      </c>
      <c r="J912" s="2" t="s">
        <v>178</v>
      </c>
      <c r="K912" s="2" t="s">
        <v>87</v>
      </c>
      <c r="L912" s="2" t="s">
        <v>179</v>
      </c>
      <c r="M912" s="2">
        <v>5</v>
      </c>
      <c r="N912" s="2">
        <v>7497</v>
      </c>
      <c r="O912" s="2">
        <v>8100</v>
      </c>
      <c r="P912" s="2">
        <v>40</v>
      </c>
      <c r="Q912" s="2" t="s">
        <v>41</v>
      </c>
      <c r="R912" s="2" t="s">
        <v>42</v>
      </c>
      <c r="S912" s="3">
        <v>45507</v>
      </c>
      <c r="T912" s="6">
        <v>4</v>
      </c>
    </row>
    <row r="913" spans="1:20" x14ac:dyDescent="0.3">
      <c r="A913" s="2" t="s">
        <v>1516</v>
      </c>
      <c r="B913" s="3">
        <v>45951</v>
      </c>
      <c r="C913" s="2" t="s">
        <v>465</v>
      </c>
      <c r="D913" s="2" t="s">
        <v>53</v>
      </c>
      <c r="E913" s="2" t="s">
        <v>23</v>
      </c>
      <c r="F913" s="2">
        <v>22</v>
      </c>
      <c r="G913" s="2" t="s">
        <v>122</v>
      </c>
      <c r="H913" s="2" t="s">
        <v>123</v>
      </c>
      <c r="I913" s="2" t="s">
        <v>92</v>
      </c>
      <c r="J913" s="2" t="s">
        <v>93</v>
      </c>
      <c r="K913" s="2" t="s">
        <v>87</v>
      </c>
      <c r="L913" s="2" t="s">
        <v>94</v>
      </c>
      <c r="M913" s="2">
        <v>3</v>
      </c>
      <c r="N913" s="2">
        <v>4797</v>
      </c>
      <c r="O913" s="2">
        <v>2790</v>
      </c>
      <c r="P913" s="2">
        <v>0</v>
      </c>
      <c r="Q913" s="2" t="s">
        <v>30</v>
      </c>
      <c r="R913" s="2" t="s">
        <v>57</v>
      </c>
      <c r="S913" s="3">
        <v>45958</v>
      </c>
      <c r="T913" s="6">
        <v>4</v>
      </c>
    </row>
    <row r="914" spans="1:20" x14ac:dyDescent="0.3">
      <c r="A914" s="2" t="s">
        <v>1517</v>
      </c>
      <c r="B914" s="3">
        <v>45540</v>
      </c>
      <c r="C914" s="2" t="s">
        <v>873</v>
      </c>
      <c r="D914" s="2" t="s">
        <v>874</v>
      </c>
      <c r="E914" s="2" t="s">
        <v>23</v>
      </c>
      <c r="F914" s="2">
        <v>55</v>
      </c>
      <c r="G914" s="2" t="s">
        <v>24</v>
      </c>
      <c r="H914" s="2" t="s">
        <v>25</v>
      </c>
      <c r="I914" s="2" t="s">
        <v>107</v>
      </c>
      <c r="J914" s="2" t="s">
        <v>108</v>
      </c>
      <c r="K914" s="2" t="s">
        <v>87</v>
      </c>
      <c r="L914" s="2" t="s">
        <v>88</v>
      </c>
      <c r="M914" s="2">
        <v>2</v>
      </c>
      <c r="N914" s="2">
        <v>1358.3</v>
      </c>
      <c r="O914" s="2">
        <v>840</v>
      </c>
      <c r="P914" s="2">
        <v>15</v>
      </c>
      <c r="Q914" s="2" t="s">
        <v>50</v>
      </c>
      <c r="R914" s="2" t="s">
        <v>57</v>
      </c>
      <c r="S914" s="3">
        <v>45548</v>
      </c>
      <c r="T914" s="6">
        <v>4</v>
      </c>
    </row>
    <row r="915" spans="1:20" x14ac:dyDescent="0.3">
      <c r="A915" s="2" t="s">
        <v>1518</v>
      </c>
      <c r="B915" s="3">
        <v>45479</v>
      </c>
      <c r="C915" s="2" t="s">
        <v>138</v>
      </c>
      <c r="D915" s="2" t="s">
        <v>139</v>
      </c>
      <c r="E915" s="2" t="s">
        <v>77</v>
      </c>
      <c r="F915" s="2">
        <v>42</v>
      </c>
      <c r="G915" s="2" t="s">
        <v>161</v>
      </c>
      <c r="H915" s="2" t="s">
        <v>25</v>
      </c>
      <c r="I915" s="2" t="s">
        <v>54</v>
      </c>
      <c r="J915" s="2" t="s">
        <v>55</v>
      </c>
      <c r="K915" s="2" t="s">
        <v>28</v>
      </c>
      <c r="L915" s="2" t="s">
        <v>56</v>
      </c>
      <c r="M915" s="2">
        <v>4</v>
      </c>
      <c r="N915" s="2">
        <v>2656.2</v>
      </c>
      <c r="O915" s="2">
        <v>1640</v>
      </c>
      <c r="P915" s="2">
        <v>5</v>
      </c>
      <c r="Q915" s="2" t="s">
        <v>30</v>
      </c>
      <c r="R915" s="2" t="s">
        <v>42</v>
      </c>
      <c r="S915" s="3">
        <v>45491</v>
      </c>
      <c r="T915" s="6">
        <v>3</v>
      </c>
    </row>
    <row r="916" spans="1:20" x14ac:dyDescent="0.3">
      <c r="A916" s="2" t="s">
        <v>1519</v>
      </c>
      <c r="B916" s="3">
        <v>45501</v>
      </c>
      <c r="C916" s="2" t="s">
        <v>415</v>
      </c>
      <c r="D916" s="2" t="s">
        <v>416</v>
      </c>
      <c r="E916" s="2" t="s">
        <v>23</v>
      </c>
      <c r="F916" s="2">
        <v>49</v>
      </c>
      <c r="G916" s="2" t="s">
        <v>46</v>
      </c>
      <c r="H916" s="2" t="s">
        <v>25</v>
      </c>
      <c r="I916" s="2" t="s">
        <v>319</v>
      </c>
      <c r="J916" s="2" t="s">
        <v>320</v>
      </c>
      <c r="K916" s="2" t="s">
        <v>28</v>
      </c>
      <c r="L916" s="2" t="s">
        <v>29</v>
      </c>
      <c r="M916" s="2">
        <v>5</v>
      </c>
      <c r="N916" s="2">
        <v>5095.75</v>
      </c>
      <c r="O916" s="2">
        <v>3550</v>
      </c>
      <c r="P916" s="2">
        <v>15</v>
      </c>
      <c r="Q916" s="2" t="s">
        <v>30</v>
      </c>
      <c r="R916" s="2" t="s">
        <v>65</v>
      </c>
      <c r="S916" s="3" t="s">
        <v>1604</v>
      </c>
      <c r="T916" s="6" t="s">
        <v>1604</v>
      </c>
    </row>
    <row r="917" spans="1:20" x14ac:dyDescent="0.3">
      <c r="A917" s="2" t="s">
        <v>1520</v>
      </c>
      <c r="B917" s="3">
        <v>45372</v>
      </c>
      <c r="C917" s="2" t="s">
        <v>704</v>
      </c>
      <c r="D917" s="2" t="s">
        <v>479</v>
      </c>
      <c r="E917" s="2" t="s">
        <v>23</v>
      </c>
      <c r="F917" s="2">
        <v>42</v>
      </c>
      <c r="G917" s="2" t="s">
        <v>61</v>
      </c>
      <c r="H917" s="2" t="s">
        <v>62</v>
      </c>
      <c r="I917" s="2" t="s">
        <v>143</v>
      </c>
      <c r="J917" s="2" t="s">
        <v>144</v>
      </c>
      <c r="K917" s="2" t="s">
        <v>130</v>
      </c>
      <c r="L917" s="2" t="s">
        <v>131</v>
      </c>
      <c r="M917" s="2">
        <v>2</v>
      </c>
      <c r="N917" s="2">
        <v>9348.2999999999993</v>
      </c>
      <c r="O917" s="2">
        <v>8600</v>
      </c>
      <c r="P917" s="2">
        <v>15</v>
      </c>
      <c r="Q917" s="2" t="s">
        <v>30</v>
      </c>
      <c r="R917" s="2" t="s">
        <v>42</v>
      </c>
      <c r="S917" s="3">
        <v>45376</v>
      </c>
      <c r="T917" s="6">
        <v>4</v>
      </c>
    </row>
    <row r="918" spans="1:20" x14ac:dyDescent="0.3">
      <c r="A918" s="2" t="s">
        <v>1521</v>
      </c>
      <c r="B918" s="3">
        <v>45602</v>
      </c>
      <c r="C918" s="2" t="s">
        <v>422</v>
      </c>
      <c r="D918" s="2" t="s">
        <v>367</v>
      </c>
      <c r="E918" s="2" t="s">
        <v>77</v>
      </c>
      <c r="F918" s="2">
        <v>41</v>
      </c>
      <c r="G918" s="2" t="s">
        <v>61</v>
      </c>
      <c r="H918" s="2" t="s">
        <v>62</v>
      </c>
      <c r="I918" s="2" t="s">
        <v>92</v>
      </c>
      <c r="J918" s="2" t="s">
        <v>93</v>
      </c>
      <c r="K918" s="2" t="s">
        <v>87</v>
      </c>
      <c r="L918" s="2" t="s">
        <v>94</v>
      </c>
      <c r="M918" s="2">
        <v>2</v>
      </c>
      <c r="N918" s="2">
        <v>2558.4</v>
      </c>
      <c r="O918" s="2">
        <v>1860</v>
      </c>
      <c r="P918" s="2">
        <v>20</v>
      </c>
      <c r="Q918" s="2" t="s">
        <v>103</v>
      </c>
      <c r="R918" s="2" t="s">
        <v>42</v>
      </c>
      <c r="S918" s="3">
        <v>45609</v>
      </c>
      <c r="T918" s="6">
        <v>5</v>
      </c>
    </row>
    <row r="919" spans="1:20" x14ac:dyDescent="0.3">
      <c r="A919" s="2" t="s">
        <v>1522</v>
      </c>
      <c r="B919" s="3">
        <v>45678</v>
      </c>
      <c r="C919" s="2" t="s">
        <v>190</v>
      </c>
      <c r="D919" s="2" t="s">
        <v>191</v>
      </c>
      <c r="E919" s="2" t="s">
        <v>23</v>
      </c>
      <c r="F919" s="2">
        <v>45</v>
      </c>
      <c r="G919" s="2" t="s">
        <v>101</v>
      </c>
      <c r="H919" s="2" t="s">
        <v>102</v>
      </c>
      <c r="I919" s="2" t="s">
        <v>63</v>
      </c>
      <c r="J919" s="2" t="s">
        <v>64</v>
      </c>
      <c r="K919" s="2" t="s">
        <v>39</v>
      </c>
      <c r="L919" s="2" t="s">
        <v>40</v>
      </c>
      <c r="M919" s="2">
        <v>4</v>
      </c>
      <c r="N919" s="2">
        <v>1677.2</v>
      </c>
      <c r="O919" s="2">
        <v>1320</v>
      </c>
      <c r="P919" s="2">
        <v>30</v>
      </c>
      <c r="Q919" s="2" t="s">
        <v>30</v>
      </c>
      <c r="R919" s="2" t="s">
        <v>57</v>
      </c>
      <c r="S919" s="3">
        <v>45687</v>
      </c>
      <c r="T919" s="6">
        <v>2</v>
      </c>
    </row>
    <row r="920" spans="1:20" x14ac:dyDescent="0.3">
      <c r="A920" s="2" t="s">
        <v>1523</v>
      </c>
      <c r="B920" s="3">
        <v>45682</v>
      </c>
      <c r="C920" s="2" t="s">
        <v>704</v>
      </c>
      <c r="D920" s="2" t="s">
        <v>479</v>
      </c>
      <c r="E920" s="2" t="s">
        <v>23</v>
      </c>
      <c r="F920" s="2">
        <v>42</v>
      </c>
      <c r="G920" s="2" t="s">
        <v>46</v>
      </c>
      <c r="H920" s="2" t="s">
        <v>25</v>
      </c>
      <c r="I920" s="2" t="s">
        <v>143</v>
      </c>
      <c r="J920" s="2" t="s">
        <v>144</v>
      </c>
      <c r="K920" s="2" t="s">
        <v>130</v>
      </c>
      <c r="L920" s="2" t="s">
        <v>131</v>
      </c>
      <c r="M920" s="2">
        <v>5</v>
      </c>
      <c r="N920" s="2">
        <v>24745.5</v>
      </c>
      <c r="O920" s="2">
        <v>21500</v>
      </c>
      <c r="P920" s="2">
        <v>10</v>
      </c>
      <c r="Q920" s="2" t="s">
        <v>50</v>
      </c>
      <c r="R920" s="2" t="s">
        <v>31</v>
      </c>
      <c r="S920" s="3">
        <v>45686</v>
      </c>
      <c r="T920" s="6">
        <v>4</v>
      </c>
    </row>
    <row r="921" spans="1:20" x14ac:dyDescent="0.3">
      <c r="A921" s="2" t="s">
        <v>1524</v>
      </c>
      <c r="B921" s="3">
        <v>45681</v>
      </c>
      <c r="C921" s="2" t="s">
        <v>1137</v>
      </c>
      <c r="D921" s="2" t="s">
        <v>1018</v>
      </c>
      <c r="E921" s="2" t="s">
        <v>23</v>
      </c>
      <c r="F921" s="2">
        <v>29</v>
      </c>
      <c r="G921" s="2" t="s">
        <v>35</v>
      </c>
      <c r="H921" s="2" t="s">
        <v>36</v>
      </c>
      <c r="I921" s="2" t="s">
        <v>63</v>
      </c>
      <c r="J921" s="2" t="s">
        <v>64</v>
      </c>
      <c r="K921" s="2" t="s">
        <v>39</v>
      </c>
      <c r="L921" s="2" t="s">
        <v>40</v>
      </c>
      <c r="M921" s="2">
        <v>3</v>
      </c>
      <c r="N921" s="2">
        <v>1257.9000000000001</v>
      </c>
      <c r="O921" s="2">
        <v>990</v>
      </c>
      <c r="P921" s="2">
        <v>30</v>
      </c>
      <c r="Q921" s="2" t="s">
        <v>50</v>
      </c>
      <c r="R921" s="2" t="s">
        <v>65</v>
      </c>
      <c r="S921" s="3" t="s">
        <v>1604</v>
      </c>
      <c r="T921" s="6" t="s">
        <v>1604</v>
      </c>
    </row>
    <row r="922" spans="1:20" x14ac:dyDescent="0.3">
      <c r="A922" s="2" t="s">
        <v>1525</v>
      </c>
      <c r="B922" s="3">
        <v>45784</v>
      </c>
      <c r="C922" s="2" t="s">
        <v>657</v>
      </c>
      <c r="D922" s="2" t="s">
        <v>658</v>
      </c>
      <c r="E922" s="2" t="s">
        <v>23</v>
      </c>
      <c r="F922" s="2">
        <v>31</v>
      </c>
      <c r="G922" s="2" t="s">
        <v>126</v>
      </c>
      <c r="H922" s="2" t="s">
        <v>127</v>
      </c>
      <c r="I922" s="2" t="s">
        <v>252</v>
      </c>
      <c r="J922" s="2" t="s">
        <v>253</v>
      </c>
      <c r="K922" s="2" t="s">
        <v>28</v>
      </c>
      <c r="L922" s="2" t="s">
        <v>254</v>
      </c>
      <c r="M922" s="2">
        <v>4</v>
      </c>
      <c r="N922" s="2">
        <v>10196.6</v>
      </c>
      <c r="O922" s="2">
        <v>7600</v>
      </c>
      <c r="P922" s="2">
        <v>15</v>
      </c>
      <c r="Q922" s="2" t="s">
        <v>30</v>
      </c>
      <c r="R922" s="2" t="s">
        <v>42</v>
      </c>
      <c r="S922" s="3">
        <v>45786</v>
      </c>
      <c r="T922" s="6">
        <v>2</v>
      </c>
    </row>
    <row r="923" spans="1:20" x14ac:dyDescent="0.3">
      <c r="A923" s="2" t="s">
        <v>1526</v>
      </c>
      <c r="B923" s="3">
        <v>45804</v>
      </c>
      <c r="C923" s="2" t="s">
        <v>520</v>
      </c>
      <c r="D923" s="2" t="s">
        <v>506</v>
      </c>
      <c r="E923" s="2" t="s">
        <v>77</v>
      </c>
      <c r="F923" s="2">
        <v>36</v>
      </c>
      <c r="G923" s="2" t="s">
        <v>101</v>
      </c>
      <c r="H923" s="2" t="s">
        <v>102</v>
      </c>
      <c r="I923" s="2" t="s">
        <v>47</v>
      </c>
      <c r="J923" s="2" t="s">
        <v>48</v>
      </c>
      <c r="K923" s="2" t="s">
        <v>39</v>
      </c>
      <c r="L923" s="2" t="s">
        <v>49</v>
      </c>
      <c r="M923" s="2">
        <v>4</v>
      </c>
      <c r="N923" s="2">
        <v>1117.2</v>
      </c>
      <c r="O923" s="2">
        <v>840</v>
      </c>
      <c r="P923" s="2">
        <v>30</v>
      </c>
      <c r="Q923" s="2" t="s">
        <v>41</v>
      </c>
      <c r="R923" s="2" t="s">
        <v>42</v>
      </c>
      <c r="S923" s="3">
        <v>45813</v>
      </c>
      <c r="T923" s="6">
        <v>4</v>
      </c>
    </row>
    <row r="924" spans="1:20" x14ac:dyDescent="0.3">
      <c r="A924" s="2" t="s">
        <v>1527</v>
      </c>
      <c r="B924" s="3">
        <v>45948</v>
      </c>
      <c r="C924" s="2" t="s">
        <v>657</v>
      </c>
      <c r="D924" s="2" t="s">
        <v>658</v>
      </c>
      <c r="E924" s="2" t="s">
        <v>23</v>
      </c>
      <c r="F924" s="2">
        <v>31</v>
      </c>
      <c r="G924" s="2" t="s">
        <v>122</v>
      </c>
      <c r="H924" s="2" t="s">
        <v>123</v>
      </c>
      <c r="I924" s="2" t="s">
        <v>26</v>
      </c>
      <c r="J924" s="2" t="s">
        <v>27</v>
      </c>
      <c r="K924" s="2" t="s">
        <v>28</v>
      </c>
      <c r="L924" s="2" t="s">
        <v>29</v>
      </c>
      <c r="M924" s="2">
        <v>1</v>
      </c>
      <c r="N924" s="2">
        <v>909.3</v>
      </c>
      <c r="O924" s="2">
        <v>790</v>
      </c>
      <c r="P924" s="2">
        <v>30</v>
      </c>
      <c r="Q924" s="2" t="s">
        <v>50</v>
      </c>
      <c r="R924" s="2" t="s">
        <v>42</v>
      </c>
      <c r="S924" s="3">
        <v>45953</v>
      </c>
      <c r="T924" s="6">
        <v>5</v>
      </c>
    </row>
    <row r="925" spans="1:20" x14ac:dyDescent="0.3">
      <c r="A925" s="2" t="s">
        <v>1528</v>
      </c>
      <c r="B925" s="3">
        <v>45553</v>
      </c>
      <c r="C925" s="2" t="s">
        <v>322</v>
      </c>
      <c r="D925" s="2" t="s">
        <v>323</v>
      </c>
      <c r="E925" s="2" t="s">
        <v>23</v>
      </c>
      <c r="F925" s="2">
        <v>50</v>
      </c>
      <c r="G925" s="2" t="s">
        <v>101</v>
      </c>
      <c r="H925" s="2" t="s">
        <v>102</v>
      </c>
      <c r="I925" s="2" t="s">
        <v>92</v>
      </c>
      <c r="J925" s="2" t="s">
        <v>93</v>
      </c>
      <c r="K925" s="2" t="s">
        <v>87</v>
      </c>
      <c r="L925" s="2" t="s">
        <v>94</v>
      </c>
      <c r="M925" s="2">
        <v>3</v>
      </c>
      <c r="N925" s="2">
        <v>4797</v>
      </c>
      <c r="O925" s="2">
        <v>2790</v>
      </c>
      <c r="P925" s="2">
        <v>0</v>
      </c>
      <c r="Q925" s="2" t="s">
        <v>103</v>
      </c>
      <c r="R925" s="2" t="s">
        <v>42</v>
      </c>
      <c r="S925" s="3">
        <v>45558</v>
      </c>
      <c r="T925" s="6">
        <v>4</v>
      </c>
    </row>
    <row r="926" spans="1:20" x14ac:dyDescent="0.3">
      <c r="A926" s="2" t="s">
        <v>1529</v>
      </c>
      <c r="B926" s="3">
        <v>45781</v>
      </c>
      <c r="C926" s="2" t="s">
        <v>943</v>
      </c>
      <c r="D926" s="2" t="s">
        <v>206</v>
      </c>
      <c r="E926" s="2" t="s">
        <v>77</v>
      </c>
      <c r="F926" s="2">
        <v>42</v>
      </c>
      <c r="G926" s="2" t="s">
        <v>211</v>
      </c>
      <c r="H926" s="2" t="s">
        <v>127</v>
      </c>
      <c r="I926" s="2" t="s">
        <v>92</v>
      </c>
      <c r="J926" s="2" t="s">
        <v>93</v>
      </c>
      <c r="K926" s="2" t="s">
        <v>87</v>
      </c>
      <c r="L926" s="2" t="s">
        <v>94</v>
      </c>
      <c r="M926" s="2">
        <v>1</v>
      </c>
      <c r="N926" s="2">
        <v>1439.1</v>
      </c>
      <c r="O926" s="2">
        <v>930</v>
      </c>
      <c r="P926" s="2">
        <v>10</v>
      </c>
      <c r="Q926" s="2" t="s">
        <v>41</v>
      </c>
      <c r="R926" s="2" t="s">
        <v>65</v>
      </c>
      <c r="S926" s="3" t="s">
        <v>1604</v>
      </c>
      <c r="T926" s="6" t="s">
        <v>1604</v>
      </c>
    </row>
    <row r="927" spans="1:20" x14ac:dyDescent="0.3">
      <c r="A927" s="2" t="s">
        <v>1530</v>
      </c>
      <c r="B927" s="3">
        <v>45758</v>
      </c>
      <c r="C927" s="2" t="s">
        <v>1531</v>
      </c>
      <c r="D927" s="2" t="s">
        <v>84</v>
      </c>
      <c r="E927" s="2" t="s">
        <v>23</v>
      </c>
      <c r="F927" s="2">
        <v>32</v>
      </c>
      <c r="G927" s="2" t="s">
        <v>207</v>
      </c>
      <c r="H927" s="2" t="s">
        <v>36</v>
      </c>
      <c r="I927" s="2" t="s">
        <v>304</v>
      </c>
      <c r="J927" s="2" t="s">
        <v>305</v>
      </c>
      <c r="K927" s="2" t="s">
        <v>28</v>
      </c>
      <c r="L927" s="2" t="s">
        <v>231</v>
      </c>
      <c r="M927" s="2">
        <v>5</v>
      </c>
      <c r="N927" s="2">
        <v>8095.5</v>
      </c>
      <c r="O927" s="2">
        <v>5400</v>
      </c>
      <c r="P927" s="2">
        <v>10</v>
      </c>
      <c r="Q927" s="2" t="s">
        <v>73</v>
      </c>
      <c r="R927" s="2" t="s">
        <v>42</v>
      </c>
      <c r="S927" s="3">
        <v>45761</v>
      </c>
      <c r="T927" s="6">
        <v>5</v>
      </c>
    </row>
    <row r="928" spans="1:20" x14ac:dyDescent="0.3">
      <c r="A928" s="2" t="s">
        <v>1532</v>
      </c>
      <c r="B928" s="3">
        <v>45699</v>
      </c>
      <c r="C928" s="2" t="s">
        <v>297</v>
      </c>
      <c r="D928" s="2" t="s">
        <v>298</v>
      </c>
      <c r="E928" s="2" t="s">
        <v>77</v>
      </c>
      <c r="F928" s="2">
        <v>55</v>
      </c>
      <c r="G928" s="2" t="s">
        <v>154</v>
      </c>
      <c r="H928" s="2" t="s">
        <v>91</v>
      </c>
      <c r="I928" s="2" t="s">
        <v>134</v>
      </c>
      <c r="J928" s="2" t="s">
        <v>135</v>
      </c>
      <c r="K928" s="2" t="s">
        <v>39</v>
      </c>
      <c r="L928" s="2" t="s">
        <v>136</v>
      </c>
      <c r="M928" s="2">
        <v>2</v>
      </c>
      <c r="N928" s="2">
        <v>278.60000000000002</v>
      </c>
      <c r="O928" s="2">
        <v>180</v>
      </c>
      <c r="P928" s="2">
        <v>30</v>
      </c>
      <c r="Q928" s="2" t="s">
        <v>41</v>
      </c>
      <c r="R928" s="2" t="s">
        <v>31</v>
      </c>
      <c r="S928" s="3">
        <v>45705</v>
      </c>
      <c r="T928" s="6">
        <v>5</v>
      </c>
    </row>
    <row r="929" spans="1:20" x14ac:dyDescent="0.3">
      <c r="A929" s="2" t="s">
        <v>1533</v>
      </c>
      <c r="B929" s="3">
        <v>45892</v>
      </c>
      <c r="C929" s="2" t="s">
        <v>302</v>
      </c>
      <c r="D929" s="2" t="s">
        <v>303</v>
      </c>
      <c r="E929" s="2" t="s">
        <v>77</v>
      </c>
      <c r="F929" s="2">
        <v>24</v>
      </c>
      <c r="G929" s="2" t="s">
        <v>122</v>
      </c>
      <c r="H929" s="2" t="s">
        <v>123</v>
      </c>
      <c r="I929" s="2" t="s">
        <v>177</v>
      </c>
      <c r="J929" s="2" t="s">
        <v>178</v>
      </c>
      <c r="K929" s="2" t="s">
        <v>87</v>
      </c>
      <c r="L929" s="2" t="s">
        <v>179</v>
      </c>
      <c r="M929" s="2">
        <v>1</v>
      </c>
      <c r="N929" s="2">
        <v>2374.0500000000002</v>
      </c>
      <c r="O929" s="2">
        <v>1620</v>
      </c>
      <c r="P929" s="2">
        <v>5</v>
      </c>
      <c r="Q929" s="2" t="s">
        <v>50</v>
      </c>
      <c r="R929" s="2" t="s">
        <v>57</v>
      </c>
      <c r="S929" s="3">
        <v>45899</v>
      </c>
      <c r="T929" s="6">
        <v>3</v>
      </c>
    </row>
    <row r="930" spans="1:20" x14ac:dyDescent="0.3">
      <c r="A930" s="2" t="s">
        <v>1534</v>
      </c>
      <c r="B930" s="3">
        <v>45567</v>
      </c>
      <c r="C930" s="2" t="s">
        <v>849</v>
      </c>
      <c r="D930" s="2" t="s">
        <v>850</v>
      </c>
      <c r="E930" s="2" t="s">
        <v>23</v>
      </c>
      <c r="F930" s="2">
        <v>21</v>
      </c>
      <c r="G930" s="2" t="s">
        <v>165</v>
      </c>
      <c r="H930" s="2" t="s">
        <v>166</v>
      </c>
      <c r="I930" s="2" t="s">
        <v>85</v>
      </c>
      <c r="J930" s="2" t="s">
        <v>86</v>
      </c>
      <c r="K930" s="2" t="s">
        <v>87</v>
      </c>
      <c r="L930" s="2" t="s">
        <v>88</v>
      </c>
      <c r="M930" s="2">
        <v>3</v>
      </c>
      <c r="N930" s="2">
        <v>4197</v>
      </c>
      <c r="O930" s="2">
        <v>2370</v>
      </c>
      <c r="P930" s="2">
        <v>0</v>
      </c>
      <c r="Q930" s="2" t="s">
        <v>30</v>
      </c>
      <c r="R930" s="2" t="s">
        <v>57</v>
      </c>
      <c r="S930" s="3">
        <v>45576</v>
      </c>
      <c r="T930" s="6">
        <v>2</v>
      </c>
    </row>
    <row r="931" spans="1:20" x14ac:dyDescent="0.3">
      <c r="A931" s="2" t="s">
        <v>1535</v>
      </c>
      <c r="B931" s="3">
        <v>45391</v>
      </c>
      <c r="C931" s="2" t="s">
        <v>187</v>
      </c>
      <c r="D931" s="2" t="s">
        <v>188</v>
      </c>
      <c r="E931" s="2" t="s">
        <v>23</v>
      </c>
      <c r="F931" s="2">
        <v>54</v>
      </c>
      <c r="G931" s="2" t="s">
        <v>122</v>
      </c>
      <c r="H931" s="2" t="s">
        <v>123</v>
      </c>
      <c r="I931" s="2" t="s">
        <v>112</v>
      </c>
      <c r="J931" s="2" t="s">
        <v>113</v>
      </c>
      <c r="K931" s="2" t="s">
        <v>114</v>
      </c>
      <c r="L931" s="2" t="s">
        <v>115</v>
      </c>
      <c r="M931" s="2">
        <v>4</v>
      </c>
      <c r="N931" s="2">
        <v>2236.8000000000002</v>
      </c>
      <c r="O931" s="2">
        <v>1480</v>
      </c>
      <c r="P931" s="2">
        <v>20</v>
      </c>
      <c r="Q931" s="2" t="s">
        <v>103</v>
      </c>
      <c r="R931" s="2" t="s">
        <v>42</v>
      </c>
      <c r="S931" s="3">
        <v>45395</v>
      </c>
      <c r="T931" s="6">
        <v>4</v>
      </c>
    </row>
    <row r="932" spans="1:20" x14ac:dyDescent="0.3">
      <c r="A932" s="2" t="s">
        <v>1536</v>
      </c>
      <c r="B932" s="3">
        <v>45482</v>
      </c>
      <c r="C932" s="2" t="s">
        <v>689</v>
      </c>
      <c r="D932" s="2" t="s">
        <v>690</v>
      </c>
      <c r="E932" s="2" t="s">
        <v>77</v>
      </c>
      <c r="F932" s="2">
        <v>45</v>
      </c>
      <c r="G932" s="2" t="s">
        <v>154</v>
      </c>
      <c r="H932" s="2" t="s">
        <v>91</v>
      </c>
      <c r="I932" s="2" t="s">
        <v>37</v>
      </c>
      <c r="J932" s="2" t="s">
        <v>38</v>
      </c>
      <c r="K932" s="2" t="s">
        <v>39</v>
      </c>
      <c r="L932" s="2" t="s">
        <v>40</v>
      </c>
      <c r="M932" s="2">
        <v>2</v>
      </c>
      <c r="N932" s="2">
        <v>1708.1</v>
      </c>
      <c r="O932" s="2">
        <v>1040</v>
      </c>
      <c r="P932" s="2">
        <v>5</v>
      </c>
      <c r="Q932" s="2" t="s">
        <v>103</v>
      </c>
      <c r="R932" s="2" t="s">
        <v>65</v>
      </c>
      <c r="S932" s="3" t="s">
        <v>1604</v>
      </c>
      <c r="T932" s="6" t="s">
        <v>1604</v>
      </c>
    </row>
    <row r="933" spans="1:20" x14ac:dyDescent="0.3">
      <c r="A933" s="2" t="s">
        <v>1537</v>
      </c>
      <c r="B933" s="3">
        <v>45509</v>
      </c>
      <c r="C933" s="2" t="s">
        <v>390</v>
      </c>
      <c r="D933" s="2" t="s">
        <v>391</v>
      </c>
      <c r="E933" s="2" t="s">
        <v>23</v>
      </c>
      <c r="F933" s="2">
        <v>52</v>
      </c>
      <c r="G933" s="2" t="s">
        <v>154</v>
      </c>
      <c r="H933" s="2" t="s">
        <v>91</v>
      </c>
      <c r="I933" s="2" t="s">
        <v>26</v>
      </c>
      <c r="J933" s="2" t="s">
        <v>27</v>
      </c>
      <c r="K933" s="2" t="s">
        <v>28</v>
      </c>
      <c r="L933" s="2" t="s">
        <v>29</v>
      </c>
      <c r="M933" s="2">
        <v>2</v>
      </c>
      <c r="N933" s="2">
        <v>2208.3000000000002</v>
      </c>
      <c r="O933" s="2">
        <v>1580</v>
      </c>
      <c r="P933" s="2">
        <v>15</v>
      </c>
      <c r="Q933" s="2" t="s">
        <v>41</v>
      </c>
      <c r="R933" s="2" t="s">
        <v>57</v>
      </c>
      <c r="S933" s="3">
        <v>45517</v>
      </c>
      <c r="T933" s="6">
        <v>5</v>
      </c>
    </row>
    <row r="934" spans="1:20" x14ac:dyDescent="0.3">
      <c r="A934" s="2" t="s">
        <v>1538</v>
      </c>
      <c r="B934" s="3">
        <v>45933</v>
      </c>
      <c r="C934" s="2" t="s">
        <v>1103</v>
      </c>
      <c r="D934" s="2" t="s">
        <v>1104</v>
      </c>
      <c r="E934" s="2" t="s">
        <v>77</v>
      </c>
      <c r="F934" s="2">
        <v>50</v>
      </c>
      <c r="G934" s="2" t="s">
        <v>78</v>
      </c>
      <c r="H934" s="2" t="s">
        <v>79</v>
      </c>
      <c r="I934" s="2" t="s">
        <v>54</v>
      </c>
      <c r="J934" s="2" t="s">
        <v>55</v>
      </c>
      <c r="K934" s="2" t="s">
        <v>28</v>
      </c>
      <c r="L934" s="2" t="s">
        <v>56</v>
      </c>
      <c r="M934" s="2">
        <v>3</v>
      </c>
      <c r="N934" s="2">
        <v>1992.15</v>
      </c>
      <c r="O934" s="2">
        <v>1230</v>
      </c>
      <c r="P934" s="2">
        <v>5</v>
      </c>
      <c r="Q934" s="2" t="s">
        <v>103</v>
      </c>
      <c r="R934" s="2" t="s">
        <v>42</v>
      </c>
      <c r="S934" s="3">
        <v>45939</v>
      </c>
      <c r="T934" s="6">
        <v>3</v>
      </c>
    </row>
    <row r="935" spans="1:20" x14ac:dyDescent="0.3">
      <c r="A935" s="2" t="s">
        <v>1539</v>
      </c>
      <c r="B935" s="3">
        <v>45642</v>
      </c>
      <c r="C935" s="2" t="s">
        <v>266</v>
      </c>
      <c r="D935" s="2" t="s">
        <v>267</v>
      </c>
      <c r="E935" s="2" t="s">
        <v>77</v>
      </c>
      <c r="F935" s="2">
        <v>56</v>
      </c>
      <c r="G935" s="2" t="s">
        <v>90</v>
      </c>
      <c r="H935" s="2" t="s">
        <v>91</v>
      </c>
      <c r="I935" s="2" t="s">
        <v>37</v>
      </c>
      <c r="J935" s="2" t="s">
        <v>38</v>
      </c>
      <c r="K935" s="2" t="s">
        <v>39</v>
      </c>
      <c r="L935" s="2" t="s">
        <v>40</v>
      </c>
      <c r="M935" s="2">
        <v>4</v>
      </c>
      <c r="N935" s="2">
        <v>3416.2</v>
      </c>
      <c r="O935" s="2">
        <v>2080</v>
      </c>
      <c r="P935" s="2">
        <v>5</v>
      </c>
      <c r="Q935" s="2" t="s">
        <v>73</v>
      </c>
      <c r="R935" s="2" t="s">
        <v>42</v>
      </c>
      <c r="S935" s="3">
        <v>45648</v>
      </c>
      <c r="T935" s="6">
        <v>2</v>
      </c>
    </row>
    <row r="936" spans="1:20" x14ac:dyDescent="0.3">
      <c r="A936" s="2" t="s">
        <v>1540</v>
      </c>
      <c r="B936" s="3">
        <v>45973</v>
      </c>
      <c r="C936" s="2" t="s">
        <v>474</v>
      </c>
      <c r="D936" s="2" t="s">
        <v>475</v>
      </c>
      <c r="E936" s="2" t="s">
        <v>23</v>
      </c>
      <c r="F936" s="2">
        <v>29</v>
      </c>
      <c r="G936" s="2" t="s">
        <v>24</v>
      </c>
      <c r="H936" s="2" t="s">
        <v>25</v>
      </c>
      <c r="I936" s="2" t="s">
        <v>229</v>
      </c>
      <c r="J936" s="2" t="s">
        <v>230</v>
      </c>
      <c r="K936" s="2" t="s">
        <v>28</v>
      </c>
      <c r="L936" s="2" t="s">
        <v>231</v>
      </c>
      <c r="M936" s="2">
        <v>2</v>
      </c>
      <c r="N936" s="2">
        <v>3998</v>
      </c>
      <c r="O936" s="2">
        <v>2460</v>
      </c>
      <c r="P936" s="2">
        <v>0</v>
      </c>
      <c r="Q936" s="2" t="s">
        <v>103</v>
      </c>
      <c r="R936" s="2" t="s">
        <v>65</v>
      </c>
      <c r="S936" s="3" t="s">
        <v>1604</v>
      </c>
      <c r="T936" s="6" t="s">
        <v>1604</v>
      </c>
    </row>
    <row r="937" spans="1:20" x14ac:dyDescent="0.3">
      <c r="A937" s="2" t="s">
        <v>1541</v>
      </c>
      <c r="B937" s="3">
        <v>45824</v>
      </c>
      <c r="C937" s="2" t="s">
        <v>159</v>
      </c>
      <c r="D937" s="2" t="s">
        <v>160</v>
      </c>
      <c r="E937" s="2" t="s">
        <v>23</v>
      </c>
      <c r="F937" s="2">
        <v>58</v>
      </c>
      <c r="G937" s="2" t="s">
        <v>101</v>
      </c>
      <c r="H937" s="2" t="s">
        <v>102</v>
      </c>
      <c r="I937" s="2" t="s">
        <v>37</v>
      </c>
      <c r="J937" s="2" t="s">
        <v>38</v>
      </c>
      <c r="K937" s="2" t="s">
        <v>39</v>
      </c>
      <c r="L937" s="2" t="s">
        <v>40</v>
      </c>
      <c r="M937" s="2">
        <v>3</v>
      </c>
      <c r="N937" s="2">
        <v>1887.9</v>
      </c>
      <c r="O937" s="2">
        <v>1560</v>
      </c>
      <c r="P937" s="2">
        <v>30</v>
      </c>
      <c r="Q937" s="2" t="s">
        <v>41</v>
      </c>
      <c r="R937" s="2" t="s">
        <v>42</v>
      </c>
      <c r="S937" s="3">
        <v>45836</v>
      </c>
      <c r="T937" s="6">
        <v>4</v>
      </c>
    </row>
    <row r="938" spans="1:20" x14ac:dyDescent="0.3">
      <c r="A938" s="2" t="s">
        <v>1542</v>
      </c>
      <c r="B938" s="3">
        <v>45614</v>
      </c>
      <c r="C938" s="2" t="s">
        <v>141</v>
      </c>
      <c r="D938" s="2" t="s">
        <v>142</v>
      </c>
      <c r="E938" s="2" t="s">
        <v>23</v>
      </c>
      <c r="F938" s="2">
        <v>57</v>
      </c>
      <c r="G938" s="2" t="s">
        <v>211</v>
      </c>
      <c r="H938" s="2" t="s">
        <v>127</v>
      </c>
      <c r="I938" s="2" t="s">
        <v>107</v>
      </c>
      <c r="J938" s="2" t="s">
        <v>108</v>
      </c>
      <c r="K938" s="2" t="s">
        <v>87</v>
      </c>
      <c r="L938" s="2" t="s">
        <v>88</v>
      </c>
      <c r="M938" s="2">
        <v>4</v>
      </c>
      <c r="N938" s="2">
        <v>2237.1999999999998</v>
      </c>
      <c r="O938" s="2">
        <v>1680</v>
      </c>
      <c r="P938" s="2">
        <v>30</v>
      </c>
      <c r="Q938" s="2" t="s">
        <v>50</v>
      </c>
      <c r="R938" s="2" t="s">
        <v>42</v>
      </c>
      <c r="S938" s="3">
        <v>45621</v>
      </c>
      <c r="T938" s="6">
        <v>4</v>
      </c>
    </row>
    <row r="939" spans="1:20" x14ac:dyDescent="0.3">
      <c r="A939" s="2" t="s">
        <v>1543</v>
      </c>
      <c r="B939" s="3">
        <v>45394</v>
      </c>
      <c r="C939" s="2" t="s">
        <v>1247</v>
      </c>
      <c r="D939" s="2" t="s">
        <v>323</v>
      </c>
      <c r="E939" s="2" t="s">
        <v>23</v>
      </c>
      <c r="F939" s="2">
        <v>33</v>
      </c>
      <c r="G939" s="2" t="s">
        <v>61</v>
      </c>
      <c r="H939" s="2" t="s">
        <v>62</v>
      </c>
      <c r="I939" s="2" t="s">
        <v>85</v>
      </c>
      <c r="J939" s="2" t="s">
        <v>86</v>
      </c>
      <c r="K939" s="2" t="s">
        <v>87</v>
      </c>
      <c r="L939" s="2" t="s">
        <v>88</v>
      </c>
      <c r="M939" s="2">
        <v>4</v>
      </c>
      <c r="N939" s="2">
        <v>5036.3999999999996</v>
      </c>
      <c r="O939" s="2">
        <v>3160</v>
      </c>
      <c r="P939" s="2">
        <v>10</v>
      </c>
      <c r="Q939" s="2" t="s">
        <v>73</v>
      </c>
      <c r="R939" s="2" t="s">
        <v>65</v>
      </c>
      <c r="S939" s="3" t="s">
        <v>1604</v>
      </c>
      <c r="T939" s="6" t="s">
        <v>1604</v>
      </c>
    </row>
    <row r="940" spans="1:20" x14ac:dyDescent="0.3">
      <c r="A940" s="2" t="s">
        <v>1544</v>
      </c>
      <c r="B940" s="3">
        <v>45417</v>
      </c>
      <c r="C940" s="2" t="s">
        <v>272</v>
      </c>
      <c r="D940" s="2" t="s">
        <v>273</v>
      </c>
      <c r="E940" s="2" t="s">
        <v>23</v>
      </c>
      <c r="F940" s="2">
        <v>46</v>
      </c>
      <c r="G940" s="2" t="s">
        <v>207</v>
      </c>
      <c r="H940" s="2" t="s">
        <v>36</v>
      </c>
      <c r="I940" s="2" t="s">
        <v>85</v>
      </c>
      <c r="J940" s="2" t="s">
        <v>86</v>
      </c>
      <c r="K940" s="2" t="s">
        <v>87</v>
      </c>
      <c r="L940" s="2" t="s">
        <v>88</v>
      </c>
      <c r="M940" s="2">
        <v>2</v>
      </c>
      <c r="N940" s="2">
        <v>2098.5</v>
      </c>
      <c r="O940" s="2">
        <v>1580</v>
      </c>
      <c r="P940" s="2">
        <v>25</v>
      </c>
      <c r="Q940" s="2" t="s">
        <v>103</v>
      </c>
      <c r="R940" s="2" t="s">
        <v>65</v>
      </c>
      <c r="S940" s="3" t="s">
        <v>1604</v>
      </c>
      <c r="T940" s="6" t="s">
        <v>1604</v>
      </c>
    </row>
    <row r="941" spans="1:20" x14ac:dyDescent="0.3">
      <c r="A941" s="2" t="s">
        <v>1545</v>
      </c>
      <c r="B941" s="3">
        <v>45994</v>
      </c>
      <c r="C941" s="2" t="s">
        <v>340</v>
      </c>
      <c r="D941" s="2" t="s">
        <v>341</v>
      </c>
      <c r="E941" s="2" t="s">
        <v>23</v>
      </c>
      <c r="F941" s="2">
        <v>21</v>
      </c>
      <c r="G941" s="2" t="s">
        <v>122</v>
      </c>
      <c r="H941" s="2" t="s">
        <v>123</v>
      </c>
      <c r="I941" s="2" t="s">
        <v>107</v>
      </c>
      <c r="J941" s="2" t="s">
        <v>108</v>
      </c>
      <c r="K941" s="2" t="s">
        <v>87</v>
      </c>
      <c r="L941" s="2" t="s">
        <v>88</v>
      </c>
      <c r="M941" s="2">
        <v>2</v>
      </c>
      <c r="N941" s="2">
        <v>1598</v>
      </c>
      <c r="O941" s="2">
        <v>840</v>
      </c>
      <c r="P941" s="2">
        <v>0</v>
      </c>
      <c r="Q941" s="2" t="s">
        <v>41</v>
      </c>
      <c r="R941" s="2" t="s">
        <v>42</v>
      </c>
      <c r="S941" s="3">
        <v>46006</v>
      </c>
      <c r="T941" s="6">
        <v>4</v>
      </c>
    </row>
    <row r="942" spans="1:20" x14ac:dyDescent="0.3">
      <c r="A942" s="2" t="s">
        <v>1546</v>
      </c>
      <c r="B942" s="3">
        <v>45338</v>
      </c>
      <c r="C942" s="2" t="s">
        <v>481</v>
      </c>
      <c r="D942" s="2" t="s">
        <v>482</v>
      </c>
      <c r="E942" s="2" t="s">
        <v>23</v>
      </c>
      <c r="F942" s="2">
        <v>34</v>
      </c>
      <c r="G942" s="2" t="s">
        <v>61</v>
      </c>
      <c r="H942" s="2" t="s">
        <v>62</v>
      </c>
      <c r="I942" s="2" t="s">
        <v>304</v>
      </c>
      <c r="J942" s="2" t="s">
        <v>305</v>
      </c>
      <c r="K942" s="2" t="s">
        <v>28</v>
      </c>
      <c r="L942" s="2" t="s">
        <v>231</v>
      </c>
      <c r="M942" s="2">
        <v>5</v>
      </c>
      <c r="N942" s="2">
        <v>5397</v>
      </c>
      <c r="O942" s="2">
        <v>5400</v>
      </c>
      <c r="P942" s="2">
        <v>40</v>
      </c>
      <c r="Q942" s="2" t="s">
        <v>103</v>
      </c>
      <c r="R942" s="2" t="s">
        <v>31</v>
      </c>
      <c r="S942" s="3">
        <v>45349</v>
      </c>
      <c r="T942" s="6">
        <v>3</v>
      </c>
    </row>
    <row r="943" spans="1:20" x14ac:dyDescent="0.3">
      <c r="A943" s="2" t="s">
        <v>1547</v>
      </c>
      <c r="B943" s="3">
        <v>45648</v>
      </c>
      <c r="C943" s="2" t="s">
        <v>610</v>
      </c>
      <c r="D943" s="2" t="s">
        <v>34</v>
      </c>
      <c r="E943" s="2" t="s">
        <v>23</v>
      </c>
      <c r="F943" s="2">
        <v>31</v>
      </c>
      <c r="G943" s="2" t="s">
        <v>101</v>
      </c>
      <c r="H943" s="2" t="s">
        <v>102</v>
      </c>
      <c r="I943" s="2" t="s">
        <v>107</v>
      </c>
      <c r="J943" s="2" t="s">
        <v>108</v>
      </c>
      <c r="K943" s="2" t="s">
        <v>87</v>
      </c>
      <c r="L943" s="2" t="s">
        <v>88</v>
      </c>
      <c r="M943" s="2">
        <v>1</v>
      </c>
      <c r="N943" s="2">
        <v>559.29999999999995</v>
      </c>
      <c r="O943" s="2">
        <v>420</v>
      </c>
      <c r="P943" s="2">
        <v>30</v>
      </c>
      <c r="Q943" s="2" t="s">
        <v>41</v>
      </c>
      <c r="R943" s="2" t="s">
        <v>65</v>
      </c>
      <c r="S943" s="3" t="s">
        <v>1604</v>
      </c>
      <c r="T943" s="6" t="s">
        <v>1604</v>
      </c>
    </row>
    <row r="944" spans="1:20" x14ac:dyDescent="0.3">
      <c r="A944" s="2" t="s">
        <v>1548</v>
      </c>
      <c r="B944" s="3">
        <v>45491</v>
      </c>
      <c r="C944" s="2" t="s">
        <v>387</v>
      </c>
      <c r="D944" s="2" t="s">
        <v>388</v>
      </c>
      <c r="E944" s="2" t="s">
        <v>23</v>
      </c>
      <c r="F944" s="2">
        <v>32</v>
      </c>
      <c r="G944" s="2" t="s">
        <v>24</v>
      </c>
      <c r="H944" s="2" t="s">
        <v>25</v>
      </c>
      <c r="I944" s="2" t="s">
        <v>252</v>
      </c>
      <c r="J944" s="2" t="s">
        <v>253</v>
      </c>
      <c r="K944" s="2" t="s">
        <v>28</v>
      </c>
      <c r="L944" s="2" t="s">
        <v>254</v>
      </c>
      <c r="M944" s="2">
        <v>4</v>
      </c>
      <c r="N944" s="2">
        <v>11396.2</v>
      </c>
      <c r="O944" s="2">
        <v>7600</v>
      </c>
      <c r="P944" s="2">
        <v>5</v>
      </c>
      <c r="Q944" s="2" t="s">
        <v>41</v>
      </c>
      <c r="R944" s="2" t="s">
        <v>57</v>
      </c>
      <c r="S944" s="3">
        <v>45503</v>
      </c>
      <c r="T944" s="6">
        <v>5</v>
      </c>
    </row>
    <row r="945" spans="1:20" x14ac:dyDescent="0.3">
      <c r="A945" s="2" t="s">
        <v>1549</v>
      </c>
      <c r="B945" s="3">
        <v>45464</v>
      </c>
      <c r="C945" s="2" t="s">
        <v>538</v>
      </c>
      <c r="D945" s="2" t="s">
        <v>539</v>
      </c>
      <c r="E945" s="2" t="s">
        <v>23</v>
      </c>
      <c r="F945" s="2">
        <v>49</v>
      </c>
      <c r="G945" s="2" t="s">
        <v>69</v>
      </c>
      <c r="H945" s="2" t="s">
        <v>69</v>
      </c>
      <c r="I945" s="2" t="s">
        <v>37</v>
      </c>
      <c r="J945" s="2" t="s">
        <v>38</v>
      </c>
      <c r="K945" s="2" t="s">
        <v>39</v>
      </c>
      <c r="L945" s="2" t="s">
        <v>40</v>
      </c>
      <c r="M945" s="2">
        <v>5</v>
      </c>
      <c r="N945" s="2">
        <v>3820.75</v>
      </c>
      <c r="O945" s="2">
        <v>2600</v>
      </c>
      <c r="P945" s="2">
        <v>15</v>
      </c>
      <c r="Q945" s="2" t="s">
        <v>30</v>
      </c>
      <c r="R945" s="2" t="s">
        <v>42</v>
      </c>
      <c r="S945" s="3">
        <v>45468</v>
      </c>
      <c r="T945" s="6">
        <v>3</v>
      </c>
    </row>
    <row r="946" spans="1:20" x14ac:dyDescent="0.3">
      <c r="A946" s="2" t="s">
        <v>1550</v>
      </c>
      <c r="B946" s="3">
        <v>45400</v>
      </c>
      <c r="C946" s="2" t="s">
        <v>1044</v>
      </c>
      <c r="D946" s="2" t="s">
        <v>1045</v>
      </c>
      <c r="E946" s="2" t="s">
        <v>77</v>
      </c>
      <c r="F946" s="2">
        <v>31</v>
      </c>
      <c r="G946" s="2" t="s">
        <v>161</v>
      </c>
      <c r="H946" s="2" t="s">
        <v>25</v>
      </c>
      <c r="I946" s="2" t="s">
        <v>319</v>
      </c>
      <c r="J946" s="2" t="s">
        <v>320</v>
      </c>
      <c r="K946" s="2" t="s">
        <v>28</v>
      </c>
      <c r="L946" s="2" t="s">
        <v>29</v>
      </c>
      <c r="M946" s="2">
        <v>3</v>
      </c>
      <c r="N946" s="2">
        <v>2517.9</v>
      </c>
      <c r="O946" s="2">
        <v>2130</v>
      </c>
      <c r="P946" s="2">
        <v>30</v>
      </c>
      <c r="Q946" s="2" t="s">
        <v>41</v>
      </c>
      <c r="R946" s="2" t="s">
        <v>42</v>
      </c>
      <c r="S946" s="3">
        <v>45406</v>
      </c>
      <c r="T946" s="6">
        <v>5</v>
      </c>
    </row>
    <row r="947" spans="1:20" x14ac:dyDescent="0.3">
      <c r="A947" s="2" t="s">
        <v>1551</v>
      </c>
      <c r="B947" s="3">
        <v>45951</v>
      </c>
      <c r="C947" s="2" t="s">
        <v>605</v>
      </c>
      <c r="D947" s="2" t="s">
        <v>442</v>
      </c>
      <c r="E947" s="2" t="s">
        <v>77</v>
      </c>
      <c r="F947" s="2">
        <v>22</v>
      </c>
      <c r="G947" s="2" t="s">
        <v>165</v>
      </c>
      <c r="H947" s="2" t="s">
        <v>166</v>
      </c>
      <c r="I947" s="2" t="s">
        <v>85</v>
      </c>
      <c r="J947" s="2" t="s">
        <v>86</v>
      </c>
      <c r="K947" s="2" t="s">
        <v>87</v>
      </c>
      <c r="L947" s="2" t="s">
        <v>88</v>
      </c>
      <c r="M947" s="2">
        <v>4</v>
      </c>
      <c r="N947" s="2">
        <v>3917.2</v>
      </c>
      <c r="O947" s="2">
        <v>3160</v>
      </c>
      <c r="P947" s="2">
        <v>30</v>
      </c>
      <c r="Q947" s="2" t="s">
        <v>30</v>
      </c>
      <c r="R947" s="2" t="s">
        <v>42</v>
      </c>
      <c r="S947" s="3">
        <v>45957</v>
      </c>
      <c r="T947" s="6">
        <v>3</v>
      </c>
    </row>
    <row r="948" spans="1:20" x14ac:dyDescent="0.3">
      <c r="A948" s="2" t="s">
        <v>1552</v>
      </c>
      <c r="B948" s="3">
        <v>45589</v>
      </c>
      <c r="C948" s="2" t="s">
        <v>508</v>
      </c>
      <c r="D948" s="2" t="s">
        <v>509</v>
      </c>
      <c r="E948" s="2" t="s">
        <v>77</v>
      </c>
      <c r="F948" s="2">
        <v>23</v>
      </c>
      <c r="G948" s="2" t="s">
        <v>69</v>
      </c>
      <c r="H948" s="2" t="s">
        <v>69</v>
      </c>
      <c r="I948" s="2" t="s">
        <v>54</v>
      </c>
      <c r="J948" s="2" t="s">
        <v>55</v>
      </c>
      <c r="K948" s="2" t="s">
        <v>28</v>
      </c>
      <c r="L948" s="2" t="s">
        <v>56</v>
      </c>
      <c r="M948" s="2">
        <v>3</v>
      </c>
      <c r="N948" s="2">
        <v>1782.45</v>
      </c>
      <c r="O948" s="2">
        <v>1230</v>
      </c>
      <c r="P948" s="2">
        <v>15</v>
      </c>
      <c r="Q948" s="2" t="s">
        <v>73</v>
      </c>
      <c r="R948" s="2" t="s">
        <v>65</v>
      </c>
      <c r="S948" s="3" t="s">
        <v>1604</v>
      </c>
      <c r="T948" s="6" t="s">
        <v>1604</v>
      </c>
    </row>
    <row r="949" spans="1:20" x14ac:dyDescent="0.3">
      <c r="A949" s="2" t="s">
        <v>1553</v>
      </c>
      <c r="B949" s="3">
        <v>45668</v>
      </c>
      <c r="C949" s="2" t="s">
        <v>1445</v>
      </c>
      <c r="D949" s="2" t="s">
        <v>172</v>
      </c>
      <c r="E949" s="2" t="s">
        <v>23</v>
      </c>
      <c r="F949" s="2">
        <v>26</v>
      </c>
      <c r="G949" s="2" t="s">
        <v>126</v>
      </c>
      <c r="H949" s="2" t="s">
        <v>127</v>
      </c>
      <c r="I949" s="2" t="s">
        <v>47</v>
      </c>
      <c r="J949" s="2" t="s">
        <v>48</v>
      </c>
      <c r="K949" s="2" t="s">
        <v>39</v>
      </c>
      <c r="L949" s="2" t="s">
        <v>49</v>
      </c>
      <c r="M949" s="2">
        <v>5</v>
      </c>
      <c r="N949" s="2">
        <v>1995</v>
      </c>
      <c r="O949" s="2">
        <v>1050</v>
      </c>
      <c r="P949" s="2">
        <v>0</v>
      </c>
      <c r="Q949" s="2" t="s">
        <v>41</v>
      </c>
      <c r="R949" s="2" t="s">
        <v>42</v>
      </c>
      <c r="S949" s="3">
        <v>45679</v>
      </c>
      <c r="T949" s="6">
        <v>4</v>
      </c>
    </row>
    <row r="950" spans="1:20" x14ac:dyDescent="0.3">
      <c r="A950" s="2" t="s">
        <v>1554</v>
      </c>
      <c r="B950" s="3">
        <v>45689</v>
      </c>
      <c r="C950" s="2" t="s">
        <v>354</v>
      </c>
      <c r="D950" s="2" t="s">
        <v>355</v>
      </c>
      <c r="E950" s="2" t="s">
        <v>77</v>
      </c>
      <c r="F950" s="2">
        <v>38</v>
      </c>
      <c r="G950" s="2" t="s">
        <v>126</v>
      </c>
      <c r="H950" s="2" t="s">
        <v>127</v>
      </c>
      <c r="I950" s="2" t="s">
        <v>245</v>
      </c>
      <c r="J950" s="2" t="s">
        <v>246</v>
      </c>
      <c r="K950" s="2" t="s">
        <v>130</v>
      </c>
      <c r="L950" s="2" t="s">
        <v>247</v>
      </c>
      <c r="M950" s="2">
        <v>2</v>
      </c>
      <c r="N950" s="2">
        <v>4248.3</v>
      </c>
      <c r="O950" s="2">
        <v>3740</v>
      </c>
      <c r="P950" s="2">
        <v>15</v>
      </c>
      <c r="Q950" s="2" t="s">
        <v>73</v>
      </c>
      <c r="R950" s="2" t="s">
        <v>42</v>
      </c>
      <c r="S950" s="3">
        <v>45691</v>
      </c>
      <c r="T950" s="6">
        <v>5</v>
      </c>
    </row>
    <row r="951" spans="1:20" x14ac:dyDescent="0.3">
      <c r="A951" s="2" t="s">
        <v>1555</v>
      </c>
      <c r="B951" s="3">
        <v>45615</v>
      </c>
      <c r="C951" s="2" t="s">
        <v>193</v>
      </c>
      <c r="D951" s="2" t="s">
        <v>194</v>
      </c>
      <c r="E951" s="2" t="s">
        <v>23</v>
      </c>
      <c r="F951" s="2">
        <v>19</v>
      </c>
      <c r="G951" s="2" t="s">
        <v>35</v>
      </c>
      <c r="H951" s="2" t="s">
        <v>36</v>
      </c>
      <c r="I951" s="2" t="s">
        <v>304</v>
      </c>
      <c r="J951" s="2" t="s">
        <v>305</v>
      </c>
      <c r="K951" s="2" t="s">
        <v>28</v>
      </c>
      <c r="L951" s="2" t="s">
        <v>231</v>
      </c>
      <c r="M951" s="2">
        <v>4</v>
      </c>
      <c r="N951" s="2">
        <v>4317.6000000000004</v>
      </c>
      <c r="O951" s="2">
        <v>4320</v>
      </c>
      <c r="P951" s="2">
        <v>40</v>
      </c>
      <c r="Q951" s="2" t="s">
        <v>30</v>
      </c>
      <c r="R951" s="2" t="s">
        <v>65</v>
      </c>
      <c r="S951" s="3" t="s">
        <v>1604</v>
      </c>
      <c r="T951" s="6" t="s">
        <v>1604</v>
      </c>
    </row>
    <row r="952" spans="1:20" x14ac:dyDescent="0.3">
      <c r="A952" s="2" t="s">
        <v>1556</v>
      </c>
      <c r="B952" s="3">
        <v>45582</v>
      </c>
      <c r="C952" s="2" t="s">
        <v>193</v>
      </c>
      <c r="D952" s="2" t="s">
        <v>194</v>
      </c>
      <c r="E952" s="2" t="s">
        <v>23</v>
      </c>
      <c r="F952" s="2">
        <v>19</v>
      </c>
      <c r="G952" s="2" t="s">
        <v>24</v>
      </c>
      <c r="H952" s="2" t="s">
        <v>25</v>
      </c>
      <c r="I952" s="2" t="s">
        <v>155</v>
      </c>
      <c r="J952" s="2" t="s">
        <v>156</v>
      </c>
      <c r="K952" s="2" t="s">
        <v>114</v>
      </c>
      <c r="L952" s="2" t="s">
        <v>157</v>
      </c>
      <c r="M952" s="2">
        <v>3</v>
      </c>
      <c r="N952" s="2">
        <v>2397.6</v>
      </c>
      <c r="O952" s="2">
        <v>1830</v>
      </c>
      <c r="P952" s="2">
        <v>20</v>
      </c>
      <c r="Q952" s="2" t="s">
        <v>50</v>
      </c>
      <c r="R952" s="2" t="s">
        <v>31</v>
      </c>
      <c r="S952" s="3">
        <v>45585</v>
      </c>
      <c r="T952" s="6">
        <v>4</v>
      </c>
    </row>
    <row r="953" spans="1:20" x14ac:dyDescent="0.3">
      <c r="A953" s="2" t="s">
        <v>1557</v>
      </c>
      <c r="B953" s="3">
        <v>46015</v>
      </c>
      <c r="C953" s="2" t="s">
        <v>33</v>
      </c>
      <c r="D953" s="2" t="s">
        <v>34</v>
      </c>
      <c r="E953" s="2" t="s">
        <v>23</v>
      </c>
      <c r="F953" s="2">
        <v>30</v>
      </c>
      <c r="G953" s="2" t="s">
        <v>101</v>
      </c>
      <c r="H953" s="2" t="s">
        <v>102</v>
      </c>
      <c r="I953" s="2" t="s">
        <v>92</v>
      </c>
      <c r="J953" s="2" t="s">
        <v>93</v>
      </c>
      <c r="K953" s="2" t="s">
        <v>87</v>
      </c>
      <c r="L953" s="2" t="s">
        <v>94</v>
      </c>
      <c r="M953" s="2">
        <v>2</v>
      </c>
      <c r="N953" s="2">
        <v>1918.8</v>
      </c>
      <c r="O953" s="2">
        <v>1860</v>
      </c>
      <c r="P953" s="2">
        <v>40</v>
      </c>
      <c r="Q953" s="2" t="s">
        <v>41</v>
      </c>
      <c r="R953" s="2" t="s">
        <v>31</v>
      </c>
      <c r="S953" s="3">
        <v>46023</v>
      </c>
      <c r="T953" s="6">
        <v>2</v>
      </c>
    </row>
    <row r="954" spans="1:20" x14ac:dyDescent="0.3">
      <c r="A954" s="2" t="s">
        <v>1558</v>
      </c>
      <c r="B954" s="3">
        <v>45633</v>
      </c>
      <c r="C954" s="2" t="s">
        <v>325</v>
      </c>
      <c r="D954" s="2" t="s">
        <v>326</v>
      </c>
      <c r="E954" s="2" t="s">
        <v>23</v>
      </c>
      <c r="F954" s="2">
        <v>22</v>
      </c>
      <c r="G954" s="2" t="s">
        <v>154</v>
      </c>
      <c r="H954" s="2" t="s">
        <v>91</v>
      </c>
      <c r="I954" s="2" t="s">
        <v>177</v>
      </c>
      <c r="J954" s="2" t="s">
        <v>178</v>
      </c>
      <c r="K954" s="2" t="s">
        <v>87</v>
      </c>
      <c r="L954" s="2" t="s">
        <v>179</v>
      </c>
      <c r="M954" s="2">
        <v>2</v>
      </c>
      <c r="N954" s="2">
        <v>4998</v>
      </c>
      <c r="O954" s="2">
        <v>3240</v>
      </c>
      <c r="P954" s="2">
        <v>0</v>
      </c>
      <c r="Q954" s="2" t="s">
        <v>30</v>
      </c>
      <c r="R954" s="2" t="s">
        <v>57</v>
      </c>
      <c r="S954" s="3">
        <v>45642</v>
      </c>
      <c r="T954" s="6">
        <v>5</v>
      </c>
    </row>
    <row r="955" spans="1:20" x14ac:dyDescent="0.3">
      <c r="A955" s="2" t="s">
        <v>1559</v>
      </c>
      <c r="B955" s="3">
        <v>45598</v>
      </c>
      <c r="C955" s="2" t="s">
        <v>796</v>
      </c>
      <c r="D955" s="2" t="s">
        <v>797</v>
      </c>
      <c r="E955" s="2" t="s">
        <v>77</v>
      </c>
      <c r="F955" s="2">
        <v>31</v>
      </c>
      <c r="G955" s="2" t="s">
        <v>161</v>
      </c>
      <c r="H955" s="2" t="s">
        <v>25</v>
      </c>
      <c r="I955" s="2" t="s">
        <v>222</v>
      </c>
      <c r="J955" s="2" t="s">
        <v>223</v>
      </c>
      <c r="K955" s="2" t="s">
        <v>114</v>
      </c>
      <c r="L955" s="2" t="s">
        <v>115</v>
      </c>
      <c r="M955" s="2">
        <v>4</v>
      </c>
      <c r="N955" s="2">
        <v>2697</v>
      </c>
      <c r="O955" s="2">
        <v>2040</v>
      </c>
      <c r="P955" s="2">
        <v>25</v>
      </c>
      <c r="Q955" s="2" t="s">
        <v>103</v>
      </c>
      <c r="R955" s="2" t="s">
        <v>31</v>
      </c>
      <c r="S955" s="3">
        <v>45607</v>
      </c>
      <c r="T955" s="6">
        <v>4</v>
      </c>
    </row>
    <row r="956" spans="1:20" x14ac:dyDescent="0.3">
      <c r="A956" s="2" t="s">
        <v>1560</v>
      </c>
      <c r="B956" s="3">
        <v>45692</v>
      </c>
      <c r="C956" s="2" t="s">
        <v>1001</v>
      </c>
      <c r="D956" s="2" t="s">
        <v>363</v>
      </c>
      <c r="E956" s="2" t="s">
        <v>77</v>
      </c>
      <c r="F956" s="2">
        <v>33</v>
      </c>
      <c r="G956" s="2" t="s">
        <v>46</v>
      </c>
      <c r="H956" s="2" t="s">
        <v>25</v>
      </c>
      <c r="I956" s="2" t="s">
        <v>112</v>
      </c>
      <c r="J956" s="2" t="s">
        <v>113</v>
      </c>
      <c r="K956" s="2" t="s">
        <v>114</v>
      </c>
      <c r="L956" s="2" t="s">
        <v>115</v>
      </c>
      <c r="M956" s="2">
        <v>3</v>
      </c>
      <c r="N956" s="2">
        <v>1677.6</v>
      </c>
      <c r="O956" s="2">
        <v>1110</v>
      </c>
      <c r="P956" s="2">
        <v>20</v>
      </c>
      <c r="Q956" s="2" t="s">
        <v>30</v>
      </c>
      <c r="R956" s="2" t="s">
        <v>31</v>
      </c>
      <c r="S956" s="3">
        <v>45702</v>
      </c>
      <c r="T956" s="6">
        <v>5</v>
      </c>
    </row>
    <row r="957" spans="1:20" x14ac:dyDescent="0.3">
      <c r="A957" s="2" t="s">
        <v>1561</v>
      </c>
      <c r="B957" s="3">
        <v>45391</v>
      </c>
      <c r="C957" s="2" t="s">
        <v>632</v>
      </c>
      <c r="D957" s="2" t="s">
        <v>372</v>
      </c>
      <c r="E957" s="2" t="s">
        <v>77</v>
      </c>
      <c r="F957" s="2">
        <v>34</v>
      </c>
      <c r="G957" s="2" t="s">
        <v>126</v>
      </c>
      <c r="H957" s="2" t="s">
        <v>127</v>
      </c>
      <c r="I957" s="2" t="s">
        <v>198</v>
      </c>
      <c r="J957" s="2" t="s">
        <v>199</v>
      </c>
      <c r="K957" s="2" t="s">
        <v>114</v>
      </c>
      <c r="L957" s="2" t="s">
        <v>200</v>
      </c>
      <c r="M957" s="2">
        <v>1</v>
      </c>
      <c r="N957" s="2">
        <v>1039.2</v>
      </c>
      <c r="O957" s="2">
        <v>760</v>
      </c>
      <c r="P957" s="2">
        <v>20</v>
      </c>
      <c r="Q957" s="2" t="s">
        <v>103</v>
      </c>
      <c r="R957" s="2" t="s">
        <v>31</v>
      </c>
      <c r="S957" s="3">
        <v>45395</v>
      </c>
      <c r="T957" s="6">
        <v>3</v>
      </c>
    </row>
    <row r="958" spans="1:20" x14ac:dyDescent="0.3">
      <c r="A958" s="2" t="s">
        <v>1562</v>
      </c>
      <c r="B958" s="3">
        <v>45744</v>
      </c>
      <c r="C958" s="2" t="s">
        <v>739</v>
      </c>
      <c r="D958" s="2" t="s">
        <v>740</v>
      </c>
      <c r="E958" s="2" t="s">
        <v>23</v>
      </c>
      <c r="F958" s="2">
        <v>33</v>
      </c>
      <c r="G958" s="2" t="s">
        <v>35</v>
      </c>
      <c r="H958" s="2" t="s">
        <v>36</v>
      </c>
      <c r="I958" s="2" t="s">
        <v>252</v>
      </c>
      <c r="J958" s="2" t="s">
        <v>253</v>
      </c>
      <c r="K958" s="2" t="s">
        <v>28</v>
      </c>
      <c r="L958" s="2" t="s">
        <v>254</v>
      </c>
      <c r="M958" s="2">
        <v>2</v>
      </c>
      <c r="N958" s="2">
        <v>5098.3</v>
      </c>
      <c r="O958" s="2">
        <v>3800</v>
      </c>
      <c r="P958" s="2">
        <v>15</v>
      </c>
      <c r="Q958" s="2" t="s">
        <v>30</v>
      </c>
      <c r="R958" s="2" t="s">
        <v>31</v>
      </c>
      <c r="S958" s="3">
        <v>45756</v>
      </c>
      <c r="T958" s="6">
        <v>2</v>
      </c>
    </row>
    <row r="959" spans="1:20" x14ac:dyDescent="0.3">
      <c r="A959" s="2" t="s">
        <v>1563</v>
      </c>
      <c r="B959" s="3">
        <v>45662</v>
      </c>
      <c r="C959" s="2" t="s">
        <v>930</v>
      </c>
      <c r="D959" s="2" t="s">
        <v>556</v>
      </c>
      <c r="E959" s="2" t="s">
        <v>23</v>
      </c>
      <c r="F959" s="2">
        <v>48</v>
      </c>
      <c r="G959" s="2" t="s">
        <v>69</v>
      </c>
      <c r="H959" s="2" t="s">
        <v>69</v>
      </c>
      <c r="I959" s="2" t="s">
        <v>107</v>
      </c>
      <c r="J959" s="2" t="s">
        <v>108</v>
      </c>
      <c r="K959" s="2" t="s">
        <v>87</v>
      </c>
      <c r="L959" s="2" t="s">
        <v>88</v>
      </c>
      <c r="M959" s="2">
        <v>2</v>
      </c>
      <c r="N959" s="2">
        <v>1118.5999999999999</v>
      </c>
      <c r="O959" s="2">
        <v>840</v>
      </c>
      <c r="P959" s="2">
        <v>30</v>
      </c>
      <c r="Q959" s="2" t="s">
        <v>103</v>
      </c>
      <c r="R959" s="2" t="s">
        <v>31</v>
      </c>
      <c r="S959" s="3">
        <v>45666</v>
      </c>
      <c r="T959" s="6">
        <v>2</v>
      </c>
    </row>
    <row r="960" spans="1:20" x14ac:dyDescent="0.3">
      <c r="A960" s="2" t="s">
        <v>1564</v>
      </c>
      <c r="B960" s="3">
        <v>45390</v>
      </c>
      <c r="C960" s="2" t="s">
        <v>893</v>
      </c>
      <c r="D960" s="2" t="s">
        <v>894</v>
      </c>
      <c r="E960" s="2" t="s">
        <v>77</v>
      </c>
      <c r="F960" s="2">
        <v>42</v>
      </c>
      <c r="G960" s="2" t="s">
        <v>101</v>
      </c>
      <c r="H960" s="2" t="s">
        <v>102</v>
      </c>
      <c r="I960" s="2" t="s">
        <v>319</v>
      </c>
      <c r="J960" s="2" t="s">
        <v>320</v>
      </c>
      <c r="K960" s="2" t="s">
        <v>28</v>
      </c>
      <c r="L960" s="2" t="s">
        <v>29</v>
      </c>
      <c r="M960" s="2">
        <v>1</v>
      </c>
      <c r="N960" s="2">
        <v>1139.05</v>
      </c>
      <c r="O960" s="2">
        <v>710</v>
      </c>
      <c r="P960" s="2">
        <v>5</v>
      </c>
      <c r="Q960" s="2" t="s">
        <v>50</v>
      </c>
      <c r="R960" s="2" t="s">
        <v>31</v>
      </c>
      <c r="S960" s="3">
        <v>45397</v>
      </c>
      <c r="T960" s="6">
        <v>5</v>
      </c>
    </row>
    <row r="961" spans="1:20" x14ac:dyDescent="0.3">
      <c r="A961" s="2" t="s">
        <v>1565</v>
      </c>
      <c r="B961" s="3">
        <v>45444</v>
      </c>
      <c r="C961" s="2" t="s">
        <v>1566</v>
      </c>
      <c r="D961" s="2" t="s">
        <v>1018</v>
      </c>
      <c r="E961" s="2" t="s">
        <v>23</v>
      </c>
      <c r="F961" s="2">
        <v>51</v>
      </c>
      <c r="G961" s="2" t="s">
        <v>90</v>
      </c>
      <c r="H961" s="2" t="s">
        <v>91</v>
      </c>
      <c r="I961" s="2" t="s">
        <v>26</v>
      </c>
      <c r="J961" s="2" t="s">
        <v>27</v>
      </c>
      <c r="K961" s="2" t="s">
        <v>28</v>
      </c>
      <c r="L961" s="2" t="s">
        <v>29</v>
      </c>
      <c r="M961" s="2">
        <v>1</v>
      </c>
      <c r="N961" s="2">
        <v>1104.1500000000001</v>
      </c>
      <c r="O961" s="2">
        <v>790</v>
      </c>
      <c r="P961" s="2">
        <v>15</v>
      </c>
      <c r="Q961" s="2" t="s">
        <v>103</v>
      </c>
      <c r="R961" s="2" t="s">
        <v>42</v>
      </c>
      <c r="S961" s="3">
        <v>45450</v>
      </c>
      <c r="T961" s="6">
        <v>3</v>
      </c>
    </row>
    <row r="962" spans="1:20" x14ac:dyDescent="0.3">
      <c r="A962" s="2" t="s">
        <v>1567</v>
      </c>
      <c r="B962" s="3">
        <v>45960</v>
      </c>
      <c r="C962" s="2" t="s">
        <v>1454</v>
      </c>
      <c r="D962" s="2" t="s">
        <v>1455</v>
      </c>
      <c r="E962" s="2" t="s">
        <v>77</v>
      </c>
      <c r="F962" s="2">
        <v>58</v>
      </c>
      <c r="G962" s="2" t="s">
        <v>46</v>
      </c>
      <c r="H962" s="2" t="s">
        <v>25</v>
      </c>
      <c r="I962" s="2" t="s">
        <v>63</v>
      </c>
      <c r="J962" s="2" t="s">
        <v>64</v>
      </c>
      <c r="K962" s="2" t="s">
        <v>39</v>
      </c>
      <c r="L962" s="2" t="s">
        <v>40</v>
      </c>
      <c r="M962" s="2">
        <v>4</v>
      </c>
      <c r="N962" s="2">
        <v>1916.8</v>
      </c>
      <c r="O962" s="2">
        <v>1320</v>
      </c>
      <c r="P962" s="2">
        <v>20</v>
      </c>
      <c r="Q962" s="2" t="s">
        <v>103</v>
      </c>
      <c r="R962" s="2" t="s">
        <v>42</v>
      </c>
      <c r="S962" s="3">
        <v>45962</v>
      </c>
      <c r="T962" s="6">
        <v>3</v>
      </c>
    </row>
    <row r="963" spans="1:20" x14ac:dyDescent="0.3">
      <c r="A963" s="2" t="s">
        <v>1568</v>
      </c>
      <c r="B963" s="3">
        <v>45411</v>
      </c>
      <c r="C963" s="2" t="s">
        <v>1471</v>
      </c>
      <c r="D963" s="2" t="s">
        <v>164</v>
      </c>
      <c r="E963" s="2" t="s">
        <v>77</v>
      </c>
      <c r="F963" s="2">
        <v>43</v>
      </c>
      <c r="G963" s="2" t="s">
        <v>69</v>
      </c>
      <c r="H963" s="2" t="s">
        <v>69</v>
      </c>
      <c r="I963" s="2" t="s">
        <v>37</v>
      </c>
      <c r="J963" s="2" t="s">
        <v>38</v>
      </c>
      <c r="K963" s="2" t="s">
        <v>39</v>
      </c>
      <c r="L963" s="2" t="s">
        <v>40</v>
      </c>
      <c r="M963" s="2">
        <v>5</v>
      </c>
      <c r="N963" s="2">
        <v>3820.75</v>
      </c>
      <c r="O963" s="2">
        <v>2600</v>
      </c>
      <c r="P963" s="2">
        <v>15</v>
      </c>
      <c r="Q963" s="2" t="s">
        <v>73</v>
      </c>
      <c r="R963" s="2" t="s">
        <v>65</v>
      </c>
      <c r="S963" s="3" t="s">
        <v>1604</v>
      </c>
      <c r="T963" s="6" t="s">
        <v>1604</v>
      </c>
    </row>
    <row r="964" spans="1:20" x14ac:dyDescent="0.3">
      <c r="A964" s="2" t="s">
        <v>1569</v>
      </c>
      <c r="B964" s="3">
        <v>45878</v>
      </c>
      <c r="C964" s="2" t="s">
        <v>33</v>
      </c>
      <c r="D964" s="2" t="s">
        <v>34</v>
      </c>
      <c r="E964" s="2" t="s">
        <v>23</v>
      </c>
      <c r="F964" s="2">
        <v>30</v>
      </c>
      <c r="G964" s="2" t="s">
        <v>101</v>
      </c>
      <c r="H964" s="2" t="s">
        <v>102</v>
      </c>
      <c r="I964" s="2" t="s">
        <v>128</v>
      </c>
      <c r="J964" s="2" t="s">
        <v>129</v>
      </c>
      <c r="K964" s="2" t="s">
        <v>130</v>
      </c>
      <c r="L964" s="2" t="s">
        <v>131</v>
      </c>
      <c r="M964" s="2">
        <v>1</v>
      </c>
      <c r="N964" s="2">
        <v>5849.1</v>
      </c>
      <c r="O964" s="2">
        <v>5100</v>
      </c>
      <c r="P964" s="2">
        <v>10</v>
      </c>
      <c r="Q964" s="2" t="s">
        <v>103</v>
      </c>
      <c r="R964" s="2" t="s">
        <v>42</v>
      </c>
      <c r="S964" s="3">
        <v>45890</v>
      </c>
      <c r="T964" s="6">
        <v>5</v>
      </c>
    </row>
    <row r="965" spans="1:20" x14ac:dyDescent="0.3">
      <c r="A965" s="2" t="s">
        <v>1570</v>
      </c>
      <c r="B965" s="3">
        <v>45597</v>
      </c>
      <c r="C965" s="2" t="s">
        <v>1571</v>
      </c>
      <c r="D965" s="2" t="s">
        <v>1572</v>
      </c>
      <c r="E965" s="2" t="s">
        <v>77</v>
      </c>
      <c r="F965" s="2">
        <v>52</v>
      </c>
      <c r="G965" s="2" t="s">
        <v>173</v>
      </c>
      <c r="H965" s="2" t="s">
        <v>79</v>
      </c>
      <c r="I965" s="2" t="s">
        <v>229</v>
      </c>
      <c r="J965" s="2" t="s">
        <v>230</v>
      </c>
      <c r="K965" s="2" t="s">
        <v>28</v>
      </c>
      <c r="L965" s="2" t="s">
        <v>231</v>
      </c>
      <c r="M965" s="2">
        <v>3</v>
      </c>
      <c r="N965" s="2">
        <v>5697.15</v>
      </c>
      <c r="O965" s="2">
        <v>3690</v>
      </c>
      <c r="P965" s="2">
        <v>5</v>
      </c>
      <c r="Q965" s="2" t="s">
        <v>50</v>
      </c>
      <c r="R965" s="2" t="s">
        <v>42</v>
      </c>
      <c r="S965" s="3">
        <v>45605</v>
      </c>
      <c r="T965" s="6">
        <v>2</v>
      </c>
    </row>
    <row r="966" spans="1:20" x14ac:dyDescent="0.3">
      <c r="A966" s="2" t="s">
        <v>1573</v>
      </c>
      <c r="B966" s="3">
        <v>45695</v>
      </c>
      <c r="C966" s="2" t="s">
        <v>1417</v>
      </c>
      <c r="D966" s="2" t="s">
        <v>1418</v>
      </c>
      <c r="E966" s="2" t="s">
        <v>77</v>
      </c>
      <c r="F966" s="2">
        <v>43</v>
      </c>
      <c r="G966" s="2" t="s">
        <v>101</v>
      </c>
      <c r="H966" s="2" t="s">
        <v>102</v>
      </c>
      <c r="I966" s="2" t="s">
        <v>54</v>
      </c>
      <c r="J966" s="2" t="s">
        <v>55</v>
      </c>
      <c r="K966" s="2" t="s">
        <v>28</v>
      </c>
      <c r="L966" s="2" t="s">
        <v>56</v>
      </c>
      <c r="M966" s="2">
        <v>5</v>
      </c>
      <c r="N966" s="2">
        <v>3320.25</v>
      </c>
      <c r="O966" s="2">
        <v>2050</v>
      </c>
      <c r="P966" s="2">
        <v>5</v>
      </c>
      <c r="Q966" s="2" t="s">
        <v>30</v>
      </c>
      <c r="R966" s="2" t="s">
        <v>31</v>
      </c>
      <c r="S966" s="3">
        <v>45698</v>
      </c>
      <c r="T966" s="6">
        <v>3</v>
      </c>
    </row>
    <row r="967" spans="1:20" x14ac:dyDescent="0.3">
      <c r="A967" s="2" t="s">
        <v>1574</v>
      </c>
      <c r="B967" s="3">
        <v>45905</v>
      </c>
      <c r="C967" s="2" t="s">
        <v>967</v>
      </c>
      <c r="D967" s="2" t="s">
        <v>968</v>
      </c>
      <c r="E967" s="2" t="s">
        <v>23</v>
      </c>
      <c r="F967" s="2">
        <v>29</v>
      </c>
      <c r="G967" s="2" t="s">
        <v>161</v>
      </c>
      <c r="H967" s="2" t="s">
        <v>25</v>
      </c>
      <c r="I967" s="2" t="s">
        <v>222</v>
      </c>
      <c r="J967" s="2" t="s">
        <v>223</v>
      </c>
      <c r="K967" s="2" t="s">
        <v>114</v>
      </c>
      <c r="L967" s="2" t="s">
        <v>115</v>
      </c>
      <c r="M967" s="2">
        <v>4</v>
      </c>
      <c r="N967" s="2">
        <v>2697</v>
      </c>
      <c r="O967" s="2">
        <v>2040</v>
      </c>
      <c r="P967" s="2">
        <v>25</v>
      </c>
      <c r="Q967" s="2" t="s">
        <v>73</v>
      </c>
      <c r="R967" s="2" t="s">
        <v>42</v>
      </c>
      <c r="S967" s="3">
        <v>45909</v>
      </c>
      <c r="T967" s="6">
        <v>4</v>
      </c>
    </row>
    <row r="968" spans="1:20" x14ac:dyDescent="0.3">
      <c r="A968" s="2" t="s">
        <v>1575</v>
      </c>
      <c r="B968" s="3">
        <v>45960</v>
      </c>
      <c r="C968" s="2" t="s">
        <v>371</v>
      </c>
      <c r="D968" s="2" t="s">
        <v>372</v>
      </c>
      <c r="E968" s="2" t="s">
        <v>77</v>
      </c>
      <c r="F968" s="2">
        <v>54</v>
      </c>
      <c r="G968" s="2" t="s">
        <v>46</v>
      </c>
      <c r="H968" s="2" t="s">
        <v>25</v>
      </c>
      <c r="I968" s="2" t="s">
        <v>222</v>
      </c>
      <c r="J968" s="2" t="s">
        <v>223</v>
      </c>
      <c r="K968" s="2" t="s">
        <v>114</v>
      </c>
      <c r="L968" s="2" t="s">
        <v>115</v>
      </c>
      <c r="M968" s="2">
        <v>3</v>
      </c>
      <c r="N968" s="2">
        <v>2697</v>
      </c>
      <c r="O968" s="2">
        <v>1530</v>
      </c>
      <c r="P968" s="2">
        <v>0</v>
      </c>
      <c r="Q968" s="2" t="s">
        <v>73</v>
      </c>
      <c r="R968" s="2" t="s">
        <v>42</v>
      </c>
      <c r="S968" s="3">
        <v>45970</v>
      </c>
      <c r="T968" s="6">
        <v>4</v>
      </c>
    </row>
    <row r="969" spans="1:20" x14ac:dyDescent="0.3">
      <c r="A969" s="2" t="s">
        <v>1576</v>
      </c>
      <c r="B969" s="3">
        <v>45664</v>
      </c>
      <c r="C969" s="2" t="s">
        <v>401</v>
      </c>
      <c r="D969" s="2" t="s">
        <v>402</v>
      </c>
      <c r="E969" s="2" t="s">
        <v>23</v>
      </c>
      <c r="F969" s="2">
        <v>53</v>
      </c>
      <c r="G969" s="2" t="s">
        <v>78</v>
      </c>
      <c r="H969" s="2" t="s">
        <v>79</v>
      </c>
      <c r="I969" s="2" t="s">
        <v>134</v>
      </c>
      <c r="J969" s="2" t="s">
        <v>135</v>
      </c>
      <c r="K969" s="2" t="s">
        <v>39</v>
      </c>
      <c r="L969" s="2" t="s">
        <v>136</v>
      </c>
      <c r="M969" s="2">
        <v>1</v>
      </c>
      <c r="N969" s="2">
        <v>169.15</v>
      </c>
      <c r="O969" s="2">
        <v>90</v>
      </c>
      <c r="P969" s="2">
        <v>15</v>
      </c>
      <c r="Q969" s="2" t="s">
        <v>41</v>
      </c>
      <c r="R969" s="2" t="s">
        <v>42</v>
      </c>
      <c r="S969" s="3">
        <v>45674</v>
      </c>
      <c r="T969" s="6">
        <v>4</v>
      </c>
    </row>
    <row r="970" spans="1:20" x14ac:dyDescent="0.3">
      <c r="A970" s="2" t="s">
        <v>1577</v>
      </c>
      <c r="B970" s="3">
        <v>45966</v>
      </c>
      <c r="C970" s="2" t="s">
        <v>640</v>
      </c>
      <c r="D970" s="2" t="s">
        <v>349</v>
      </c>
      <c r="E970" s="2" t="s">
        <v>23</v>
      </c>
      <c r="F970" s="2">
        <v>42</v>
      </c>
      <c r="G970" s="2" t="s">
        <v>61</v>
      </c>
      <c r="H970" s="2" t="s">
        <v>62</v>
      </c>
      <c r="I970" s="2" t="s">
        <v>252</v>
      </c>
      <c r="J970" s="2" t="s">
        <v>253</v>
      </c>
      <c r="K970" s="2" t="s">
        <v>28</v>
      </c>
      <c r="L970" s="2" t="s">
        <v>254</v>
      </c>
      <c r="M970" s="2">
        <v>5</v>
      </c>
      <c r="N970" s="2">
        <v>8997</v>
      </c>
      <c r="O970" s="2">
        <v>9500</v>
      </c>
      <c r="P970" s="2">
        <v>40</v>
      </c>
      <c r="Q970" s="2" t="s">
        <v>41</v>
      </c>
      <c r="R970" s="2" t="s">
        <v>65</v>
      </c>
      <c r="S970" s="3" t="s">
        <v>1604</v>
      </c>
      <c r="T970" s="6" t="s">
        <v>1604</v>
      </c>
    </row>
    <row r="971" spans="1:20" x14ac:dyDescent="0.3">
      <c r="A971" s="2" t="s">
        <v>1578</v>
      </c>
      <c r="B971" s="3">
        <v>45652</v>
      </c>
      <c r="C971" s="2" t="s">
        <v>886</v>
      </c>
      <c r="D971" s="2" t="s">
        <v>887</v>
      </c>
      <c r="E971" s="2" t="s">
        <v>77</v>
      </c>
      <c r="F971" s="2">
        <v>49</v>
      </c>
      <c r="G971" s="2" t="s">
        <v>154</v>
      </c>
      <c r="H971" s="2" t="s">
        <v>91</v>
      </c>
      <c r="I971" s="2" t="s">
        <v>85</v>
      </c>
      <c r="J971" s="2" t="s">
        <v>86</v>
      </c>
      <c r="K971" s="2" t="s">
        <v>87</v>
      </c>
      <c r="L971" s="2" t="s">
        <v>88</v>
      </c>
      <c r="M971" s="2">
        <v>1</v>
      </c>
      <c r="N971" s="2">
        <v>1399</v>
      </c>
      <c r="O971" s="2">
        <v>790</v>
      </c>
      <c r="P971" s="2">
        <v>0</v>
      </c>
      <c r="Q971" s="2" t="s">
        <v>30</v>
      </c>
      <c r="R971" s="2" t="s">
        <v>42</v>
      </c>
      <c r="S971" s="3">
        <v>45657</v>
      </c>
      <c r="T971" s="6">
        <v>3</v>
      </c>
    </row>
    <row r="972" spans="1:20" x14ac:dyDescent="0.3">
      <c r="A972" s="2" t="s">
        <v>1579</v>
      </c>
      <c r="B972" s="3">
        <v>45598</v>
      </c>
      <c r="C972" s="2" t="s">
        <v>256</v>
      </c>
      <c r="D972" s="2" t="s">
        <v>257</v>
      </c>
      <c r="E972" s="2" t="s">
        <v>23</v>
      </c>
      <c r="F972" s="2">
        <v>23</v>
      </c>
      <c r="G972" s="2" t="s">
        <v>173</v>
      </c>
      <c r="H972" s="2" t="s">
        <v>79</v>
      </c>
      <c r="I972" s="2" t="s">
        <v>155</v>
      </c>
      <c r="J972" s="2" t="s">
        <v>156</v>
      </c>
      <c r="K972" s="2" t="s">
        <v>114</v>
      </c>
      <c r="L972" s="2" t="s">
        <v>157</v>
      </c>
      <c r="M972" s="2">
        <v>5</v>
      </c>
      <c r="N972" s="2">
        <v>4245.75</v>
      </c>
      <c r="O972" s="2">
        <v>3050</v>
      </c>
      <c r="P972" s="2">
        <v>15</v>
      </c>
      <c r="Q972" s="2" t="s">
        <v>50</v>
      </c>
      <c r="R972" s="2" t="s">
        <v>42</v>
      </c>
      <c r="S972" s="3">
        <v>45604</v>
      </c>
      <c r="T972" s="6">
        <v>3</v>
      </c>
    </row>
    <row r="973" spans="1:20" x14ac:dyDescent="0.3">
      <c r="A973" s="2" t="s">
        <v>1580</v>
      </c>
      <c r="B973" s="3">
        <v>45929</v>
      </c>
      <c r="C973" s="2" t="s">
        <v>354</v>
      </c>
      <c r="D973" s="2" t="s">
        <v>355</v>
      </c>
      <c r="E973" s="2" t="s">
        <v>77</v>
      </c>
      <c r="F973" s="2">
        <v>38</v>
      </c>
      <c r="G973" s="2" t="s">
        <v>46</v>
      </c>
      <c r="H973" s="2" t="s">
        <v>25</v>
      </c>
      <c r="I973" s="2" t="s">
        <v>222</v>
      </c>
      <c r="J973" s="2" t="s">
        <v>223</v>
      </c>
      <c r="K973" s="2" t="s">
        <v>114</v>
      </c>
      <c r="L973" s="2" t="s">
        <v>115</v>
      </c>
      <c r="M973" s="2">
        <v>3</v>
      </c>
      <c r="N973" s="2">
        <v>2157.6</v>
      </c>
      <c r="O973" s="2">
        <v>1530</v>
      </c>
      <c r="P973" s="2">
        <v>20</v>
      </c>
      <c r="Q973" s="2" t="s">
        <v>103</v>
      </c>
      <c r="R973" s="2" t="s">
        <v>31</v>
      </c>
      <c r="S973" s="3">
        <v>45933</v>
      </c>
      <c r="T973" s="6">
        <v>5</v>
      </c>
    </row>
    <row r="974" spans="1:20" x14ac:dyDescent="0.3">
      <c r="A974" s="2" t="s">
        <v>1581</v>
      </c>
      <c r="B974" s="3">
        <v>45759</v>
      </c>
      <c r="C974" s="2" t="s">
        <v>1471</v>
      </c>
      <c r="D974" s="2" t="s">
        <v>164</v>
      </c>
      <c r="E974" s="2" t="s">
        <v>77</v>
      </c>
      <c r="F974" s="2">
        <v>43</v>
      </c>
      <c r="G974" s="2" t="s">
        <v>207</v>
      </c>
      <c r="H974" s="2" t="s">
        <v>36</v>
      </c>
      <c r="I974" s="2" t="s">
        <v>107</v>
      </c>
      <c r="J974" s="2" t="s">
        <v>108</v>
      </c>
      <c r="K974" s="2" t="s">
        <v>87</v>
      </c>
      <c r="L974" s="2" t="s">
        <v>88</v>
      </c>
      <c r="M974" s="2">
        <v>4</v>
      </c>
      <c r="N974" s="2">
        <v>2876.4</v>
      </c>
      <c r="O974" s="2">
        <v>1680</v>
      </c>
      <c r="P974" s="2">
        <v>10</v>
      </c>
      <c r="Q974" s="2" t="s">
        <v>50</v>
      </c>
      <c r="R974" s="2" t="s">
        <v>42</v>
      </c>
      <c r="S974" s="3">
        <v>45762</v>
      </c>
      <c r="T974" s="6">
        <v>4</v>
      </c>
    </row>
    <row r="975" spans="1:20" x14ac:dyDescent="0.3">
      <c r="A975" s="2" t="s">
        <v>1582</v>
      </c>
      <c r="B975" s="3">
        <v>45940</v>
      </c>
      <c r="C975" s="2" t="s">
        <v>502</v>
      </c>
      <c r="D975" s="2" t="s">
        <v>503</v>
      </c>
      <c r="E975" s="2" t="s">
        <v>77</v>
      </c>
      <c r="F975" s="2">
        <v>43</v>
      </c>
      <c r="G975" s="2" t="s">
        <v>211</v>
      </c>
      <c r="H975" s="2" t="s">
        <v>127</v>
      </c>
      <c r="I975" s="2" t="s">
        <v>198</v>
      </c>
      <c r="J975" s="2" t="s">
        <v>199</v>
      </c>
      <c r="K975" s="2" t="s">
        <v>114</v>
      </c>
      <c r="L975" s="2" t="s">
        <v>200</v>
      </c>
      <c r="M975" s="2">
        <v>5</v>
      </c>
      <c r="N975" s="2">
        <v>5845.5</v>
      </c>
      <c r="O975" s="2">
        <v>3800</v>
      </c>
      <c r="P975" s="2">
        <v>10</v>
      </c>
      <c r="Q975" s="2" t="s">
        <v>103</v>
      </c>
      <c r="R975" s="2" t="s">
        <v>57</v>
      </c>
      <c r="S975" s="3">
        <v>45944</v>
      </c>
      <c r="T975" s="6">
        <v>4</v>
      </c>
    </row>
    <row r="976" spans="1:20" x14ac:dyDescent="0.3">
      <c r="A976" s="2" t="s">
        <v>1583</v>
      </c>
      <c r="B976" s="3">
        <v>45736</v>
      </c>
      <c r="C976" s="2" t="s">
        <v>59</v>
      </c>
      <c r="D976" s="2" t="s">
        <v>60</v>
      </c>
      <c r="E976" s="2" t="s">
        <v>23</v>
      </c>
      <c r="F976" s="2">
        <v>37</v>
      </c>
      <c r="G976" s="2" t="s">
        <v>161</v>
      </c>
      <c r="H976" s="2" t="s">
        <v>25</v>
      </c>
      <c r="I976" s="2" t="s">
        <v>155</v>
      </c>
      <c r="J976" s="2" t="s">
        <v>156</v>
      </c>
      <c r="K976" s="2" t="s">
        <v>114</v>
      </c>
      <c r="L976" s="2" t="s">
        <v>157</v>
      </c>
      <c r="M976" s="2">
        <v>2</v>
      </c>
      <c r="N976" s="2">
        <v>1898.1</v>
      </c>
      <c r="O976" s="2">
        <v>1220</v>
      </c>
      <c r="P976" s="2">
        <v>5</v>
      </c>
      <c r="Q976" s="2" t="s">
        <v>41</v>
      </c>
      <c r="R976" s="2" t="s">
        <v>42</v>
      </c>
      <c r="S976" s="3">
        <v>45746</v>
      </c>
      <c r="T976" s="6">
        <v>3</v>
      </c>
    </row>
    <row r="977" spans="1:20" x14ac:dyDescent="0.3">
      <c r="A977" s="2" t="s">
        <v>1584</v>
      </c>
      <c r="B977" s="3">
        <v>45992</v>
      </c>
      <c r="C977" s="2" t="s">
        <v>382</v>
      </c>
      <c r="D977" s="2" t="s">
        <v>188</v>
      </c>
      <c r="E977" s="2" t="s">
        <v>23</v>
      </c>
      <c r="F977" s="2">
        <v>44</v>
      </c>
      <c r="G977" s="2" t="s">
        <v>122</v>
      </c>
      <c r="H977" s="2" t="s">
        <v>123</v>
      </c>
      <c r="I977" s="2" t="s">
        <v>54</v>
      </c>
      <c r="J977" s="2" t="s">
        <v>55</v>
      </c>
      <c r="K977" s="2" t="s">
        <v>28</v>
      </c>
      <c r="L977" s="2" t="s">
        <v>56</v>
      </c>
      <c r="M977" s="2">
        <v>3</v>
      </c>
      <c r="N977" s="2">
        <v>1992.15</v>
      </c>
      <c r="O977" s="2">
        <v>1230</v>
      </c>
      <c r="P977" s="2">
        <v>5</v>
      </c>
      <c r="Q977" s="2" t="s">
        <v>41</v>
      </c>
      <c r="R977" s="2" t="s">
        <v>42</v>
      </c>
      <c r="S977" s="3">
        <v>45998</v>
      </c>
      <c r="T977" s="6">
        <v>3</v>
      </c>
    </row>
    <row r="978" spans="1:20" x14ac:dyDescent="0.3">
      <c r="A978" s="2" t="s">
        <v>1585</v>
      </c>
      <c r="B978" s="3">
        <v>45523</v>
      </c>
      <c r="C978" s="2" t="s">
        <v>21</v>
      </c>
      <c r="D978" s="2" t="s">
        <v>22</v>
      </c>
      <c r="E978" s="2" t="s">
        <v>23</v>
      </c>
      <c r="F978" s="2">
        <v>39</v>
      </c>
      <c r="G978" s="2" t="s">
        <v>161</v>
      </c>
      <c r="H978" s="2" t="s">
        <v>25</v>
      </c>
      <c r="I978" s="2" t="s">
        <v>229</v>
      </c>
      <c r="J978" s="2" t="s">
        <v>230</v>
      </c>
      <c r="K978" s="2" t="s">
        <v>28</v>
      </c>
      <c r="L978" s="2" t="s">
        <v>231</v>
      </c>
      <c r="M978" s="2">
        <v>4</v>
      </c>
      <c r="N978" s="2">
        <v>6796.6</v>
      </c>
      <c r="O978" s="2">
        <v>4920</v>
      </c>
      <c r="P978" s="2">
        <v>15</v>
      </c>
      <c r="Q978" s="2" t="s">
        <v>103</v>
      </c>
      <c r="R978" s="2" t="s">
        <v>42</v>
      </c>
      <c r="S978" s="3">
        <v>45526</v>
      </c>
      <c r="T978" s="6">
        <v>3</v>
      </c>
    </row>
    <row r="979" spans="1:20" x14ac:dyDescent="0.3">
      <c r="A979" s="2" t="s">
        <v>1586</v>
      </c>
      <c r="B979" s="3">
        <v>45831</v>
      </c>
      <c r="C979" s="2" t="s">
        <v>1319</v>
      </c>
      <c r="D979" s="2" t="s">
        <v>894</v>
      </c>
      <c r="E979" s="2" t="s">
        <v>77</v>
      </c>
      <c r="F979" s="2">
        <v>33</v>
      </c>
      <c r="G979" s="2" t="s">
        <v>101</v>
      </c>
      <c r="H979" s="2" t="s">
        <v>102</v>
      </c>
      <c r="I979" s="2" t="s">
        <v>229</v>
      </c>
      <c r="J979" s="2" t="s">
        <v>230</v>
      </c>
      <c r="K979" s="2" t="s">
        <v>28</v>
      </c>
      <c r="L979" s="2" t="s">
        <v>231</v>
      </c>
      <c r="M979" s="2">
        <v>5</v>
      </c>
      <c r="N979" s="2">
        <v>7496.25</v>
      </c>
      <c r="O979" s="2">
        <v>6150</v>
      </c>
      <c r="P979" s="2">
        <v>25</v>
      </c>
      <c r="Q979" s="2" t="s">
        <v>50</v>
      </c>
      <c r="R979" s="2" t="s">
        <v>57</v>
      </c>
      <c r="S979" s="3">
        <v>45837</v>
      </c>
      <c r="T979" s="6">
        <v>4</v>
      </c>
    </row>
    <row r="980" spans="1:20" x14ac:dyDescent="0.3">
      <c r="A980" s="2" t="s">
        <v>1587</v>
      </c>
      <c r="B980" s="3">
        <v>45914</v>
      </c>
      <c r="C980" s="2" t="s">
        <v>240</v>
      </c>
      <c r="D980" s="2" t="s">
        <v>241</v>
      </c>
      <c r="E980" s="2" t="s">
        <v>23</v>
      </c>
      <c r="F980" s="2">
        <v>25</v>
      </c>
      <c r="G980" s="2" t="s">
        <v>24</v>
      </c>
      <c r="H980" s="2" t="s">
        <v>25</v>
      </c>
      <c r="I980" s="2" t="s">
        <v>319</v>
      </c>
      <c r="J980" s="2" t="s">
        <v>320</v>
      </c>
      <c r="K980" s="2" t="s">
        <v>28</v>
      </c>
      <c r="L980" s="2" t="s">
        <v>29</v>
      </c>
      <c r="M980" s="2">
        <v>3</v>
      </c>
      <c r="N980" s="2">
        <v>2517.9</v>
      </c>
      <c r="O980" s="2">
        <v>2130</v>
      </c>
      <c r="P980" s="2">
        <v>30</v>
      </c>
      <c r="Q980" s="2" t="s">
        <v>30</v>
      </c>
      <c r="R980" s="2" t="s">
        <v>42</v>
      </c>
      <c r="S980" s="3">
        <v>45926</v>
      </c>
      <c r="T980" s="6">
        <v>5</v>
      </c>
    </row>
    <row r="981" spans="1:20" x14ac:dyDescent="0.3">
      <c r="A981" s="2" t="s">
        <v>1588</v>
      </c>
      <c r="B981" s="3">
        <v>45780</v>
      </c>
      <c r="C981" s="2" t="s">
        <v>1445</v>
      </c>
      <c r="D981" s="2" t="s">
        <v>172</v>
      </c>
      <c r="E981" s="2" t="s">
        <v>23</v>
      </c>
      <c r="F981" s="2">
        <v>26</v>
      </c>
      <c r="G981" s="2" t="s">
        <v>207</v>
      </c>
      <c r="H981" s="2" t="s">
        <v>36</v>
      </c>
      <c r="I981" s="2" t="s">
        <v>80</v>
      </c>
      <c r="J981" s="2" t="s">
        <v>81</v>
      </c>
      <c r="K981" s="2" t="s">
        <v>28</v>
      </c>
      <c r="L981" s="2" t="s">
        <v>29</v>
      </c>
      <c r="M981" s="2">
        <v>5</v>
      </c>
      <c r="N981" s="2">
        <v>3595.5</v>
      </c>
      <c r="O981" s="2">
        <v>2350</v>
      </c>
      <c r="P981" s="2">
        <v>10</v>
      </c>
      <c r="Q981" s="2" t="s">
        <v>30</v>
      </c>
      <c r="R981" s="2" t="s">
        <v>42</v>
      </c>
      <c r="S981" s="3">
        <v>45788</v>
      </c>
      <c r="T981" s="6">
        <v>4</v>
      </c>
    </row>
    <row r="982" spans="1:20" x14ac:dyDescent="0.3">
      <c r="A982" s="2" t="s">
        <v>1589</v>
      </c>
      <c r="B982" s="3">
        <v>45346</v>
      </c>
      <c r="C982" s="2" t="s">
        <v>294</v>
      </c>
      <c r="D982" s="2" t="s">
        <v>295</v>
      </c>
      <c r="E982" s="2" t="s">
        <v>77</v>
      </c>
      <c r="F982" s="2">
        <v>31</v>
      </c>
      <c r="G982" s="2" t="s">
        <v>90</v>
      </c>
      <c r="H982" s="2" t="s">
        <v>91</v>
      </c>
      <c r="I982" s="2" t="s">
        <v>107</v>
      </c>
      <c r="J982" s="2" t="s">
        <v>108</v>
      </c>
      <c r="K982" s="2" t="s">
        <v>87</v>
      </c>
      <c r="L982" s="2" t="s">
        <v>88</v>
      </c>
      <c r="M982" s="2">
        <v>5</v>
      </c>
      <c r="N982" s="2">
        <v>2796.5</v>
      </c>
      <c r="O982" s="2">
        <v>2100</v>
      </c>
      <c r="P982" s="2">
        <v>30</v>
      </c>
      <c r="Q982" s="2" t="s">
        <v>103</v>
      </c>
      <c r="R982" s="2" t="s">
        <v>42</v>
      </c>
      <c r="S982" s="3">
        <v>45355</v>
      </c>
      <c r="T982" s="6">
        <v>4</v>
      </c>
    </row>
    <row r="983" spans="1:20" x14ac:dyDescent="0.3">
      <c r="A983" s="2" t="s">
        <v>1590</v>
      </c>
      <c r="B983" s="3">
        <v>45771</v>
      </c>
      <c r="C983" s="2" t="s">
        <v>681</v>
      </c>
      <c r="D983" s="2" t="s">
        <v>203</v>
      </c>
      <c r="E983" s="2" t="s">
        <v>23</v>
      </c>
      <c r="F983" s="2">
        <v>58</v>
      </c>
      <c r="G983" s="2" t="s">
        <v>35</v>
      </c>
      <c r="H983" s="2" t="s">
        <v>36</v>
      </c>
      <c r="I983" s="2" t="s">
        <v>128</v>
      </c>
      <c r="J983" s="2" t="s">
        <v>129</v>
      </c>
      <c r="K983" s="2" t="s">
        <v>130</v>
      </c>
      <c r="L983" s="2" t="s">
        <v>131</v>
      </c>
      <c r="M983" s="2">
        <v>4</v>
      </c>
      <c r="N983" s="2">
        <v>22096.6</v>
      </c>
      <c r="O983" s="2">
        <v>20400</v>
      </c>
      <c r="P983" s="2">
        <v>15</v>
      </c>
      <c r="Q983" s="2" t="s">
        <v>41</v>
      </c>
      <c r="R983" s="2" t="s">
        <v>31</v>
      </c>
      <c r="S983" s="3">
        <v>45774</v>
      </c>
      <c r="T983" s="6">
        <v>4</v>
      </c>
    </row>
    <row r="984" spans="1:20" x14ac:dyDescent="0.3">
      <c r="A984" s="2" t="s">
        <v>1591</v>
      </c>
      <c r="B984" s="3">
        <v>45708</v>
      </c>
      <c r="C984" s="2" t="s">
        <v>278</v>
      </c>
      <c r="D984" s="2" t="s">
        <v>139</v>
      </c>
      <c r="E984" s="2" t="s">
        <v>77</v>
      </c>
      <c r="F984" s="2">
        <v>32</v>
      </c>
      <c r="G984" s="2" t="s">
        <v>46</v>
      </c>
      <c r="H984" s="2" t="s">
        <v>25</v>
      </c>
      <c r="I984" s="2" t="s">
        <v>92</v>
      </c>
      <c r="J984" s="2" t="s">
        <v>93</v>
      </c>
      <c r="K984" s="2" t="s">
        <v>87</v>
      </c>
      <c r="L984" s="2" t="s">
        <v>94</v>
      </c>
      <c r="M984" s="2">
        <v>1</v>
      </c>
      <c r="N984" s="2">
        <v>1519.05</v>
      </c>
      <c r="O984" s="2">
        <v>930</v>
      </c>
      <c r="P984" s="2">
        <v>5</v>
      </c>
      <c r="Q984" s="2" t="s">
        <v>30</v>
      </c>
      <c r="R984" s="2" t="s">
        <v>42</v>
      </c>
      <c r="S984" s="3">
        <v>45712</v>
      </c>
      <c r="T984" s="6">
        <v>2</v>
      </c>
    </row>
    <row r="985" spans="1:20" x14ac:dyDescent="0.3">
      <c r="A985" s="2" t="s">
        <v>1592</v>
      </c>
      <c r="B985" s="3">
        <v>45378</v>
      </c>
      <c r="C985" s="2" t="s">
        <v>422</v>
      </c>
      <c r="D985" s="2" t="s">
        <v>367</v>
      </c>
      <c r="E985" s="2" t="s">
        <v>77</v>
      </c>
      <c r="F985" s="2">
        <v>41</v>
      </c>
      <c r="G985" s="2" t="s">
        <v>101</v>
      </c>
      <c r="H985" s="2" t="s">
        <v>102</v>
      </c>
      <c r="I985" s="2" t="s">
        <v>80</v>
      </c>
      <c r="J985" s="2" t="s">
        <v>81</v>
      </c>
      <c r="K985" s="2" t="s">
        <v>28</v>
      </c>
      <c r="L985" s="2" t="s">
        <v>29</v>
      </c>
      <c r="M985" s="2">
        <v>4</v>
      </c>
      <c r="N985" s="2">
        <v>2876.4</v>
      </c>
      <c r="O985" s="2">
        <v>1880</v>
      </c>
      <c r="P985" s="2">
        <v>10</v>
      </c>
      <c r="Q985" s="2" t="s">
        <v>103</v>
      </c>
      <c r="R985" s="2" t="s">
        <v>42</v>
      </c>
      <c r="S985" s="3">
        <v>45388</v>
      </c>
      <c r="T985" s="6">
        <v>3</v>
      </c>
    </row>
    <row r="986" spans="1:20" x14ac:dyDescent="0.3">
      <c r="A986" s="2" t="s">
        <v>1593</v>
      </c>
      <c r="B986" s="3">
        <v>45707</v>
      </c>
      <c r="C986" s="2" t="s">
        <v>1009</v>
      </c>
      <c r="D986" s="2" t="s">
        <v>1010</v>
      </c>
      <c r="E986" s="2" t="s">
        <v>23</v>
      </c>
      <c r="F986" s="2">
        <v>53</v>
      </c>
      <c r="G986" s="2" t="s">
        <v>154</v>
      </c>
      <c r="H986" s="2" t="s">
        <v>91</v>
      </c>
      <c r="I986" s="2" t="s">
        <v>177</v>
      </c>
      <c r="J986" s="2" t="s">
        <v>178</v>
      </c>
      <c r="K986" s="2" t="s">
        <v>87</v>
      </c>
      <c r="L986" s="2" t="s">
        <v>179</v>
      </c>
      <c r="M986" s="2">
        <v>1</v>
      </c>
      <c r="N986" s="2">
        <v>1749.3</v>
      </c>
      <c r="O986" s="2">
        <v>1620</v>
      </c>
      <c r="P986" s="2">
        <v>30</v>
      </c>
      <c r="Q986" s="2" t="s">
        <v>50</v>
      </c>
      <c r="R986" s="2" t="s">
        <v>31</v>
      </c>
      <c r="S986" s="3">
        <v>45714</v>
      </c>
      <c r="T986" s="6">
        <v>4</v>
      </c>
    </row>
    <row r="987" spans="1:20" x14ac:dyDescent="0.3">
      <c r="A987" s="2" t="s">
        <v>1594</v>
      </c>
      <c r="B987" s="3">
        <v>45969</v>
      </c>
      <c r="C987" s="2" t="s">
        <v>532</v>
      </c>
      <c r="D987" s="2" t="s">
        <v>355</v>
      </c>
      <c r="E987" s="2" t="s">
        <v>77</v>
      </c>
      <c r="F987" s="2">
        <v>33</v>
      </c>
      <c r="G987" s="2" t="s">
        <v>24</v>
      </c>
      <c r="H987" s="2" t="s">
        <v>25</v>
      </c>
      <c r="I987" s="2" t="s">
        <v>155</v>
      </c>
      <c r="J987" s="2" t="s">
        <v>156</v>
      </c>
      <c r="K987" s="2" t="s">
        <v>114</v>
      </c>
      <c r="L987" s="2" t="s">
        <v>157</v>
      </c>
      <c r="M987" s="2">
        <v>4</v>
      </c>
      <c r="N987" s="2">
        <v>3596.4</v>
      </c>
      <c r="O987" s="2">
        <v>2440</v>
      </c>
      <c r="P987" s="2">
        <v>10</v>
      </c>
      <c r="Q987" s="2" t="s">
        <v>50</v>
      </c>
      <c r="R987" s="2" t="s">
        <v>42</v>
      </c>
      <c r="S987" s="3">
        <v>45973</v>
      </c>
      <c r="T987" s="6">
        <v>3</v>
      </c>
    </row>
    <row r="988" spans="1:20" x14ac:dyDescent="0.3">
      <c r="A988" s="2" t="s">
        <v>1595</v>
      </c>
      <c r="B988" s="3">
        <v>45667</v>
      </c>
      <c r="C988" s="2" t="s">
        <v>689</v>
      </c>
      <c r="D988" s="2" t="s">
        <v>690</v>
      </c>
      <c r="E988" s="2" t="s">
        <v>77</v>
      </c>
      <c r="F988" s="2">
        <v>45</v>
      </c>
      <c r="G988" s="2" t="s">
        <v>211</v>
      </c>
      <c r="H988" s="2" t="s">
        <v>127</v>
      </c>
      <c r="I988" s="2" t="s">
        <v>26</v>
      </c>
      <c r="J988" s="2" t="s">
        <v>27</v>
      </c>
      <c r="K988" s="2" t="s">
        <v>28</v>
      </c>
      <c r="L988" s="2" t="s">
        <v>29</v>
      </c>
      <c r="M988" s="2">
        <v>4</v>
      </c>
      <c r="N988" s="2">
        <v>3117.6</v>
      </c>
      <c r="O988" s="2">
        <v>3160</v>
      </c>
      <c r="P988" s="2">
        <v>40</v>
      </c>
      <c r="Q988" s="2" t="s">
        <v>103</v>
      </c>
      <c r="R988" s="2" t="s">
        <v>42</v>
      </c>
      <c r="S988" s="3">
        <v>45674</v>
      </c>
      <c r="T988" s="6">
        <v>3</v>
      </c>
    </row>
    <row r="989" spans="1:20" x14ac:dyDescent="0.3">
      <c r="A989" s="2" t="s">
        <v>1596</v>
      </c>
      <c r="B989" s="3">
        <v>45638</v>
      </c>
      <c r="C989" s="2" t="s">
        <v>1492</v>
      </c>
      <c r="D989" s="2" t="s">
        <v>1493</v>
      </c>
      <c r="E989" s="2" t="s">
        <v>77</v>
      </c>
      <c r="F989" s="2">
        <v>46</v>
      </c>
      <c r="G989" s="2" t="s">
        <v>69</v>
      </c>
      <c r="H989" s="2" t="s">
        <v>69</v>
      </c>
      <c r="I989" s="2" t="s">
        <v>143</v>
      </c>
      <c r="J989" s="2" t="s">
        <v>144</v>
      </c>
      <c r="K989" s="2" t="s">
        <v>130</v>
      </c>
      <c r="L989" s="2" t="s">
        <v>131</v>
      </c>
      <c r="M989" s="2">
        <v>3</v>
      </c>
      <c r="N989" s="2">
        <v>9898.2000000000007</v>
      </c>
      <c r="O989" s="2">
        <v>12900</v>
      </c>
      <c r="P989" s="2">
        <v>40</v>
      </c>
      <c r="Q989" s="2" t="s">
        <v>41</v>
      </c>
      <c r="R989" s="2" t="s">
        <v>42</v>
      </c>
      <c r="S989" s="3">
        <v>45643</v>
      </c>
      <c r="T989" s="6">
        <v>2</v>
      </c>
    </row>
    <row r="990" spans="1:20" x14ac:dyDescent="0.3">
      <c r="A990" s="2" t="s">
        <v>1597</v>
      </c>
      <c r="B990" s="3">
        <v>45938</v>
      </c>
      <c r="C990" s="2" t="s">
        <v>96</v>
      </c>
      <c r="D990" s="2" t="s">
        <v>97</v>
      </c>
      <c r="E990" s="2" t="s">
        <v>23</v>
      </c>
      <c r="F990" s="2">
        <v>30</v>
      </c>
      <c r="G990" s="2" t="s">
        <v>165</v>
      </c>
      <c r="H990" s="2" t="s">
        <v>166</v>
      </c>
      <c r="I990" s="2" t="s">
        <v>70</v>
      </c>
      <c r="J990" s="2" t="s">
        <v>71</v>
      </c>
      <c r="K990" s="2" t="s">
        <v>28</v>
      </c>
      <c r="L990" s="2" t="s">
        <v>72</v>
      </c>
      <c r="M990" s="2">
        <v>3</v>
      </c>
      <c r="N990" s="2">
        <v>4497</v>
      </c>
      <c r="O990" s="2">
        <v>2760</v>
      </c>
      <c r="P990" s="2">
        <v>0</v>
      </c>
      <c r="Q990" s="2" t="s">
        <v>103</v>
      </c>
      <c r="R990" s="2" t="s">
        <v>65</v>
      </c>
      <c r="S990" s="3" t="s">
        <v>1604</v>
      </c>
      <c r="T990" s="6" t="s">
        <v>1604</v>
      </c>
    </row>
    <row r="991" spans="1:20" x14ac:dyDescent="0.3">
      <c r="A991" s="2" t="s">
        <v>1598</v>
      </c>
      <c r="B991" s="3">
        <v>45791</v>
      </c>
      <c r="C991" s="2" t="s">
        <v>941</v>
      </c>
      <c r="D991" s="2" t="s">
        <v>260</v>
      </c>
      <c r="E991" s="2" t="s">
        <v>77</v>
      </c>
      <c r="F991" s="2">
        <v>33</v>
      </c>
      <c r="G991" s="2" t="s">
        <v>211</v>
      </c>
      <c r="H991" s="2" t="s">
        <v>127</v>
      </c>
      <c r="I991" s="2" t="s">
        <v>80</v>
      </c>
      <c r="J991" s="2" t="s">
        <v>81</v>
      </c>
      <c r="K991" s="2" t="s">
        <v>28</v>
      </c>
      <c r="L991" s="2" t="s">
        <v>29</v>
      </c>
      <c r="M991" s="2">
        <v>5</v>
      </c>
      <c r="N991" s="2">
        <v>2397</v>
      </c>
      <c r="O991" s="2">
        <v>2350</v>
      </c>
      <c r="P991" s="2">
        <v>40</v>
      </c>
      <c r="Q991" s="2" t="s">
        <v>41</v>
      </c>
      <c r="R991" s="2" t="s">
        <v>42</v>
      </c>
      <c r="S991" s="3">
        <v>45798</v>
      </c>
      <c r="T991" s="6">
        <v>3</v>
      </c>
    </row>
    <row r="992" spans="1:20" x14ac:dyDescent="0.3">
      <c r="A992" s="2" t="s">
        <v>1599</v>
      </c>
      <c r="B992" s="3">
        <v>45297</v>
      </c>
      <c r="C992" s="2" t="s">
        <v>627</v>
      </c>
      <c r="D992" s="2" t="s">
        <v>628</v>
      </c>
      <c r="E992" s="2" t="s">
        <v>77</v>
      </c>
      <c r="F992" s="2">
        <v>44</v>
      </c>
      <c r="G992" s="2" t="s">
        <v>78</v>
      </c>
      <c r="H992" s="2" t="s">
        <v>79</v>
      </c>
      <c r="I992" s="2" t="s">
        <v>47</v>
      </c>
      <c r="J992" s="2" t="s">
        <v>48</v>
      </c>
      <c r="K992" s="2" t="s">
        <v>39</v>
      </c>
      <c r="L992" s="2" t="s">
        <v>49</v>
      </c>
      <c r="M992" s="2">
        <v>3</v>
      </c>
      <c r="N992" s="2">
        <v>1197</v>
      </c>
      <c r="O992" s="2">
        <v>630</v>
      </c>
      <c r="P992" s="2">
        <v>0</v>
      </c>
      <c r="Q992" s="2" t="s">
        <v>73</v>
      </c>
      <c r="R992" s="2" t="s">
        <v>42</v>
      </c>
      <c r="S992" s="3">
        <v>45306</v>
      </c>
      <c r="T992" s="6">
        <v>4</v>
      </c>
    </row>
    <row r="993" spans="1:20" x14ac:dyDescent="0.3">
      <c r="A993" s="2" t="s">
        <v>1600</v>
      </c>
      <c r="B993" s="3">
        <v>45378</v>
      </c>
      <c r="C993" s="2" t="s">
        <v>532</v>
      </c>
      <c r="D993" s="2" t="s">
        <v>355</v>
      </c>
      <c r="E993" s="2" t="s">
        <v>77</v>
      </c>
      <c r="F993" s="2">
        <v>33</v>
      </c>
      <c r="G993" s="2" t="s">
        <v>173</v>
      </c>
      <c r="H993" s="2" t="s">
        <v>79</v>
      </c>
      <c r="I993" s="2" t="s">
        <v>134</v>
      </c>
      <c r="J993" s="2" t="s">
        <v>135</v>
      </c>
      <c r="K993" s="2" t="s">
        <v>39</v>
      </c>
      <c r="L993" s="2" t="s">
        <v>136</v>
      </c>
      <c r="M993" s="2">
        <v>1</v>
      </c>
      <c r="N993" s="2">
        <v>119.4</v>
      </c>
      <c r="O993" s="2">
        <v>90</v>
      </c>
      <c r="P993" s="2">
        <v>40</v>
      </c>
      <c r="Q993" s="2" t="s">
        <v>73</v>
      </c>
      <c r="R993" s="2" t="s">
        <v>42</v>
      </c>
      <c r="S993" s="3">
        <v>45390</v>
      </c>
      <c r="T993" s="6">
        <v>4</v>
      </c>
    </row>
    <row r="994" spans="1:20" x14ac:dyDescent="0.3">
      <c r="A994" s="2" t="s">
        <v>1601</v>
      </c>
      <c r="B994" s="3">
        <v>45523</v>
      </c>
      <c r="C994" s="2" t="s">
        <v>458</v>
      </c>
      <c r="D994" s="2" t="s">
        <v>329</v>
      </c>
      <c r="E994" s="2" t="s">
        <v>77</v>
      </c>
      <c r="F994" s="2">
        <v>42</v>
      </c>
      <c r="G994" s="2" t="s">
        <v>165</v>
      </c>
      <c r="H994" s="2" t="s">
        <v>166</v>
      </c>
      <c r="I994" s="2" t="s">
        <v>245</v>
      </c>
      <c r="J994" s="2" t="s">
        <v>246</v>
      </c>
      <c r="K994" s="2" t="s">
        <v>130</v>
      </c>
      <c r="L994" s="2" t="s">
        <v>247</v>
      </c>
      <c r="M994" s="2">
        <v>3</v>
      </c>
      <c r="N994" s="2">
        <v>5622.75</v>
      </c>
      <c r="O994" s="2">
        <v>5610</v>
      </c>
      <c r="P994" s="2">
        <v>25</v>
      </c>
      <c r="Q994" s="2" t="s">
        <v>103</v>
      </c>
      <c r="R994" s="2" t="s">
        <v>42</v>
      </c>
      <c r="S994" s="3">
        <v>45533</v>
      </c>
      <c r="T994" s="6">
        <v>4</v>
      </c>
    </row>
    <row r="995" spans="1:20" x14ac:dyDescent="0.3">
      <c r="A995" s="2" t="s">
        <v>1602</v>
      </c>
      <c r="B995" s="3">
        <v>45403</v>
      </c>
      <c r="C995" s="2" t="s">
        <v>996</v>
      </c>
      <c r="D995" s="2" t="s">
        <v>997</v>
      </c>
      <c r="E995" s="2" t="s">
        <v>23</v>
      </c>
      <c r="F995" s="2">
        <v>54</v>
      </c>
      <c r="G995" s="2" t="s">
        <v>61</v>
      </c>
      <c r="H995" s="2" t="s">
        <v>62</v>
      </c>
      <c r="I995" s="2" t="s">
        <v>319</v>
      </c>
      <c r="J995" s="2" t="s">
        <v>320</v>
      </c>
      <c r="K995" s="2" t="s">
        <v>28</v>
      </c>
      <c r="L995" s="2" t="s">
        <v>29</v>
      </c>
      <c r="M995" s="2">
        <v>2</v>
      </c>
      <c r="N995" s="2">
        <v>1798.5</v>
      </c>
      <c r="O995" s="2">
        <v>1420</v>
      </c>
      <c r="P995" s="2">
        <v>25</v>
      </c>
      <c r="Q995" s="2" t="s">
        <v>103</v>
      </c>
      <c r="R995" s="2" t="s">
        <v>42</v>
      </c>
      <c r="S995" s="3">
        <v>45410</v>
      </c>
      <c r="T995" s="6">
        <v>4</v>
      </c>
    </row>
    <row r="996" spans="1:20" x14ac:dyDescent="0.3">
      <c r="A996" s="2" t="s">
        <v>1603</v>
      </c>
      <c r="B996" s="3">
        <v>45405</v>
      </c>
      <c r="C996" s="2" t="s">
        <v>742</v>
      </c>
      <c r="D996" s="2" t="s">
        <v>743</v>
      </c>
      <c r="E996" s="2" t="s">
        <v>23</v>
      </c>
      <c r="F996" s="2">
        <v>49</v>
      </c>
      <c r="G996" s="2" t="s">
        <v>35</v>
      </c>
      <c r="H996" s="2" t="s">
        <v>36</v>
      </c>
      <c r="I996" s="2" t="s">
        <v>26</v>
      </c>
      <c r="J996" s="2" t="s">
        <v>27</v>
      </c>
      <c r="K996" s="2" t="s">
        <v>28</v>
      </c>
      <c r="L996" s="2" t="s">
        <v>29</v>
      </c>
      <c r="M996" s="2">
        <v>2</v>
      </c>
      <c r="N996" s="2">
        <v>1818.6</v>
      </c>
      <c r="O996" s="2">
        <v>1580</v>
      </c>
      <c r="P996" s="2">
        <v>30</v>
      </c>
      <c r="Q996" s="2" t="s">
        <v>103</v>
      </c>
      <c r="R996" s="2" t="s">
        <v>31</v>
      </c>
      <c r="S996" s="3">
        <v>45412</v>
      </c>
      <c r="T996" s="6">
        <v>2</v>
      </c>
    </row>
    <row r="997" spans="1:20" x14ac:dyDescent="0.3">
      <c r="A997">
        <v>55</v>
      </c>
      <c r="B997" s="3" t="s">
        <v>1604</v>
      </c>
      <c r="C997" s="2"/>
      <c r="D997" s="2"/>
      <c r="E997" s="2"/>
      <c r="F997" s="2"/>
      <c r="G997" s="2"/>
      <c r="H997" s="2"/>
      <c r="I997" s="2"/>
      <c r="J997" s="2"/>
      <c r="K997" s="2"/>
      <c r="L997" s="2"/>
      <c r="M997" s="2"/>
      <c r="N997" s="2"/>
      <c r="O997" s="2"/>
      <c r="P997" s="2"/>
      <c r="Q997" s="2" t="s">
        <v>1613</v>
      </c>
      <c r="R997" s="2">
        <f>COUNTIF(R2:R996,"Delivered")</f>
        <v>563</v>
      </c>
      <c r="S997" s="3"/>
      <c r="T997" s="6"/>
    </row>
    <row r="998" spans="1:20" x14ac:dyDescent="0.3">
      <c r="A998" s="2"/>
      <c r="B998" s="3" t="s">
        <v>1604</v>
      </c>
      <c r="C998" s="2"/>
      <c r="D998" s="2"/>
      <c r="E998" s="2"/>
      <c r="F998" s="2"/>
      <c r="G998" s="2"/>
      <c r="H998" s="2"/>
      <c r="I998" s="2"/>
      <c r="J998" s="2"/>
      <c r="K998" s="2"/>
      <c r="L998" s="2"/>
      <c r="M998" s="2"/>
      <c r="N998" s="2"/>
      <c r="O998" s="2"/>
      <c r="P998" s="2"/>
      <c r="Q998" s="2" t="s">
        <v>1614</v>
      </c>
      <c r="R998" s="2">
        <f>COUNTIF(R6:R996,"Cancelled")</f>
        <v>146</v>
      </c>
      <c r="S998" s="3"/>
      <c r="T998" s="6"/>
    </row>
    <row r="999" spans="1:20" x14ac:dyDescent="0.3">
      <c r="A999" s="2"/>
      <c r="B999" s="3" t="s">
        <v>1604</v>
      </c>
      <c r="C999" s="2"/>
      <c r="D999" s="2"/>
      <c r="E999" s="2"/>
      <c r="F999" s="2"/>
      <c r="G999" s="2"/>
      <c r="H999" s="2"/>
      <c r="I999" s="2"/>
      <c r="J999" s="2"/>
      <c r="K999" s="2"/>
      <c r="L999" s="2"/>
      <c r="M999" s="2"/>
      <c r="N999" s="2"/>
      <c r="O999" s="2"/>
      <c r="P999" s="2"/>
      <c r="Q999" s="2" t="s">
        <v>1615</v>
      </c>
      <c r="R999" s="2">
        <f>COUNTIF(R$2:R$996,"Returned")</f>
        <v>139</v>
      </c>
      <c r="S999" s="3"/>
      <c r="T999" s="6"/>
    </row>
    <row r="1000" spans="1:20" x14ac:dyDescent="0.3">
      <c r="A1000" s="2">
        <f>COUNTA(A2:A996)</f>
        <v>995</v>
      </c>
      <c r="B1000" s="3" t="s">
        <v>1604</v>
      </c>
      <c r="C1000" s="2"/>
      <c r="D1000" s="2"/>
      <c r="E1000" s="2"/>
      <c r="F1000" s="2"/>
      <c r="G1000" s="2"/>
      <c r="H1000" s="2"/>
      <c r="I1000" s="2"/>
      <c r="J1000" s="2"/>
      <c r="K1000" s="2"/>
      <c r="L1000" s="2"/>
      <c r="M1000" s="2"/>
      <c r="N1000" s="2"/>
      <c r="O1000" s="2"/>
      <c r="P1000" s="2"/>
      <c r="Q1000" s="2" t="s">
        <v>1616</v>
      </c>
      <c r="R1000" s="2">
        <f>COUNTIF(R2:R996,"Shipped")</f>
        <v>147</v>
      </c>
      <c r="S1000" s="3"/>
      <c r="T1000" s="6"/>
    </row>
    <row r="1001" spans="1:20" x14ac:dyDescent="0.3">
      <c r="A1001" s="8"/>
      <c r="B1001" s="19" t="s">
        <v>1604</v>
      </c>
      <c r="C1001" s="8"/>
      <c r="D1001" s="8"/>
      <c r="E1001" s="8"/>
      <c r="F1001" s="8"/>
      <c r="G1001" s="8"/>
      <c r="H1001" s="8"/>
      <c r="I1001" s="8"/>
      <c r="J1001" s="8"/>
      <c r="K1001" s="8"/>
      <c r="L1001" s="8"/>
      <c r="M1001" s="8"/>
      <c r="N1001" s="8"/>
      <c r="O1001" s="8"/>
      <c r="P1001" s="8"/>
      <c r="Q1001" s="8"/>
      <c r="R1001" s="8"/>
      <c r="S1001" s="19"/>
      <c r="T1001" s="20"/>
    </row>
  </sheetData>
  <conditionalFormatting sqref="A1:A996 A998:A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C4D2B-A71B-4E73-B807-C42EC55946AF}">
  <sheetPr codeName="Sheet4"/>
  <dimension ref="A1:Q34"/>
  <sheetViews>
    <sheetView zoomScale="76" workbookViewId="0">
      <selection activeCell="C30" sqref="C30:F30"/>
      <pivotSelection pane="bottomRight" activeRow="29" activeCol="2" previousRow="29" previousCol="2" click="1" r:id="rId2">
        <pivotArea type="topRight" dataOnly="0" labelOnly="1" outline="0" fieldPosition="0"/>
      </pivotSelection>
    </sheetView>
  </sheetViews>
  <sheetFormatPr defaultRowHeight="14.4" x14ac:dyDescent="0.3"/>
  <cols>
    <col min="1" max="1" width="16" bestFit="1" customWidth="1"/>
    <col min="2" max="2" width="16.44140625" bestFit="1" customWidth="1"/>
    <col min="3" max="3" width="9.21875" bestFit="1" customWidth="1"/>
    <col min="4" max="4" width="8.5546875" bestFit="1" customWidth="1"/>
    <col min="5" max="5" width="8" bestFit="1" customWidth="1"/>
    <col min="6" max="6" width="7" bestFit="1" customWidth="1"/>
    <col min="7" max="7" width="10.6640625" bestFit="1" customWidth="1"/>
    <col min="8" max="8" width="9" bestFit="1" customWidth="1"/>
    <col min="9" max="9" width="8.5546875" bestFit="1" customWidth="1"/>
    <col min="10" max="10" width="10.5546875" bestFit="1" customWidth="1"/>
    <col min="11" max="11" width="9.33203125" bestFit="1" customWidth="1"/>
    <col min="12" max="12" width="21.109375" bestFit="1" customWidth="1"/>
    <col min="13" max="13" width="16.44140625" bestFit="1" customWidth="1"/>
    <col min="14" max="14" width="9.21875" bestFit="1" customWidth="1"/>
    <col min="15" max="15" width="8.5546875" bestFit="1" customWidth="1"/>
    <col min="16" max="16" width="8" bestFit="1" customWidth="1"/>
    <col min="17" max="17" width="10.6640625" bestFit="1" customWidth="1"/>
    <col min="18" max="18" width="9" bestFit="1" customWidth="1"/>
    <col min="19" max="19" width="8.5546875" bestFit="1" customWidth="1"/>
    <col min="20" max="20" width="8" bestFit="1" customWidth="1"/>
    <col min="21" max="21" width="24.44140625" bestFit="1" customWidth="1"/>
    <col min="22" max="22" width="10.33203125" bestFit="1" customWidth="1"/>
    <col min="23" max="23" width="9" bestFit="1" customWidth="1"/>
    <col min="24" max="24" width="8.5546875" bestFit="1" customWidth="1"/>
    <col min="25" max="25" width="8" bestFit="1" customWidth="1"/>
    <col min="26" max="26" width="13.21875" bestFit="1" customWidth="1"/>
    <col min="27" max="27" width="12.88671875" bestFit="1" customWidth="1"/>
    <col min="28" max="28" width="9" bestFit="1" customWidth="1"/>
    <col min="29" max="29" width="8.5546875" bestFit="1" customWidth="1"/>
    <col min="30" max="30" width="8" bestFit="1" customWidth="1"/>
    <col min="31" max="31" width="15.77734375" bestFit="1" customWidth="1"/>
    <col min="32" max="32" width="16.6640625" bestFit="1" customWidth="1"/>
    <col min="33" max="33" width="9" bestFit="1" customWidth="1"/>
    <col min="34" max="34" width="8.5546875" bestFit="1" customWidth="1"/>
    <col min="35" max="35" width="8" bestFit="1" customWidth="1"/>
    <col min="36" max="36" width="19.5546875" bestFit="1" customWidth="1"/>
    <col min="37" max="37" width="15.6640625" bestFit="1" customWidth="1"/>
    <col min="38" max="38" width="9" bestFit="1" customWidth="1"/>
    <col min="39" max="39" width="8.5546875" bestFit="1" customWidth="1"/>
    <col min="40" max="40" width="8" bestFit="1" customWidth="1"/>
    <col min="41" max="41" width="18.5546875" bestFit="1" customWidth="1"/>
    <col min="42" max="42" width="19.5546875" bestFit="1" customWidth="1"/>
    <col min="43" max="43" width="9" bestFit="1" customWidth="1"/>
    <col min="44" max="44" width="8.5546875" bestFit="1" customWidth="1"/>
    <col min="45" max="45" width="8" bestFit="1" customWidth="1"/>
    <col min="46" max="46" width="22.44140625" bestFit="1" customWidth="1"/>
    <col min="47" max="47" width="18.88671875" bestFit="1" customWidth="1"/>
    <col min="48" max="48" width="9" bestFit="1" customWidth="1"/>
    <col min="49" max="49" width="8.5546875" bestFit="1" customWidth="1"/>
    <col min="50" max="50" width="8" bestFit="1" customWidth="1"/>
    <col min="51" max="51" width="21.77734375" bestFit="1" customWidth="1"/>
    <col min="52" max="52" width="15.6640625" bestFit="1" customWidth="1"/>
    <col min="53" max="53" width="9" bestFit="1" customWidth="1"/>
    <col min="54" max="54" width="8.5546875" bestFit="1" customWidth="1"/>
    <col min="55" max="55" width="8" bestFit="1" customWidth="1"/>
    <col min="56" max="56" width="18.5546875" bestFit="1" customWidth="1"/>
    <col min="57" max="57" width="15.44140625" bestFit="1" customWidth="1"/>
    <col min="58" max="58" width="9" bestFit="1" customWidth="1"/>
    <col min="59" max="59" width="8.5546875" bestFit="1" customWidth="1"/>
    <col min="60" max="60" width="8" bestFit="1" customWidth="1"/>
    <col min="61" max="61" width="18.33203125" bestFit="1" customWidth="1"/>
    <col min="62" max="62" width="15.44140625" bestFit="1" customWidth="1"/>
    <col min="63" max="63" width="9" bestFit="1" customWidth="1"/>
    <col min="64" max="64" width="8.5546875" bestFit="1" customWidth="1"/>
    <col min="65" max="65" width="8" bestFit="1" customWidth="1"/>
    <col min="66" max="66" width="18.33203125" bestFit="1" customWidth="1"/>
    <col min="67" max="67" width="9.44140625" bestFit="1" customWidth="1"/>
    <col min="68" max="68" width="9" bestFit="1" customWidth="1"/>
    <col min="69" max="69" width="8.5546875" bestFit="1" customWidth="1"/>
    <col min="70" max="70" width="8" bestFit="1" customWidth="1"/>
    <col min="71" max="71" width="11.77734375" bestFit="1" customWidth="1"/>
    <col min="72" max="72" width="17" bestFit="1" customWidth="1"/>
    <col min="73" max="73" width="9" bestFit="1" customWidth="1"/>
    <col min="74" max="74" width="8.5546875" bestFit="1" customWidth="1"/>
    <col min="75" max="75" width="8" bestFit="1" customWidth="1"/>
    <col min="76" max="76" width="19.88671875" bestFit="1" customWidth="1"/>
    <col min="77" max="77" width="11.5546875" bestFit="1" customWidth="1"/>
    <col min="78" max="78" width="9" bestFit="1" customWidth="1"/>
    <col min="79" max="79" width="8.5546875" bestFit="1" customWidth="1"/>
    <col min="80" max="80" width="8" bestFit="1" customWidth="1"/>
    <col min="81" max="81" width="14.44140625" bestFit="1" customWidth="1"/>
    <col min="82" max="82" width="16.44140625" bestFit="1" customWidth="1"/>
    <col min="83" max="83" width="9" bestFit="1" customWidth="1"/>
    <col min="84" max="84" width="8.5546875" bestFit="1" customWidth="1"/>
    <col min="85" max="85" width="8" bestFit="1" customWidth="1"/>
    <col min="86" max="86" width="19.33203125" bestFit="1" customWidth="1"/>
    <col min="87" max="87" width="8.6640625" bestFit="1" customWidth="1"/>
    <col min="88" max="88" width="11.44140625" bestFit="1" customWidth="1"/>
    <col min="89" max="89" width="10.5546875" bestFit="1" customWidth="1"/>
    <col min="90" max="90" width="8" bestFit="1" customWidth="1"/>
    <col min="91" max="91" width="16.33203125" bestFit="1" customWidth="1"/>
    <col min="92" max="92" width="12.33203125" bestFit="1" customWidth="1"/>
    <col min="93" max="93" width="9" bestFit="1" customWidth="1"/>
    <col min="94" max="94" width="8.5546875" bestFit="1" customWidth="1"/>
    <col min="95" max="95" width="8" bestFit="1" customWidth="1"/>
    <col min="96" max="96" width="15.21875" bestFit="1" customWidth="1"/>
    <col min="97" max="97" width="19.21875" bestFit="1" customWidth="1"/>
    <col min="98" max="98" width="9" bestFit="1" customWidth="1"/>
    <col min="99" max="99" width="8.5546875" bestFit="1" customWidth="1"/>
    <col min="100" max="100" width="8" bestFit="1" customWidth="1"/>
    <col min="101" max="101" width="22.109375" bestFit="1" customWidth="1"/>
    <col min="102" max="102" width="11.5546875" bestFit="1" customWidth="1"/>
    <col min="103" max="103" width="9" bestFit="1" customWidth="1"/>
    <col min="104" max="104" width="8.5546875" bestFit="1" customWidth="1"/>
    <col min="105" max="105" width="8" bestFit="1" customWidth="1"/>
    <col min="106" max="106" width="14.44140625" bestFit="1" customWidth="1"/>
    <col min="107" max="107" width="13" bestFit="1" customWidth="1"/>
    <col min="108" max="108" width="9" bestFit="1" customWidth="1"/>
    <col min="109" max="109" width="8.5546875" bestFit="1" customWidth="1"/>
    <col min="110" max="110" width="8" bestFit="1" customWidth="1"/>
    <col min="111" max="111" width="15.88671875" bestFit="1" customWidth="1"/>
    <col min="112" max="112" width="15.6640625" bestFit="1" customWidth="1"/>
    <col min="113" max="113" width="9" bestFit="1" customWidth="1"/>
    <col min="114" max="114" width="8.5546875" bestFit="1" customWidth="1"/>
    <col min="115" max="115" width="8" bestFit="1" customWidth="1"/>
    <col min="116" max="116" width="18.5546875" bestFit="1" customWidth="1"/>
    <col min="117" max="117" width="16" bestFit="1" customWidth="1"/>
    <col min="118" max="118" width="18.88671875" bestFit="1" customWidth="1"/>
    <col min="119" max="119" width="13.33203125" bestFit="1" customWidth="1"/>
    <col min="120" max="120" width="9" bestFit="1" customWidth="1"/>
    <col min="121" max="121" width="8.5546875" bestFit="1" customWidth="1"/>
    <col min="122" max="122" width="8" bestFit="1" customWidth="1"/>
    <col min="123" max="123" width="16.21875" bestFit="1" customWidth="1"/>
    <col min="124" max="124" width="8.6640625" bestFit="1" customWidth="1"/>
    <col min="125" max="125" width="11.44140625" bestFit="1" customWidth="1"/>
    <col min="126" max="126" width="10.5546875" bestFit="1" customWidth="1"/>
    <col min="127" max="127" width="8.5546875" bestFit="1" customWidth="1"/>
    <col min="128" max="128" width="8" bestFit="1" customWidth="1"/>
    <col min="129" max="129" width="33" bestFit="1" customWidth="1"/>
    <col min="130" max="130" width="32.5546875" bestFit="1" customWidth="1"/>
    <col min="131" max="131" width="19.6640625" bestFit="1" customWidth="1"/>
    <col min="132" max="132" width="9" bestFit="1" customWidth="1"/>
    <col min="133" max="133" width="8.5546875" bestFit="1" customWidth="1"/>
    <col min="134" max="134" width="8" bestFit="1" customWidth="1"/>
    <col min="135" max="135" width="19.21875" bestFit="1" customWidth="1"/>
    <col min="136" max="136" width="9" bestFit="1" customWidth="1"/>
    <col min="137" max="137" width="8.5546875" bestFit="1" customWidth="1"/>
    <col min="138" max="138" width="8" bestFit="1" customWidth="1"/>
    <col min="139" max="139" width="33" bestFit="1" customWidth="1"/>
    <col min="140" max="140" width="32.5546875" bestFit="1" customWidth="1"/>
    <col min="141" max="141" width="19.6640625" bestFit="1" customWidth="1"/>
    <col min="142" max="142" width="9" bestFit="1" customWidth="1"/>
    <col min="143" max="143" width="8.5546875" bestFit="1" customWidth="1"/>
    <col min="144" max="144" width="8" bestFit="1" customWidth="1"/>
    <col min="145" max="145" width="19.21875" bestFit="1" customWidth="1"/>
    <col min="146" max="146" width="9" bestFit="1" customWidth="1"/>
    <col min="147" max="147" width="8.5546875" bestFit="1" customWidth="1"/>
    <col min="148" max="148" width="8" bestFit="1" customWidth="1"/>
    <col min="149" max="149" width="26.5546875" bestFit="1" customWidth="1"/>
    <col min="150" max="150" width="26.109375" bestFit="1" customWidth="1"/>
    <col min="151" max="151" width="19.6640625" bestFit="1" customWidth="1"/>
    <col min="152" max="152" width="9" bestFit="1" customWidth="1"/>
    <col min="153" max="153" width="8.5546875" bestFit="1" customWidth="1"/>
    <col min="154" max="154" width="8" bestFit="1" customWidth="1"/>
    <col min="155" max="155" width="19.21875" bestFit="1" customWidth="1"/>
    <col min="156" max="156" width="9" bestFit="1" customWidth="1"/>
    <col min="157" max="157" width="8.5546875" bestFit="1" customWidth="1"/>
    <col min="158" max="158" width="8" bestFit="1" customWidth="1"/>
    <col min="159" max="159" width="34.6640625" bestFit="1" customWidth="1"/>
    <col min="160" max="160" width="34.21875" bestFit="1" customWidth="1"/>
    <col min="161" max="161" width="19.6640625" bestFit="1" customWidth="1"/>
    <col min="162" max="162" width="9" bestFit="1" customWidth="1"/>
    <col min="163" max="163" width="8.5546875" bestFit="1" customWidth="1"/>
    <col min="164" max="164" width="8" bestFit="1" customWidth="1"/>
    <col min="165" max="165" width="19.21875" bestFit="1" customWidth="1"/>
    <col min="166" max="166" width="9" bestFit="1" customWidth="1"/>
    <col min="167" max="167" width="8.5546875" bestFit="1" customWidth="1"/>
    <col min="168" max="168" width="8" bestFit="1" customWidth="1"/>
    <col min="169" max="169" width="29.109375" bestFit="1" customWidth="1"/>
    <col min="170" max="170" width="28.6640625" bestFit="1" customWidth="1"/>
    <col min="171" max="171" width="19.6640625" bestFit="1" customWidth="1"/>
    <col min="172" max="172" width="9" bestFit="1" customWidth="1"/>
    <col min="173" max="173" width="8.5546875" bestFit="1" customWidth="1"/>
    <col min="174" max="174" width="8" bestFit="1" customWidth="1"/>
    <col min="175" max="175" width="19.21875" bestFit="1" customWidth="1"/>
    <col min="176" max="176" width="9" bestFit="1" customWidth="1"/>
    <col min="177" max="177" width="8.5546875" bestFit="1" customWidth="1"/>
    <col min="178" max="178" width="8" bestFit="1" customWidth="1"/>
    <col min="179" max="179" width="34.109375" bestFit="1" customWidth="1"/>
    <col min="180" max="180" width="33.6640625" bestFit="1" customWidth="1"/>
    <col min="181" max="181" width="19.6640625" bestFit="1" customWidth="1"/>
    <col min="182" max="182" width="19.21875" bestFit="1" customWidth="1"/>
    <col min="183" max="183" width="26.21875" bestFit="1" customWidth="1"/>
    <col min="184" max="184" width="25.77734375" bestFit="1" customWidth="1"/>
    <col min="185" max="185" width="24.21875" bestFit="1" customWidth="1"/>
    <col min="186" max="186" width="23.77734375" bestFit="1" customWidth="1"/>
    <col min="187" max="187" width="19.6640625" bestFit="1" customWidth="1"/>
    <col min="188" max="188" width="20.109375" bestFit="1" customWidth="1"/>
    <col min="189" max="189" width="19.6640625" bestFit="1" customWidth="1"/>
    <col min="190" max="190" width="20.109375" bestFit="1" customWidth="1"/>
    <col min="191" max="191" width="19.6640625" bestFit="1" customWidth="1"/>
    <col min="192" max="192" width="20.109375" bestFit="1" customWidth="1"/>
    <col min="193" max="193" width="19.6640625" bestFit="1" customWidth="1"/>
    <col min="194" max="194" width="20.109375" bestFit="1" customWidth="1"/>
    <col min="195" max="195" width="19.6640625" bestFit="1" customWidth="1"/>
    <col min="196" max="196" width="20.109375" bestFit="1" customWidth="1"/>
    <col min="197" max="197" width="19.6640625" bestFit="1" customWidth="1"/>
    <col min="198" max="198" width="20.109375" bestFit="1" customWidth="1"/>
    <col min="199" max="199" width="19.6640625" bestFit="1" customWidth="1"/>
    <col min="200" max="200" width="20.109375" bestFit="1" customWidth="1"/>
    <col min="201" max="201" width="19.6640625" bestFit="1" customWidth="1"/>
    <col min="202" max="202" width="20.109375" bestFit="1" customWidth="1"/>
    <col min="203" max="203" width="19.6640625" bestFit="1" customWidth="1"/>
    <col min="204" max="204" width="20.109375" bestFit="1" customWidth="1"/>
    <col min="205" max="205" width="19.6640625" bestFit="1" customWidth="1"/>
    <col min="206" max="206" width="20.109375" bestFit="1" customWidth="1"/>
    <col min="207" max="207" width="19.6640625" bestFit="1" customWidth="1"/>
    <col min="208" max="208" width="20.109375" bestFit="1" customWidth="1"/>
    <col min="209" max="209" width="19.6640625" bestFit="1" customWidth="1"/>
    <col min="210" max="210" width="20.109375" bestFit="1" customWidth="1"/>
    <col min="211" max="211" width="19.6640625" bestFit="1" customWidth="1"/>
    <col min="212" max="212" width="20.109375" bestFit="1" customWidth="1"/>
    <col min="213" max="213" width="19.6640625" bestFit="1" customWidth="1"/>
    <col min="214" max="214" width="20.109375" bestFit="1" customWidth="1"/>
    <col min="215" max="215" width="19.6640625" bestFit="1" customWidth="1"/>
    <col min="216" max="216" width="20.109375" bestFit="1" customWidth="1"/>
    <col min="217" max="217" width="19.6640625" bestFit="1" customWidth="1"/>
    <col min="218" max="218" width="20.109375" bestFit="1" customWidth="1"/>
    <col min="219" max="219" width="19.6640625" bestFit="1" customWidth="1"/>
    <col min="220" max="220" width="20.109375" bestFit="1" customWidth="1"/>
    <col min="221" max="221" width="19.6640625" bestFit="1" customWidth="1"/>
    <col min="222" max="222" width="20.109375" bestFit="1" customWidth="1"/>
    <col min="223" max="223" width="19.6640625" bestFit="1" customWidth="1"/>
    <col min="224" max="224" width="20.109375" bestFit="1" customWidth="1"/>
    <col min="225" max="225" width="19.6640625" bestFit="1" customWidth="1"/>
    <col min="226" max="226" width="20.109375" bestFit="1" customWidth="1"/>
    <col min="227" max="227" width="19.6640625" bestFit="1" customWidth="1"/>
    <col min="228" max="228" width="20.109375" bestFit="1" customWidth="1"/>
    <col min="229" max="229" width="19.6640625" bestFit="1" customWidth="1"/>
    <col min="230" max="230" width="20.109375" bestFit="1" customWidth="1"/>
    <col min="231" max="231" width="19.6640625" bestFit="1" customWidth="1"/>
    <col min="232" max="232" width="20.109375" bestFit="1" customWidth="1"/>
    <col min="233" max="233" width="19.6640625" bestFit="1" customWidth="1"/>
    <col min="234" max="234" width="20.109375" bestFit="1" customWidth="1"/>
    <col min="235" max="235" width="19.6640625" bestFit="1" customWidth="1"/>
    <col min="236" max="236" width="20.109375" bestFit="1" customWidth="1"/>
    <col min="237" max="237" width="19.6640625" bestFit="1" customWidth="1"/>
    <col min="238" max="238" width="20.109375" bestFit="1" customWidth="1"/>
    <col min="239" max="239" width="19.6640625" bestFit="1" customWidth="1"/>
    <col min="240" max="240" width="20.109375" bestFit="1" customWidth="1"/>
    <col min="241" max="241" width="19.6640625" bestFit="1" customWidth="1"/>
    <col min="242" max="242" width="20.109375" bestFit="1" customWidth="1"/>
    <col min="243" max="243" width="19.6640625" bestFit="1" customWidth="1"/>
    <col min="244" max="244" width="20.109375" bestFit="1" customWidth="1"/>
    <col min="245" max="245" width="19.6640625" bestFit="1" customWidth="1"/>
    <col min="246" max="246" width="20.109375" bestFit="1" customWidth="1"/>
    <col min="247" max="247" width="19.6640625" bestFit="1" customWidth="1"/>
    <col min="248" max="248" width="20.109375" bestFit="1" customWidth="1"/>
    <col min="249" max="249" width="19.6640625" bestFit="1" customWidth="1"/>
    <col min="250" max="250" width="20.109375" bestFit="1" customWidth="1"/>
    <col min="251" max="251" width="19.6640625" bestFit="1" customWidth="1"/>
    <col min="252" max="252" width="20.109375" bestFit="1" customWidth="1"/>
    <col min="253" max="253" width="19.6640625" bestFit="1" customWidth="1"/>
    <col min="254" max="254" width="20.109375" bestFit="1" customWidth="1"/>
    <col min="255" max="255" width="19.6640625" bestFit="1" customWidth="1"/>
    <col min="256" max="256" width="20.109375" bestFit="1" customWidth="1"/>
    <col min="257" max="257" width="19.6640625" bestFit="1" customWidth="1"/>
    <col min="258" max="258" width="20.109375" bestFit="1" customWidth="1"/>
    <col min="259" max="259" width="19.6640625" bestFit="1" customWidth="1"/>
    <col min="260" max="260" width="20.109375" bestFit="1" customWidth="1"/>
    <col min="261" max="261" width="19.6640625" bestFit="1" customWidth="1"/>
    <col min="262" max="262" width="20.109375" bestFit="1" customWidth="1"/>
    <col min="263" max="263" width="19.6640625" bestFit="1" customWidth="1"/>
    <col min="264" max="264" width="20.109375" bestFit="1" customWidth="1"/>
    <col min="265" max="265" width="19.6640625" bestFit="1" customWidth="1"/>
    <col min="266" max="266" width="20.109375" bestFit="1" customWidth="1"/>
    <col min="267" max="267" width="19.6640625" bestFit="1" customWidth="1"/>
    <col min="268" max="268" width="20.109375" bestFit="1" customWidth="1"/>
    <col min="269" max="269" width="19.6640625" bestFit="1" customWidth="1"/>
    <col min="270" max="270" width="20.109375" bestFit="1" customWidth="1"/>
    <col min="271" max="271" width="19.6640625" bestFit="1" customWidth="1"/>
    <col min="272" max="272" width="20.109375" bestFit="1" customWidth="1"/>
    <col min="273" max="273" width="19.6640625" bestFit="1" customWidth="1"/>
    <col min="274" max="274" width="20.109375" bestFit="1" customWidth="1"/>
    <col min="275" max="275" width="19.6640625" bestFit="1" customWidth="1"/>
    <col min="276" max="276" width="20.109375" bestFit="1" customWidth="1"/>
    <col min="277" max="277" width="27.109375" bestFit="1" customWidth="1"/>
    <col min="278" max="278" width="27.5546875" bestFit="1" customWidth="1"/>
    <col min="279" max="279" width="21.5546875" bestFit="1" customWidth="1"/>
    <col min="280" max="280" width="20.109375" bestFit="1" customWidth="1"/>
    <col min="281" max="281" width="19.6640625" bestFit="1" customWidth="1"/>
    <col min="282" max="282" width="20.109375" bestFit="1" customWidth="1"/>
    <col min="283" max="283" width="19.6640625" bestFit="1" customWidth="1"/>
    <col min="284" max="284" width="20.109375" bestFit="1" customWidth="1"/>
    <col min="285" max="285" width="19.6640625" bestFit="1" customWidth="1"/>
    <col min="286" max="286" width="20.109375" bestFit="1" customWidth="1"/>
    <col min="287" max="287" width="19.6640625" bestFit="1" customWidth="1"/>
    <col min="288" max="288" width="20.109375" bestFit="1" customWidth="1"/>
    <col min="289" max="289" width="19.6640625" bestFit="1" customWidth="1"/>
    <col min="290" max="290" width="20.109375" bestFit="1" customWidth="1"/>
    <col min="291" max="291" width="19.6640625" bestFit="1" customWidth="1"/>
    <col min="292" max="292" width="20.109375" bestFit="1" customWidth="1"/>
    <col min="293" max="293" width="19.6640625" bestFit="1" customWidth="1"/>
    <col min="294" max="294" width="20.109375" bestFit="1" customWidth="1"/>
    <col min="295" max="295" width="19.6640625" bestFit="1" customWidth="1"/>
    <col min="296" max="296" width="20.109375" bestFit="1" customWidth="1"/>
    <col min="297" max="297" width="19.6640625" bestFit="1" customWidth="1"/>
    <col min="298" max="298" width="20.109375" bestFit="1" customWidth="1"/>
    <col min="299" max="299" width="19.6640625" bestFit="1" customWidth="1"/>
    <col min="300" max="300" width="20.109375" bestFit="1" customWidth="1"/>
    <col min="301" max="301" width="19.6640625" bestFit="1" customWidth="1"/>
    <col min="302" max="302" width="20.109375" bestFit="1" customWidth="1"/>
    <col min="303" max="303" width="19.6640625" bestFit="1" customWidth="1"/>
    <col min="304" max="304" width="20.109375" bestFit="1" customWidth="1"/>
    <col min="305" max="305" width="19.6640625" bestFit="1" customWidth="1"/>
    <col min="306" max="306" width="20.109375" bestFit="1" customWidth="1"/>
    <col min="307" max="307" width="19.6640625" bestFit="1" customWidth="1"/>
    <col min="308" max="308" width="20.109375" bestFit="1" customWidth="1"/>
    <col min="309" max="309" width="19.6640625" bestFit="1" customWidth="1"/>
    <col min="310" max="310" width="20.109375" bestFit="1" customWidth="1"/>
    <col min="311" max="311" width="19.6640625" bestFit="1" customWidth="1"/>
    <col min="312" max="312" width="20.109375" bestFit="1" customWidth="1"/>
    <col min="313" max="313" width="19.6640625" bestFit="1" customWidth="1"/>
    <col min="314" max="314" width="20.109375" bestFit="1" customWidth="1"/>
    <col min="315" max="315" width="19.6640625" bestFit="1" customWidth="1"/>
    <col min="316" max="316" width="20.109375" bestFit="1" customWidth="1"/>
    <col min="317" max="317" width="19.6640625" bestFit="1" customWidth="1"/>
    <col min="318" max="318" width="20.109375" bestFit="1" customWidth="1"/>
    <col min="319" max="319" width="19.6640625" bestFit="1" customWidth="1"/>
    <col min="320" max="320" width="20.109375" bestFit="1" customWidth="1"/>
    <col min="321" max="321" width="19.6640625" bestFit="1" customWidth="1"/>
    <col min="322" max="322" width="20.109375" bestFit="1" customWidth="1"/>
    <col min="323" max="323" width="19.6640625" bestFit="1" customWidth="1"/>
    <col min="324" max="324" width="20.109375" bestFit="1" customWidth="1"/>
    <col min="325" max="325" width="19.6640625" bestFit="1" customWidth="1"/>
    <col min="326" max="326" width="20.109375" bestFit="1" customWidth="1"/>
    <col min="327" max="327" width="19.6640625" bestFit="1" customWidth="1"/>
    <col min="328" max="328" width="20.109375" bestFit="1" customWidth="1"/>
    <col min="329" max="329" width="19.6640625" bestFit="1" customWidth="1"/>
    <col min="330" max="330" width="20.109375" bestFit="1" customWidth="1"/>
    <col min="331" max="331" width="19.6640625" bestFit="1" customWidth="1"/>
    <col min="332" max="332" width="20.109375" bestFit="1" customWidth="1"/>
    <col min="333" max="333" width="19.6640625" bestFit="1" customWidth="1"/>
    <col min="334" max="334" width="20.109375" bestFit="1" customWidth="1"/>
    <col min="335" max="335" width="19.6640625" bestFit="1" customWidth="1"/>
    <col min="336" max="336" width="20.109375" bestFit="1" customWidth="1"/>
    <col min="337" max="337" width="19.6640625" bestFit="1" customWidth="1"/>
    <col min="338" max="338" width="20.109375" bestFit="1" customWidth="1"/>
    <col min="339" max="339" width="19.6640625" bestFit="1" customWidth="1"/>
    <col min="340" max="340" width="20.109375" bestFit="1" customWidth="1"/>
    <col min="341" max="341" width="19.6640625" bestFit="1" customWidth="1"/>
    <col min="342" max="342" width="20.109375" bestFit="1" customWidth="1"/>
    <col min="343" max="343" width="19.6640625" bestFit="1" customWidth="1"/>
    <col min="344" max="344" width="20.109375" bestFit="1" customWidth="1"/>
    <col min="345" max="345" width="19.6640625" bestFit="1" customWidth="1"/>
    <col min="346" max="346" width="20.109375" bestFit="1" customWidth="1"/>
    <col min="347" max="347" width="19.6640625" bestFit="1" customWidth="1"/>
    <col min="348" max="348" width="20.109375" bestFit="1" customWidth="1"/>
    <col min="349" max="349" width="19.6640625" bestFit="1" customWidth="1"/>
    <col min="350" max="350" width="20.109375" bestFit="1" customWidth="1"/>
    <col min="351" max="351" width="19.6640625" bestFit="1" customWidth="1"/>
    <col min="352" max="352" width="20.109375" bestFit="1" customWidth="1"/>
    <col min="353" max="353" width="19.6640625" bestFit="1" customWidth="1"/>
    <col min="354" max="354" width="20.109375" bestFit="1" customWidth="1"/>
    <col min="355" max="355" width="19.6640625" bestFit="1" customWidth="1"/>
    <col min="356" max="356" width="20.109375" bestFit="1" customWidth="1"/>
    <col min="357" max="357" width="19.6640625" bestFit="1" customWidth="1"/>
    <col min="358" max="358" width="20.109375" bestFit="1" customWidth="1"/>
    <col min="359" max="359" width="19.6640625" bestFit="1" customWidth="1"/>
    <col min="360" max="360" width="20.109375" bestFit="1" customWidth="1"/>
    <col min="361" max="361" width="19.6640625" bestFit="1" customWidth="1"/>
    <col min="362" max="362" width="20.109375" bestFit="1" customWidth="1"/>
    <col min="363" max="363" width="19.6640625" bestFit="1" customWidth="1"/>
    <col min="364" max="364" width="20.109375" bestFit="1" customWidth="1"/>
    <col min="365" max="365" width="19.6640625" bestFit="1" customWidth="1"/>
    <col min="366" max="366" width="20.109375" bestFit="1" customWidth="1"/>
    <col min="367" max="367" width="19.6640625" bestFit="1" customWidth="1"/>
    <col min="368" max="368" width="20.109375" bestFit="1" customWidth="1"/>
    <col min="369" max="369" width="19.6640625" bestFit="1" customWidth="1"/>
    <col min="370" max="370" width="20.109375" bestFit="1" customWidth="1"/>
    <col min="371" max="371" width="19.6640625" bestFit="1" customWidth="1"/>
    <col min="372" max="372" width="20.109375" bestFit="1" customWidth="1"/>
    <col min="373" max="373" width="19.6640625" bestFit="1" customWidth="1"/>
    <col min="374" max="374" width="20.109375" bestFit="1" customWidth="1"/>
    <col min="375" max="375" width="19.6640625" bestFit="1" customWidth="1"/>
    <col min="376" max="376" width="20.109375" bestFit="1" customWidth="1"/>
    <col min="377" max="377" width="19.6640625" bestFit="1" customWidth="1"/>
    <col min="378" max="378" width="20.109375" bestFit="1" customWidth="1"/>
    <col min="379" max="379" width="19.6640625" bestFit="1" customWidth="1"/>
    <col min="380" max="380" width="20.109375" bestFit="1" customWidth="1"/>
    <col min="381" max="381" width="19.6640625" bestFit="1" customWidth="1"/>
    <col min="382" max="382" width="20.109375" bestFit="1" customWidth="1"/>
    <col min="383" max="383" width="19.6640625" bestFit="1" customWidth="1"/>
    <col min="384" max="384" width="20.109375" bestFit="1" customWidth="1"/>
    <col min="385" max="385" width="19.6640625" bestFit="1" customWidth="1"/>
    <col min="386" max="386" width="20.109375" bestFit="1" customWidth="1"/>
    <col min="387" max="387" width="19.6640625" bestFit="1" customWidth="1"/>
    <col min="388" max="388" width="20.109375" bestFit="1" customWidth="1"/>
    <col min="389" max="389" width="19.6640625" bestFit="1" customWidth="1"/>
    <col min="390" max="390" width="20.109375" bestFit="1" customWidth="1"/>
    <col min="391" max="391" width="19.6640625" bestFit="1" customWidth="1"/>
    <col min="392" max="392" width="20.109375" bestFit="1" customWidth="1"/>
    <col min="393" max="393" width="19.6640625" bestFit="1" customWidth="1"/>
    <col min="394" max="394" width="20.109375" bestFit="1" customWidth="1"/>
    <col min="395" max="395" width="19.6640625" bestFit="1" customWidth="1"/>
    <col min="396" max="396" width="20.109375" bestFit="1" customWidth="1"/>
    <col min="397" max="397" width="19.6640625" bestFit="1" customWidth="1"/>
    <col min="398" max="398" width="20.109375" bestFit="1" customWidth="1"/>
    <col min="399" max="399" width="19.6640625" bestFit="1" customWidth="1"/>
    <col min="400" max="400" width="20.109375" bestFit="1" customWidth="1"/>
    <col min="401" max="401" width="19.6640625" bestFit="1" customWidth="1"/>
    <col min="402" max="402" width="20.109375" bestFit="1" customWidth="1"/>
    <col min="403" max="403" width="19.6640625" bestFit="1" customWidth="1"/>
    <col min="404" max="404" width="20.109375" bestFit="1" customWidth="1"/>
    <col min="405" max="405" width="19.6640625" bestFit="1" customWidth="1"/>
    <col min="406" max="406" width="20.109375" bestFit="1" customWidth="1"/>
    <col min="407" max="407" width="19.6640625" bestFit="1" customWidth="1"/>
    <col min="408" max="408" width="20.109375" bestFit="1" customWidth="1"/>
    <col min="409" max="409" width="19.6640625" bestFit="1" customWidth="1"/>
    <col min="410" max="410" width="20.109375" bestFit="1" customWidth="1"/>
    <col min="411" max="411" width="19.6640625" bestFit="1" customWidth="1"/>
    <col min="412" max="412" width="20.109375" bestFit="1" customWidth="1"/>
    <col min="413" max="413" width="19.6640625" bestFit="1" customWidth="1"/>
    <col min="414" max="414" width="20.109375" bestFit="1" customWidth="1"/>
    <col min="415" max="415" width="19.6640625" bestFit="1" customWidth="1"/>
    <col min="416" max="416" width="20.109375" bestFit="1" customWidth="1"/>
    <col min="417" max="417" width="19.6640625" bestFit="1" customWidth="1"/>
    <col min="418" max="418" width="20.109375" bestFit="1" customWidth="1"/>
    <col min="419" max="419" width="39.21875" bestFit="1" customWidth="1"/>
    <col min="420" max="420" width="39.6640625" bestFit="1" customWidth="1"/>
    <col min="421" max="421" width="19.6640625" bestFit="1" customWidth="1"/>
    <col min="422" max="422" width="20.109375" bestFit="1" customWidth="1"/>
    <col min="423" max="423" width="19.6640625" bestFit="1" customWidth="1"/>
    <col min="424" max="424" width="20.109375" bestFit="1" customWidth="1"/>
    <col min="425" max="425" width="19.6640625" bestFit="1" customWidth="1"/>
    <col min="426" max="426" width="20.109375" bestFit="1" customWidth="1"/>
    <col min="427" max="427" width="19.6640625" bestFit="1" customWidth="1"/>
    <col min="428" max="428" width="20.109375" bestFit="1" customWidth="1"/>
    <col min="429" max="429" width="19.6640625" bestFit="1" customWidth="1"/>
    <col min="430" max="430" width="20.109375" bestFit="1" customWidth="1"/>
    <col min="431" max="431" width="19.6640625" bestFit="1" customWidth="1"/>
    <col min="432" max="432" width="20.109375" bestFit="1" customWidth="1"/>
    <col min="433" max="433" width="19.6640625" bestFit="1" customWidth="1"/>
    <col min="434" max="434" width="20.109375" bestFit="1" customWidth="1"/>
    <col min="435" max="435" width="19.6640625" bestFit="1" customWidth="1"/>
    <col min="436" max="436" width="20.109375" bestFit="1" customWidth="1"/>
    <col min="437" max="437" width="19.6640625" bestFit="1" customWidth="1"/>
    <col min="438" max="438" width="20.109375" bestFit="1" customWidth="1"/>
    <col min="439" max="439" width="19.6640625" bestFit="1" customWidth="1"/>
    <col min="440" max="440" width="20.109375" bestFit="1" customWidth="1"/>
    <col min="441" max="441" width="19.6640625" bestFit="1" customWidth="1"/>
    <col min="442" max="442" width="20.109375" bestFit="1" customWidth="1"/>
    <col min="443" max="443" width="19.6640625" bestFit="1" customWidth="1"/>
    <col min="444" max="444" width="20.109375" bestFit="1" customWidth="1"/>
    <col min="445" max="445" width="19.6640625" bestFit="1" customWidth="1"/>
    <col min="446" max="446" width="20.109375" bestFit="1" customWidth="1"/>
    <col min="447" max="447" width="19.6640625" bestFit="1" customWidth="1"/>
    <col min="448" max="448" width="20.109375" bestFit="1" customWidth="1"/>
    <col min="449" max="449" width="19.6640625" bestFit="1" customWidth="1"/>
    <col min="450" max="450" width="20.109375" bestFit="1" customWidth="1"/>
    <col min="451" max="451" width="19.6640625" bestFit="1" customWidth="1"/>
    <col min="452" max="452" width="20.109375" bestFit="1" customWidth="1"/>
    <col min="453" max="453" width="19.6640625" bestFit="1" customWidth="1"/>
    <col min="454" max="454" width="20.109375" bestFit="1" customWidth="1"/>
    <col min="455" max="455" width="19.6640625" bestFit="1" customWidth="1"/>
    <col min="456" max="456" width="20.109375" bestFit="1" customWidth="1"/>
    <col min="457" max="457" width="19.6640625" bestFit="1" customWidth="1"/>
    <col min="458" max="458" width="20.109375" bestFit="1" customWidth="1"/>
    <col min="459" max="459" width="19.6640625" bestFit="1" customWidth="1"/>
    <col min="460" max="460" width="20.109375" bestFit="1" customWidth="1"/>
    <col min="461" max="461" width="19.6640625" bestFit="1" customWidth="1"/>
    <col min="462" max="462" width="20.109375" bestFit="1" customWidth="1"/>
    <col min="463" max="463" width="19.6640625" bestFit="1" customWidth="1"/>
    <col min="464" max="464" width="20.109375" bestFit="1" customWidth="1"/>
    <col min="465" max="465" width="19.6640625" bestFit="1" customWidth="1"/>
    <col min="466" max="466" width="20.109375" bestFit="1" customWidth="1"/>
    <col min="467" max="467" width="19.6640625" bestFit="1" customWidth="1"/>
    <col min="468" max="468" width="20.109375" bestFit="1" customWidth="1"/>
    <col min="469" max="469" width="27.88671875" bestFit="1" customWidth="1"/>
    <col min="470" max="470" width="28.33203125" bestFit="1" customWidth="1"/>
    <col min="471" max="471" width="19.6640625" bestFit="1" customWidth="1"/>
    <col min="472" max="472" width="20.109375" bestFit="1" customWidth="1"/>
    <col min="473" max="473" width="19.6640625" bestFit="1" customWidth="1"/>
    <col min="474" max="474" width="20.109375" bestFit="1" customWidth="1"/>
    <col min="475" max="475" width="19.6640625" bestFit="1" customWidth="1"/>
    <col min="476" max="476" width="20.109375" bestFit="1" customWidth="1"/>
    <col min="477" max="477" width="19.6640625" bestFit="1" customWidth="1"/>
    <col min="478" max="478" width="20.109375" bestFit="1" customWidth="1"/>
    <col min="479" max="479" width="19.6640625" bestFit="1" customWidth="1"/>
    <col min="480" max="480" width="20.109375" bestFit="1" customWidth="1"/>
    <col min="481" max="481" width="19.6640625" bestFit="1" customWidth="1"/>
    <col min="482" max="482" width="20.109375" bestFit="1" customWidth="1"/>
    <col min="483" max="483" width="19.6640625" bestFit="1" customWidth="1"/>
    <col min="484" max="484" width="20.109375" bestFit="1" customWidth="1"/>
    <col min="485" max="485" width="19.6640625" bestFit="1" customWidth="1"/>
    <col min="486" max="486" width="20.109375" bestFit="1" customWidth="1"/>
    <col min="487" max="487" width="19.6640625" bestFit="1" customWidth="1"/>
    <col min="488" max="488" width="20.109375" bestFit="1" customWidth="1"/>
    <col min="489" max="489" width="19.6640625" bestFit="1" customWidth="1"/>
    <col min="490" max="490" width="20.109375" bestFit="1" customWidth="1"/>
    <col min="491" max="491" width="19.6640625" bestFit="1" customWidth="1"/>
    <col min="492" max="492" width="20.109375" bestFit="1" customWidth="1"/>
    <col min="493" max="493" width="19.6640625" bestFit="1" customWidth="1"/>
    <col min="494" max="494" width="20.109375" bestFit="1" customWidth="1"/>
    <col min="495" max="495" width="19.6640625" bestFit="1" customWidth="1"/>
    <col min="496" max="496" width="20.109375" bestFit="1" customWidth="1"/>
    <col min="497" max="497" width="19.6640625" bestFit="1" customWidth="1"/>
    <col min="498" max="498" width="20.109375" bestFit="1" customWidth="1"/>
    <col min="499" max="499" width="19.6640625" bestFit="1" customWidth="1"/>
    <col min="500" max="500" width="20.109375" bestFit="1" customWidth="1"/>
    <col min="501" max="501" width="19.6640625" bestFit="1" customWidth="1"/>
    <col min="502" max="502" width="20.109375" bestFit="1" customWidth="1"/>
    <col min="503" max="503" width="19.6640625" bestFit="1" customWidth="1"/>
    <col min="504" max="504" width="20.109375" bestFit="1" customWidth="1"/>
    <col min="505" max="505" width="19.6640625" bestFit="1" customWidth="1"/>
    <col min="506" max="506" width="20.109375" bestFit="1" customWidth="1"/>
    <col min="507" max="507" width="19.6640625" bestFit="1" customWidth="1"/>
    <col min="508" max="508" width="20.109375" bestFit="1" customWidth="1"/>
    <col min="509" max="509" width="19.6640625" bestFit="1" customWidth="1"/>
    <col min="510" max="510" width="20.109375" bestFit="1" customWidth="1"/>
    <col min="511" max="511" width="19.6640625" bestFit="1" customWidth="1"/>
    <col min="512" max="512" width="20.109375" bestFit="1" customWidth="1"/>
    <col min="513" max="513" width="19.6640625" bestFit="1" customWidth="1"/>
    <col min="514" max="514" width="20.109375" bestFit="1" customWidth="1"/>
    <col min="515" max="515" width="19.6640625" bestFit="1" customWidth="1"/>
    <col min="516" max="516" width="20.109375" bestFit="1" customWidth="1"/>
    <col min="517" max="517" width="19.6640625" bestFit="1" customWidth="1"/>
    <col min="518" max="518" width="20.109375" bestFit="1" customWidth="1"/>
    <col min="519" max="519" width="19.6640625" bestFit="1" customWidth="1"/>
    <col min="520" max="520" width="20.109375" bestFit="1" customWidth="1"/>
    <col min="521" max="521" width="19.6640625" bestFit="1" customWidth="1"/>
    <col min="522" max="522" width="20.109375" bestFit="1" customWidth="1"/>
    <col min="523" max="523" width="30.5546875" bestFit="1" customWidth="1"/>
    <col min="524" max="524" width="31" bestFit="1" customWidth="1"/>
    <col min="525" max="525" width="19.6640625" bestFit="1" customWidth="1"/>
    <col min="526" max="526" width="20.109375" bestFit="1" customWidth="1"/>
    <col min="527" max="527" width="19.6640625" bestFit="1" customWidth="1"/>
    <col min="528" max="528" width="20.109375" bestFit="1" customWidth="1"/>
    <col min="529" max="529" width="19.6640625" bestFit="1" customWidth="1"/>
    <col min="530" max="530" width="20.109375" bestFit="1" customWidth="1"/>
    <col min="531" max="531" width="19.6640625" bestFit="1" customWidth="1"/>
    <col min="532" max="532" width="20.109375" bestFit="1" customWidth="1"/>
    <col min="533" max="533" width="19.6640625" bestFit="1" customWidth="1"/>
    <col min="534" max="534" width="20.109375" bestFit="1" customWidth="1"/>
    <col min="535" max="535" width="19.6640625" bestFit="1" customWidth="1"/>
    <col min="536" max="536" width="20.109375" bestFit="1" customWidth="1"/>
    <col min="537" max="537" width="19.6640625" bestFit="1" customWidth="1"/>
    <col min="538" max="538" width="20.109375" bestFit="1" customWidth="1"/>
    <col min="539" max="539" width="19.6640625" bestFit="1" customWidth="1"/>
    <col min="540" max="540" width="20.109375" bestFit="1" customWidth="1"/>
    <col min="541" max="541" width="19.6640625" bestFit="1" customWidth="1"/>
    <col min="542" max="542" width="20.109375" bestFit="1" customWidth="1"/>
    <col min="543" max="543" width="19.6640625" bestFit="1" customWidth="1"/>
    <col min="544" max="544" width="20.109375" bestFit="1" customWidth="1"/>
    <col min="545" max="545" width="19.6640625" bestFit="1" customWidth="1"/>
    <col min="546" max="546" width="20.109375" bestFit="1" customWidth="1"/>
    <col min="547" max="547" width="19.6640625" bestFit="1" customWidth="1"/>
    <col min="548" max="548" width="20.109375" bestFit="1" customWidth="1"/>
    <col min="549" max="549" width="19.6640625" bestFit="1" customWidth="1"/>
    <col min="550" max="550" width="20.109375" bestFit="1" customWidth="1"/>
    <col min="551" max="551" width="19.6640625" bestFit="1" customWidth="1"/>
    <col min="552" max="552" width="20.109375" bestFit="1" customWidth="1"/>
    <col min="553" max="553" width="19.6640625" bestFit="1" customWidth="1"/>
    <col min="554" max="554" width="20.109375" bestFit="1" customWidth="1"/>
    <col min="555" max="555" width="19.6640625" bestFit="1" customWidth="1"/>
    <col min="556" max="556" width="20.109375" bestFit="1" customWidth="1"/>
    <col min="557" max="557" width="19.6640625" bestFit="1" customWidth="1"/>
    <col min="558" max="558" width="20.109375" bestFit="1" customWidth="1"/>
    <col min="559" max="559" width="19.6640625" bestFit="1" customWidth="1"/>
    <col min="560" max="560" width="20.109375" bestFit="1" customWidth="1"/>
    <col min="561" max="561" width="19.6640625" bestFit="1" customWidth="1"/>
    <col min="562" max="562" width="20.109375" bestFit="1" customWidth="1"/>
    <col min="563" max="563" width="19.6640625" bestFit="1" customWidth="1"/>
    <col min="564" max="564" width="20.109375" bestFit="1" customWidth="1"/>
    <col min="565" max="565" width="19.6640625" bestFit="1" customWidth="1"/>
    <col min="566" max="566" width="20.109375" bestFit="1" customWidth="1"/>
    <col min="567" max="567" width="19.6640625" bestFit="1" customWidth="1"/>
    <col min="568" max="568" width="20.109375" bestFit="1" customWidth="1"/>
    <col min="569" max="569" width="19.6640625" bestFit="1" customWidth="1"/>
    <col min="570" max="570" width="20.109375" bestFit="1" customWidth="1"/>
    <col min="571" max="571" width="19.6640625" bestFit="1" customWidth="1"/>
    <col min="572" max="572" width="20.109375" bestFit="1" customWidth="1"/>
    <col min="573" max="573" width="19.6640625" bestFit="1" customWidth="1"/>
    <col min="574" max="574" width="20.109375" bestFit="1" customWidth="1"/>
    <col min="575" max="575" width="19.6640625" bestFit="1" customWidth="1"/>
    <col min="576" max="576" width="20.109375" bestFit="1" customWidth="1"/>
    <col min="577" max="577" width="19.6640625" bestFit="1" customWidth="1"/>
    <col min="578" max="578" width="20.109375" bestFit="1" customWidth="1"/>
    <col min="579" max="579" width="19.6640625" bestFit="1" customWidth="1"/>
    <col min="580" max="580" width="20.109375" bestFit="1" customWidth="1"/>
    <col min="581" max="581" width="34.33203125" bestFit="1" customWidth="1"/>
    <col min="582" max="582" width="34.77734375" bestFit="1" customWidth="1"/>
    <col min="583" max="583" width="19.6640625" bestFit="1" customWidth="1"/>
    <col min="584" max="584" width="20.109375" bestFit="1" customWidth="1"/>
    <col min="585" max="585" width="19.6640625" bestFit="1" customWidth="1"/>
    <col min="586" max="586" width="20.109375" bestFit="1" customWidth="1"/>
    <col min="587" max="587" width="19.6640625" bestFit="1" customWidth="1"/>
    <col min="588" max="588" width="20.109375" bestFit="1" customWidth="1"/>
    <col min="589" max="589" width="19.6640625" bestFit="1" customWidth="1"/>
    <col min="590" max="590" width="20.109375" bestFit="1" customWidth="1"/>
    <col min="591" max="591" width="19.6640625" bestFit="1" customWidth="1"/>
    <col min="592" max="592" width="20.109375" bestFit="1" customWidth="1"/>
    <col min="593" max="593" width="19.6640625" bestFit="1" customWidth="1"/>
    <col min="594" max="594" width="20.109375" bestFit="1" customWidth="1"/>
    <col min="595" max="595" width="19.6640625" bestFit="1" customWidth="1"/>
    <col min="596" max="596" width="20.109375" bestFit="1" customWidth="1"/>
    <col min="597" max="597" width="19.6640625" bestFit="1" customWidth="1"/>
    <col min="598" max="598" width="20.109375" bestFit="1" customWidth="1"/>
    <col min="599" max="599" width="19.6640625" bestFit="1" customWidth="1"/>
    <col min="600" max="600" width="20.109375" bestFit="1" customWidth="1"/>
    <col min="601" max="601" width="19.6640625" bestFit="1" customWidth="1"/>
    <col min="602" max="602" width="20.109375" bestFit="1" customWidth="1"/>
    <col min="603" max="603" width="19.6640625" bestFit="1" customWidth="1"/>
    <col min="604" max="604" width="20.109375" bestFit="1" customWidth="1"/>
    <col min="605" max="605" width="19.6640625" bestFit="1" customWidth="1"/>
    <col min="606" max="606" width="20.109375" bestFit="1" customWidth="1"/>
    <col min="607" max="607" width="19.6640625" bestFit="1" customWidth="1"/>
    <col min="608" max="608" width="20.109375" bestFit="1" customWidth="1"/>
    <col min="609" max="609" width="19.6640625" bestFit="1" customWidth="1"/>
    <col min="610" max="610" width="20.109375" bestFit="1" customWidth="1"/>
    <col min="611" max="611" width="19.6640625" bestFit="1" customWidth="1"/>
    <col min="612" max="612" width="20.109375" bestFit="1" customWidth="1"/>
    <col min="613" max="613" width="19.6640625" bestFit="1" customWidth="1"/>
    <col min="614" max="614" width="20.109375" bestFit="1" customWidth="1"/>
    <col min="615" max="615" width="19.6640625" bestFit="1" customWidth="1"/>
    <col min="616" max="616" width="20.109375" bestFit="1" customWidth="1"/>
    <col min="617" max="617" width="19.6640625" bestFit="1" customWidth="1"/>
    <col min="618" max="618" width="20.109375" bestFit="1" customWidth="1"/>
    <col min="619" max="619" width="19.6640625" bestFit="1" customWidth="1"/>
    <col min="620" max="620" width="20.109375" bestFit="1" customWidth="1"/>
    <col min="621" max="621" width="19.6640625" bestFit="1" customWidth="1"/>
    <col min="622" max="622" width="20.109375" bestFit="1" customWidth="1"/>
    <col min="623" max="623" width="19.6640625" bestFit="1" customWidth="1"/>
    <col min="624" max="624" width="20.109375" bestFit="1" customWidth="1"/>
    <col min="625" max="625" width="33.21875" bestFit="1" customWidth="1"/>
    <col min="626" max="626" width="33.77734375" bestFit="1" customWidth="1"/>
    <col min="627" max="627" width="19.6640625" bestFit="1" customWidth="1"/>
    <col min="628" max="628" width="20.109375" bestFit="1" customWidth="1"/>
    <col min="629" max="629" width="19.6640625" bestFit="1" customWidth="1"/>
    <col min="630" max="630" width="20.109375" bestFit="1" customWidth="1"/>
    <col min="631" max="631" width="19.6640625" bestFit="1" customWidth="1"/>
    <col min="632" max="632" width="20.109375" bestFit="1" customWidth="1"/>
    <col min="633" max="633" width="19.6640625" bestFit="1" customWidth="1"/>
    <col min="634" max="634" width="20.109375" bestFit="1" customWidth="1"/>
    <col min="635" max="635" width="19.6640625" bestFit="1" customWidth="1"/>
    <col min="636" max="636" width="20.109375" bestFit="1" customWidth="1"/>
    <col min="637" max="637" width="19.6640625" bestFit="1" customWidth="1"/>
    <col min="638" max="638" width="20.109375" bestFit="1" customWidth="1"/>
    <col min="639" max="639" width="19.6640625" bestFit="1" customWidth="1"/>
    <col min="640" max="640" width="20.109375" bestFit="1" customWidth="1"/>
    <col min="641" max="641" width="19.6640625" bestFit="1" customWidth="1"/>
    <col min="642" max="642" width="20.109375" bestFit="1" customWidth="1"/>
    <col min="643" max="643" width="19.6640625" bestFit="1" customWidth="1"/>
    <col min="644" max="644" width="20.109375" bestFit="1" customWidth="1"/>
    <col min="645" max="645" width="19.6640625" bestFit="1" customWidth="1"/>
    <col min="646" max="646" width="20.109375" bestFit="1" customWidth="1"/>
    <col min="647" max="647" width="19.6640625" bestFit="1" customWidth="1"/>
    <col min="648" max="648" width="20.109375" bestFit="1" customWidth="1"/>
    <col min="649" max="649" width="19.6640625" bestFit="1" customWidth="1"/>
    <col min="650" max="650" width="20.109375" bestFit="1" customWidth="1"/>
    <col min="651" max="651" width="19.6640625" bestFit="1" customWidth="1"/>
    <col min="652" max="652" width="20.109375" bestFit="1" customWidth="1"/>
    <col min="653" max="653" width="19.6640625" bestFit="1" customWidth="1"/>
    <col min="654" max="654" width="20.109375" bestFit="1" customWidth="1"/>
    <col min="655" max="655" width="19.6640625" bestFit="1" customWidth="1"/>
    <col min="656" max="656" width="20.109375" bestFit="1" customWidth="1"/>
    <col min="657" max="657" width="19.6640625" bestFit="1" customWidth="1"/>
    <col min="658" max="658" width="20.109375" bestFit="1" customWidth="1"/>
    <col min="659" max="659" width="19.6640625" bestFit="1" customWidth="1"/>
    <col min="660" max="660" width="20.109375" bestFit="1" customWidth="1"/>
    <col min="661" max="661" width="19.6640625" bestFit="1" customWidth="1"/>
    <col min="662" max="662" width="20.109375" bestFit="1" customWidth="1"/>
    <col min="663" max="663" width="19.6640625" bestFit="1" customWidth="1"/>
    <col min="664" max="664" width="20.109375" bestFit="1" customWidth="1"/>
    <col min="665" max="665" width="19.6640625" bestFit="1" customWidth="1"/>
    <col min="666" max="666" width="20.109375" bestFit="1" customWidth="1"/>
    <col min="667" max="667" width="19.6640625" bestFit="1" customWidth="1"/>
    <col min="668" max="668" width="20.109375" bestFit="1" customWidth="1"/>
    <col min="669" max="669" width="19.6640625" bestFit="1" customWidth="1"/>
    <col min="670" max="670" width="20.109375" bestFit="1" customWidth="1"/>
    <col min="671" max="671" width="19.6640625" bestFit="1" customWidth="1"/>
    <col min="672" max="672" width="20.109375" bestFit="1" customWidth="1"/>
    <col min="673" max="673" width="19.6640625" bestFit="1" customWidth="1"/>
    <col min="674" max="674" width="20.109375" bestFit="1" customWidth="1"/>
    <col min="675" max="675" width="19.6640625" bestFit="1" customWidth="1"/>
    <col min="676" max="676" width="20.109375" bestFit="1" customWidth="1"/>
    <col min="677" max="677" width="19.6640625" bestFit="1" customWidth="1"/>
    <col min="678" max="678" width="20.109375" bestFit="1" customWidth="1"/>
    <col min="679" max="679" width="19.6640625" bestFit="1" customWidth="1"/>
    <col min="680" max="680" width="20.109375" bestFit="1" customWidth="1"/>
    <col min="681" max="681" width="19.6640625" bestFit="1" customWidth="1"/>
    <col min="682" max="682" width="20.109375" bestFit="1" customWidth="1"/>
    <col min="683" max="683" width="19.6640625" bestFit="1" customWidth="1"/>
    <col min="684" max="684" width="20.109375" bestFit="1" customWidth="1"/>
    <col min="685" max="685" width="19.6640625" bestFit="1" customWidth="1"/>
    <col min="686" max="686" width="20.109375" bestFit="1" customWidth="1"/>
    <col min="687" max="687" width="19.6640625" bestFit="1" customWidth="1"/>
    <col min="688" max="688" width="20.109375" bestFit="1" customWidth="1"/>
    <col min="689" max="689" width="19.6640625" bestFit="1" customWidth="1"/>
    <col min="690" max="690" width="20.109375" bestFit="1" customWidth="1"/>
    <col min="691" max="691" width="19.6640625" bestFit="1" customWidth="1"/>
    <col min="692" max="692" width="20.109375" bestFit="1" customWidth="1"/>
    <col min="693" max="693" width="19.6640625" bestFit="1" customWidth="1"/>
    <col min="694" max="694" width="20.109375" bestFit="1" customWidth="1"/>
    <col min="695" max="695" width="19.6640625" bestFit="1" customWidth="1"/>
    <col min="696" max="696" width="20.109375" bestFit="1" customWidth="1"/>
    <col min="697" max="697" width="19.6640625" bestFit="1" customWidth="1"/>
    <col min="698" max="698" width="20.109375" bestFit="1" customWidth="1"/>
    <col min="699" max="699" width="19.6640625" bestFit="1" customWidth="1"/>
    <col min="700" max="700" width="20.109375" bestFit="1" customWidth="1"/>
    <col min="701" max="701" width="19.6640625" bestFit="1" customWidth="1"/>
    <col min="702" max="702" width="20.109375" bestFit="1" customWidth="1"/>
    <col min="703" max="703" width="19.6640625" bestFit="1" customWidth="1"/>
    <col min="704" max="704" width="20.109375" bestFit="1" customWidth="1"/>
    <col min="705" max="705" width="19.6640625" bestFit="1" customWidth="1"/>
    <col min="706" max="706" width="20.109375" bestFit="1" customWidth="1"/>
    <col min="707" max="707" width="19.6640625" bestFit="1" customWidth="1"/>
    <col min="708" max="708" width="20.109375" bestFit="1" customWidth="1"/>
    <col min="709" max="709" width="19.6640625" bestFit="1" customWidth="1"/>
    <col min="710" max="710" width="20.109375" bestFit="1" customWidth="1"/>
    <col min="711" max="711" width="19.6640625" bestFit="1" customWidth="1"/>
    <col min="712" max="712" width="20.109375" bestFit="1" customWidth="1"/>
    <col min="713" max="713" width="37.109375" bestFit="1" customWidth="1"/>
    <col min="714" max="714" width="37.5546875" bestFit="1" customWidth="1"/>
    <col min="715" max="715" width="19.6640625" bestFit="1" customWidth="1"/>
    <col min="716" max="716" width="20.109375" bestFit="1" customWidth="1"/>
    <col min="717" max="717" width="19.6640625" bestFit="1" customWidth="1"/>
    <col min="718" max="718" width="20.109375" bestFit="1" customWidth="1"/>
    <col min="719" max="719" width="19.6640625" bestFit="1" customWidth="1"/>
    <col min="720" max="720" width="20.109375" bestFit="1" customWidth="1"/>
    <col min="721" max="721" width="19.6640625" bestFit="1" customWidth="1"/>
    <col min="722" max="722" width="20.109375" bestFit="1" customWidth="1"/>
    <col min="723" max="723" width="19.6640625" bestFit="1" customWidth="1"/>
    <col min="724" max="724" width="20.109375" bestFit="1" customWidth="1"/>
    <col min="725" max="725" width="19.6640625" bestFit="1" customWidth="1"/>
    <col min="726" max="726" width="20.109375" bestFit="1" customWidth="1"/>
    <col min="727" max="727" width="19.6640625" bestFit="1" customWidth="1"/>
    <col min="728" max="728" width="20.109375" bestFit="1" customWidth="1"/>
    <col min="729" max="729" width="19.6640625" bestFit="1" customWidth="1"/>
    <col min="730" max="730" width="20.109375" bestFit="1" customWidth="1"/>
    <col min="731" max="731" width="19.6640625" bestFit="1" customWidth="1"/>
    <col min="732" max="732" width="20.109375" bestFit="1" customWidth="1"/>
    <col min="733" max="733" width="19.6640625" bestFit="1" customWidth="1"/>
    <col min="734" max="734" width="20.109375" bestFit="1" customWidth="1"/>
    <col min="735" max="735" width="19.6640625" bestFit="1" customWidth="1"/>
    <col min="736" max="736" width="20.109375" bestFit="1" customWidth="1"/>
    <col min="737" max="737" width="19.6640625" bestFit="1" customWidth="1"/>
    <col min="738" max="738" width="20.109375" bestFit="1" customWidth="1"/>
    <col min="739" max="739" width="19.6640625" bestFit="1" customWidth="1"/>
    <col min="740" max="740" width="20.109375" bestFit="1" customWidth="1"/>
    <col min="741" max="741" width="19.6640625" bestFit="1" customWidth="1"/>
    <col min="742" max="742" width="20.109375" bestFit="1" customWidth="1"/>
    <col min="743" max="743" width="19.6640625" bestFit="1" customWidth="1"/>
    <col min="744" max="744" width="20.109375" bestFit="1" customWidth="1"/>
    <col min="745" max="745" width="19.6640625" bestFit="1" customWidth="1"/>
    <col min="746" max="746" width="20.109375" bestFit="1" customWidth="1"/>
    <col min="747" max="747" width="19.6640625" bestFit="1" customWidth="1"/>
    <col min="748" max="748" width="20.109375" bestFit="1" customWidth="1"/>
    <col min="749" max="749" width="19.6640625" bestFit="1" customWidth="1"/>
    <col min="750" max="750" width="20.109375" bestFit="1" customWidth="1"/>
    <col min="751" max="751" width="19.6640625" bestFit="1" customWidth="1"/>
    <col min="752" max="752" width="20.109375" bestFit="1" customWidth="1"/>
    <col min="753" max="753" width="19.6640625" bestFit="1" customWidth="1"/>
    <col min="754" max="754" width="20.109375" bestFit="1" customWidth="1"/>
    <col min="755" max="755" width="19.6640625" bestFit="1" customWidth="1"/>
    <col min="756" max="756" width="20.109375" bestFit="1" customWidth="1"/>
    <col min="757" max="757" width="19.6640625" bestFit="1" customWidth="1"/>
    <col min="758" max="758" width="20.109375" bestFit="1" customWidth="1"/>
    <col min="759" max="759" width="19.6640625" bestFit="1" customWidth="1"/>
    <col min="760" max="760" width="20.109375" bestFit="1" customWidth="1"/>
    <col min="761" max="761" width="36.44140625" bestFit="1" customWidth="1"/>
    <col min="762" max="762" width="36.88671875" bestFit="1" customWidth="1"/>
    <col min="763" max="763" width="19.6640625" bestFit="1" customWidth="1"/>
    <col min="764" max="764" width="20.109375" bestFit="1" customWidth="1"/>
    <col min="765" max="765" width="19.6640625" bestFit="1" customWidth="1"/>
    <col min="766" max="766" width="20.109375" bestFit="1" customWidth="1"/>
    <col min="767" max="767" width="19.6640625" bestFit="1" customWidth="1"/>
    <col min="768" max="768" width="20.109375" bestFit="1" customWidth="1"/>
    <col min="769" max="769" width="19.6640625" bestFit="1" customWidth="1"/>
    <col min="770" max="770" width="20.109375" bestFit="1" customWidth="1"/>
    <col min="771" max="771" width="19.6640625" bestFit="1" customWidth="1"/>
    <col min="772" max="772" width="20.109375" bestFit="1" customWidth="1"/>
    <col min="773" max="773" width="19.6640625" bestFit="1" customWidth="1"/>
    <col min="774" max="774" width="20.109375" bestFit="1" customWidth="1"/>
    <col min="775" max="775" width="19.6640625" bestFit="1" customWidth="1"/>
    <col min="776" max="776" width="20.109375" bestFit="1" customWidth="1"/>
    <col min="777" max="777" width="19.6640625" bestFit="1" customWidth="1"/>
    <col min="778" max="778" width="20.109375" bestFit="1" customWidth="1"/>
    <col min="779" max="779" width="19.6640625" bestFit="1" customWidth="1"/>
    <col min="780" max="780" width="20.109375" bestFit="1" customWidth="1"/>
    <col min="781" max="781" width="19.6640625" bestFit="1" customWidth="1"/>
    <col min="782" max="782" width="20.109375" bestFit="1" customWidth="1"/>
    <col min="783" max="783" width="19.6640625" bestFit="1" customWidth="1"/>
    <col min="784" max="784" width="20.109375" bestFit="1" customWidth="1"/>
    <col min="785" max="785" width="19.6640625" bestFit="1" customWidth="1"/>
    <col min="786" max="786" width="20.109375" bestFit="1" customWidth="1"/>
    <col min="787" max="787" width="19.6640625" bestFit="1" customWidth="1"/>
    <col min="788" max="788" width="20.109375" bestFit="1" customWidth="1"/>
    <col min="789" max="789" width="19.6640625" bestFit="1" customWidth="1"/>
    <col min="790" max="790" width="20.109375" bestFit="1" customWidth="1"/>
    <col min="791" max="791" width="19.6640625" bestFit="1" customWidth="1"/>
    <col min="792" max="792" width="20.109375" bestFit="1" customWidth="1"/>
    <col min="793" max="793" width="19.6640625" bestFit="1" customWidth="1"/>
    <col min="794" max="794" width="20.109375" bestFit="1" customWidth="1"/>
    <col min="795" max="795" width="19.6640625" bestFit="1" customWidth="1"/>
    <col min="796" max="796" width="20.109375" bestFit="1" customWidth="1"/>
    <col min="797" max="797" width="19.6640625" bestFit="1" customWidth="1"/>
    <col min="798" max="798" width="20.109375" bestFit="1" customWidth="1"/>
    <col min="799" max="799" width="19.6640625" bestFit="1" customWidth="1"/>
    <col min="800" max="800" width="20.109375" bestFit="1" customWidth="1"/>
    <col min="801" max="801" width="19.6640625" bestFit="1" customWidth="1"/>
    <col min="802" max="802" width="20.109375" bestFit="1" customWidth="1"/>
    <col min="803" max="803" width="19.6640625" bestFit="1" customWidth="1"/>
    <col min="804" max="804" width="20.109375" bestFit="1" customWidth="1"/>
    <col min="805" max="805" width="19.6640625" bestFit="1" customWidth="1"/>
    <col min="806" max="806" width="20.109375" bestFit="1" customWidth="1"/>
    <col min="807" max="807" width="19.6640625" bestFit="1" customWidth="1"/>
    <col min="808" max="808" width="20.109375" bestFit="1" customWidth="1"/>
    <col min="809" max="809" width="19.6640625" bestFit="1" customWidth="1"/>
    <col min="810" max="810" width="20.109375" bestFit="1" customWidth="1"/>
    <col min="811" max="811" width="19.6640625" bestFit="1" customWidth="1"/>
    <col min="812" max="812" width="20.109375" bestFit="1" customWidth="1"/>
    <col min="813" max="813" width="19.6640625" bestFit="1" customWidth="1"/>
    <col min="814" max="814" width="20.109375" bestFit="1" customWidth="1"/>
    <col min="815" max="815" width="19.6640625" bestFit="1" customWidth="1"/>
    <col min="816" max="816" width="20.109375" bestFit="1" customWidth="1"/>
    <col min="817" max="817" width="19.6640625" bestFit="1" customWidth="1"/>
    <col min="818" max="818" width="20.109375" bestFit="1" customWidth="1"/>
    <col min="819" max="819" width="19.6640625" bestFit="1" customWidth="1"/>
    <col min="820" max="820" width="20.109375" bestFit="1" customWidth="1"/>
    <col min="821" max="821" width="19.6640625" bestFit="1" customWidth="1"/>
    <col min="822" max="822" width="20.109375" bestFit="1" customWidth="1"/>
    <col min="823" max="823" width="19.6640625" bestFit="1" customWidth="1"/>
    <col min="824" max="824" width="20.109375" bestFit="1" customWidth="1"/>
    <col min="825" max="825" width="19.6640625" bestFit="1" customWidth="1"/>
    <col min="826" max="826" width="20.109375" bestFit="1" customWidth="1"/>
    <col min="827" max="827" width="19.6640625" bestFit="1" customWidth="1"/>
    <col min="828" max="828" width="20.109375" bestFit="1" customWidth="1"/>
    <col min="829" max="829" width="19.6640625" bestFit="1" customWidth="1"/>
    <col min="830" max="830" width="20.109375" bestFit="1" customWidth="1"/>
    <col min="831" max="831" width="19.6640625" bestFit="1" customWidth="1"/>
    <col min="832" max="832" width="20.109375" bestFit="1" customWidth="1"/>
    <col min="833" max="833" width="19.6640625" bestFit="1" customWidth="1"/>
    <col min="834" max="834" width="20.109375" bestFit="1" customWidth="1"/>
    <col min="835" max="835" width="19.6640625" bestFit="1" customWidth="1"/>
    <col min="836" max="836" width="20.109375" bestFit="1" customWidth="1"/>
    <col min="837" max="837" width="19.6640625" bestFit="1" customWidth="1"/>
    <col min="838" max="838" width="20.109375" bestFit="1" customWidth="1"/>
    <col min="839" max="839" width="19.6640625" bestFit="1" customWidth="1"/>
    <col min="840" max="840" width="20.109375" bestFit="1" customWidth="1"/>
    <col min="841" max="841" width="19.6640625" bestFit="1" customWidth="1"/>
    <col min="842" max="842" width="20.109375" bestFit="1" customWidth="1"/>
    <col min="843" max="843" width="19.6640625" bestFit="1" customWidth="1"/>
    <col min="844" max="844" width="20.109375" bestFit="1" customWidth="1"/>
    <col min="845" max="845" width="19.6640625" bestFit="1" customWidth="1"/>
    <col min="846" max="846" width="20.109375" bestFit="1" customWidth="1"/>
    <col min="847" max="847" width="19.6640625" bestFit="1" customWidth="1"/>
    <col min="848" max="848" width="20.109375" bestFit="1" customWidth="1"/>
    <col min="849" max="849" width="19.6640625" bestFit="1" customWidth="1"/>
    <col min="850" max="850" width="20.109375" bestFit="1" customWidth="1"/>
    <col min="851" max="851" width="19.6640625" bestFit="1" customWidth="1"/>
    <col min="852" max="852" width="20.109375" bestFit="1" customWidth="1"/>
    <col min="853" max="853" width="19.6640625" bestFit="1" customWidth="1"/>
    <col min="854" max="854" width="20.109375" bestFit="1" customWidth="1"/>
    <col min="855" max="855" width="33.21875" bestFit="1" customWidth="1"/>
    <col min="856" max="856" width="33.77734375" bestFit="1" customWidth="1"/>
    <col min="857" max="857" width="19.6640625" bestFit="1" customWidth="1"/>
    <col min="858" max="858" width="20.109375" bestFit="1" customWidth="1"/>
    <col min="859" max="859" width="19.6640625" bestFit="1" customWidth="1"/>
    <col min="860" max="860" width="20.109375" bestFit="1" customWidth="1"/>
    <col min="861" max="861" width="19.6640625" bestFit="1" customWidth="1"/>
    <col min="862" max="862" width="20.109375" bestFit="1" customWidth="1"/>
    <col min="863" max="863" width="19.6640625" bestFit="1" customWidth="1"/>
    <col min="864" max="864" width="20.109375" bestFit="1" customWidth="1"/>
    <col min="865" max="865" width="19.6640625" bestFit="1" customWidth="1"/>
    <col min="866" max="866" width="20.109375" bestFit="1" customWidth="1"/>
    <col min="867" max="867" width="19.6640625" bestFit="1" customWidth="1"/>
    <col min="868" max="868" width="20.109375" bestFit="1" customWidth="1"/>
    <col min="869" max="869" width="19.6640625" bestFit="1" customWidth="1"/>
    <col min="870" max="870" width="20.109375" bestFit="1" customWidth="1"/>
    <col min="871" max="871" width="19.6640625" bestFit="1" customWidth="1"/>
    <col min="872" max="872" width="20.109375" bestFit="1" customWidth="1"/>
    <col min="873" max="873" width="19.6640625" bestFit="1" customWidth="1"/>
    <col min="874" max="874" width="20.109375" bestFit="1" customWidth="1"/>
    <col min="875" max="875" width="19.6640625" bestFit="1" customWidth="1"/>
    <col min="876" max="876" width="20.109375" bestFit="1" customWidth="1"/>
    <col min="877" max="877" width="19.6640625" bestFit="1" customWidth="1"/>
    <col min="878" max="878" width="20.109375" bestFit="1" customWidth="1"/>
    <col min="879" max="879" width="19.6640625" bestFit="1" customWidth="1"/>
    <col min="880" max="880" width="20.109375" bestFit="1" customWidth="1"/>
    <col min="881" max="881" width="19.6640625" bestFit="1" customWidth="1"/>
    <col min="882" max="882" width="20.109375" bestFit="1" customWidth="1"/>
    <col min="883" max="883" width="19.6640625" bestFit="1" customWidth="1"/>
    <col min="884" max="884" width="20.109375" bestFit="1" customWidth="1"/>
    <col min="885" max="885" width="19.6640625" bestFit="1" customWidth="1"/>
    <col min="886" max="886" width="20.109375" bestFit="1" customWidth="1"/>
    <col min="887" max="887" width="19.6640625" bestFit="1" customWidth="1"/>
    <col min="888" max="888" width="20.109375" bestFit="1" customWidth="1"/>
    <col min="889" max="889" width="19.6640625" bestFit="1" customWidth="1"/>
    <col min="890" max="890" width="20.109375" bestFit="1" customWidth="1"/>
    <col min="891" max="891" width="19.6640625" bestFit="1" customWidth="1"/>
    <col min="892" max="892" width="20.109375" bestFit="1" customWidth="1"/>
    <col min="893" max="893" width="19.6640625" bestFit="1" customWidth="1"/>
    <col min="894" max="894" width="20.109375" bestFit="1" customWidth="1"/>
    <col min="895" max="895" width="19.6640625" bestFit="1" customWidth="1"/>
    <col min="896" max="896" width="20.109375" bestFit="1" customWidth="1"/>
    <col min="897" max="897" width="19.6640625" bestFit="1" customWidth="1"/>
    <col min="898" max="898" width="20.109375" bestFit="1" customWidth="1"/>
    <col min="899" max="899" width="19.6640625" bestFit="1" customWidth="1"/>
    <col min="900" max="900" width="20.109375" bestFit="1" customWidth="1"/>
    <col min="901" max="901" width="19.6640625" bestFit="1" customWidth="1"/>
    <col min="902" max="902" width="20.109375" bestFit="1" customWidth="1"/>
    <col min="903" max="903" width="19.6640625" bestFit="1" customWidth="1"/>
    <col min="904" max="904" width="20.109375" bestFit="1" customWidth="1"/>
    <col min="905" max="905" width="19.6640625" bestFit="1" customWidth="1"/>
    <col min="906" max="906" width="20.109375" bestFit="1" customWidth="1"/>
    <col min="907" max="907" width="19.6640625" bestFit="1" customWidth="1"/>
    <col min="908" max="908" width="20.109375" bestFit="1" customWidth="1"/>
    <col min="909" max="909" width="19.6640625" bestFit="1" customWidth="1"/>
    <col min="910" max="910" width="20.109375" bestFit="1" customWidth="1"/>
    <col min="911" max="911" width="19.6640625" bestFit="1" customWidth="1"/>
    <col min="912" max="912" width="20.109375" bestFit="1" customWidth="1"/>
    <col min="913" max="913" width="19.6640625" bestFit="1" customWidth="1"/>
    <col min="914" max="914" width="20.109375" bestFit="1" customWidth="1"/>
    <col min="915" max="915" width="19.6640625" bestFit="1" customWidth="1"/>
    <col min="916" max="916" width="20.109375" bestFit="1" customWidth="1"/>
    <col min="917" max="917" width="19.6640625" bestFit="1" customWidth="1"/>
    <col min="918" max="918" width="20.109375" bestFit="1" customWidth="1"/>
    <col min="919" max="919" width="19.6640625" bestFit="1" customWidth="1"/>
    <col min="920" max="920" width="20.109375" bestFit="1" customWidth="1"/>
    <col min="921" max="921" width="19.6640625" bestFit="1" customWidth="1"/>
    <col min="922" max="922" width="20.109375" bestFit="1" customWidth="1"/>
    <col min="923" max="923" width="19.6640625" bestFit="1" customWidth="1"/>
    <col min="924" max="924" width="20.109375" bestFit="1" customWidth="1"/>
    <col min="925" max="925" width="19.6640625" bestFit="1" customWidth="1"/>
    <col min="926" max="926" width="20.109375" bestFit="1" customWidth="1"/>
    <col min="927" max="927" width="19.6640625" bestFit="1" customWidth="1"/>
    <col min="928" max="928" width="20.109375" bestFit="1" customWidth="1"/>
    <col min="929" max="929" width="19.6640625" bestFit="1" customWidth="1"/>
    <col min="930" max="930" width="20.109375" bestFit="1" customWidth="1"/>
    <col min="931" max="931" width="19.6640625" bestFit="1" customWidth="1"/>
    <col min="932" max="932" width="20.109375" bestFit="1" customWidth="1"/>
    <col min="933" max="933" width="19.6640625" bestFit="1" customWidth="1"/>
    <col min="934" max="934" width="20.109375" bestFit="1" customWidth="1"/>
    <col min="935" max="935" width="19.6640625" bestFit="1" customWidth="1"/>
    <col min="936" max="936" width="20.109375" bestFit="1" customWidth="1"/>
    <col min="937" max="937" width="19.6640625" bestFit="1" customWidth="1"/>
    <col min="938" max="938" width="20.109375" bestFit="1" customWidth="1"/>
    <col min="939" max="939" width="19.6640625" bestFit="1" customWidth="1"/>
    <col min="940" max="940" width="20.109375" bestFit="1" customWidth="1"/>
    <col min="941" max="941" width="19.6640625" bestFit="1" customWidth="1"/>
    <col min="942" max="942" width="20.109375" bestFit="1" customWidth="1"/>
    <col min="943" max="943" width="19.6640625" bestFit="1" customWidth="1"/>
    <col min="944" max="944" width="20.109375" bestFit="1" customWidth="1"/>
    <col min="945" max="945" width="19.6640625" bestFit="1" customWidth="1"/>
    <col min="946" max="946" width="20.109375" bestFit="1" customWidth="1"/>
    <col min="947" max="947" width="19.6640625" bestFit="1" customWidth="1"/>
    <col min="948" max="948" width="20.109375" bestFit="1" customWidth="1"/>
    <col min="949" max="949" width="19.6640625" bestFit="1" customWidth="1"/>
    <col min="950" max="950" width="20.109375" bestFit="1" customWidth="1"/>
    <col min="951" max="951" width="19.6640625" bestFit="1" customWidth="1"/>
    <col min="952" max="952" width="20.109375" bestFit="1" customWidth="1"/>
    <col min="953" max="953" width="19.6640625" bestFit="1" customWidth="1"/>
    <col min="954" max="954" width="20.109375" bestFit="1" customWidth="1"/>
    <col min="955" max="955" width="19.6640625" bestFit="1" customWidth="1"/>
    <col min="956" max="956" width="20.109375" bestFit="1" customWidth="1"/>
    <col min="957" max="957" width="19.6640625" bestFit="1" customWidth="1"/>
    <col min="958" max="958" width="20.109375" bestFit="1" customWidth="1"/>
    <col min="959" max="959" width="19.6640625" bestFit="1" customWidth="1"/>
    <col min="960" max="960" width="20.109375" bestFit="1" customWidth="1"/>
    <col min="961" max="961" width="19.6640625" bestFit="1" customWidth="1"/>
    <col min="962" max="962" width="20.109375" bestFit="1" customWidth="1"/>
    <col min="963" max="963" width="19.6640625" bestFit="1" customWidth="1"/>
    <col min="964" max="964" width="20.109375" bestFit="1" customWidth="1"/>
    <col min="965" max="965" width="33" bestFit="1" customWidth="1"/>
    <col min="966" max="966" width="33.44140625" bestFit="1" customWidth="1"/>
    <col min="967" max="967" width="19.6640625" bestFit="1" customWidth="1"/>
    <col min="968" max="968" width="20.109375" bestFit="1" customWidth="1"/>
    <col min="969" max="969" width="19.6640625" bestFit="1" customWidth="1"/>
    <col min="970" max="970" width="20.109375" bestFit="1" customWidth="1"/>
    <col min="971" max="971" width="19.6640625" bestFit="1" customWidth="1"/>
    <col min="972" max="972" width="20.109375" bestFit="1" customWidth="1"/>
    <col min="973" max="973" width="19.6640625" bestFit="1" customWidth="1"/>
    <col min="974" max="974" width="20.109375" bestFit="1" customWidth="1"/>
    <col min="975" max="975" width="19.6640625" bestFit="1" customWidth="1"/>
    <col min="976" max="976" width="20.109375" bestFit="1" customWidth="1"/>
    <col min="977" max="977" width="19.6640625" bestFit="1" customWidth="1"/>
    <col min="978" max="978" width="20.109375" bestFit="1" customWidth="1"/>
    <col min="979" max="979" width="19.6640625" bestFit="1" customWidth="1"/>
    <col min="980" max="980" width="20.109375" bestFit="1" customWidth="1"/>
    <col min="981" max="981" width="19.6640625" bestFit="1" customWidth="1"/>
    <col min="982" max="982" width="20.109375" bestFit="1" customWidth="1"/>
    <col min="983" max="983" width="19.6640625" bestFit="1" customWidth="1"/>
    <col min="984" max="984" width="20.109375" bestFit="1" customWidth="1"/>
    <col min="985" max="985" width="19.6640625" bestFit="1" customWidth="1"/>
    <col min="986" max="986" width="20.109375" bestFit="1" customWidth="1"/>
    <col min="987" max="987" width="19.6640625" bestFit="1" customWidth="1"/>
    <col min="988" max="988" width="20.109375" bestFit="1" customWidth="1"/>
    <col min="989" max="989" width="19.6640625" bestFit="1" customWidth="1"/>
    <col min="990" max="990" width="20.109375" bestFit="1" customWidth="1"/>
    <col min="991" max="991" width="19.6640625" bestFit="1" customWidth="1"/>
    <col min="992" max="992" width="20.109375" bestFit="1" customWidth="1"/>
    <col min="993" max="993" width="19.6640625" bestFit="1" customWidth="1"/>
    <col min="994" max="994" width="20.109375" bestFit="1" customWidth="1"/>
    <col min="995" max="995" width="19.6640625" bestFit="1" customWidth="1"/>
    <col min="996" max="996" width="20.109375" bestFit="1" customWidth="1"/>
    <col min="997" max="997" width="19.6640625" bestFit="1" customWidth="1"/>
    <col min="998" max="998" width="20.109375" bestFit="1" customWidth="1"/>
    <col min="999" max="999" width="19.6640625" bestFit="1" customWidth="1"/>
    <col min="1000" max="1000" width="20.109375" bestFit="1" customWidth="1"/>
    <col min="1001" max="1001" width="19.6640625" bestFit="1" customWidth="1"/>
    <col min="1002" max="1002" width="20.109375" bestFit="1" customWidth="1"/>
    <col min="1003" max="1003" width="19.6640625" bestFit="1" customWidth="1"/>
    <col min="1004" max="1004" width="20.109375" bestFit="1" customWidth="1"/>
    <col min="1005" max="1005" width="19.6640625" bestFit="1" customWidth="1"/>
    <col min="1006" max="1006" width="20.109375" bestFit="1" customWidth="1"/>
    <col min="1007" max="1007" width="19.6640625" bestFit="1" customWidth="1"/>
    <col min="1008" max="1008" width="20.109375" bestFit="1" customWidth="1"/>
    <col min="1009" max="1009" width="19.6640625" bestFit="1" customWidth="1"/>
    <col min="1010" max="1010" width="20.109375" bestFit="1" customWidth="1"/>
    <col min="1011" max="1011" width="19.6640625" bestFit="1" customWidth="1"/>
    <col min="1012" max="1012" width="20.109375" bestFit="1" customWidth="1"/>
    <col min="1013" max="1013" width="19.6640625" bestFit="1" customWidth="1"/>
    <col min="1014" max="1014" width="20.109375" bestFit="1" customWidth="1"/>
    <col min="1015" max="1015" width="19.6640625" bestFit="1" customWidth="1"/>
    <col min="1016" max="1016" width="20.109375" bestFit="1" customWidth="1"/>
    <col min="1017" max="1017" width="19.6640625" bestFit="1" customWidth="1"/>
    <col min="1018" max="1018" width="20.109375" bestFit="1" customWidth="1"/>
    <col min="1019" max="1019" width="19.6640625" bestFit="1" customWidth="1"/>
    <col min="1020" max="1020" width="20.109375" bestFit="1" customWidth="1"/>
    <col min="1021" max="1021" width="33" bestFit="1" customWidth="1"/>
    <col min="1022" max="1022" width="33.44140625" bestFit="1" customWidth="1"/>
    <col min="1023" max="1023" width="19.6640625" bestFit="1" customWidth="1"/>
    <col min="1024" max="1024" width="20.109375" bestFit="1" customWidth="1"/>
    <col min="1025" max="1025" width="19.6640625" bestFit="1" customWidth="1"/>
    <col min="1026" max="1026" width="20.109375" bestFit="1" customWidth="1"/>
    <col min="1027" max="1027" width="19.6640625" bestFit="1" customWidth="1"/>
    <col min="1028" max="1028" width="20.109375" bestFit="1" customWidth="1"/>
    <col min="1029" max="1029" width="19.6640625" bestFit="1" customWidth="1"/>
    <col min="1030" max="1030" width="20.109375" bestFit="1" customWidth="1"/>
    <col min="1031" max="1031" width="19.6640625" bestFit="1" customWidth="1"/>
    <col min="1032" max="1032" width="20.109375" bestFit="1" customWidth="1"/>
    <col min="1033" max="1033" width="19.6640625" bestFit="1" customWidth="1"/>
    <col min="1034" max="1034" width="20.109375" bestFit="1" customWidth="1"/>
    <col min="1035" max="1035" width="19.6640625" bestFit="1" customWidth="1"/>
    <col min="1036" max="1036" width="20.109375" bestFit="1" customWidth="1"/>
    <col min="1037" max="1037" width="19.6640625" bestFit="1" customWidth="1"/>
    <col min="1038" max="1038" width="20.109375" bestFit="1" customWidth="1"/>
    <col min="1039" max="1039" width="19.6640625" bestFit="1" customWidth="1"/>
    <col min="1040" max="1040" width="20.109375" bestFit="1" customWidth="1"/>
    <col min="1041" max="1041" width="19.6640625" bestFit="1" customWidth="1"/>
    <col min="1042" max="1042" width="20.109375" bestFit="1" customWidth="1"/>
    <col min="1043" max="1043" width="19.6640625" bestFit="1" customWidth="1"/>
    <col min="1044" max="1044" width="20.109375" bestFit="1" customWidth="1"/>
    <col min="1045" max="1045" width="19.6640625" bestFit="1" customWidth="1"/>
    <col min="1046" max="1046" width="20.109375" bestFit="1" customWidth="1"/>
    <col min="1047" max="1047" width="19.6640625" bestFit="1" customWidth="1"/>
    <col min="1048" max="1048" width="20.109375" bestFit="1" customWidth="1"/>
    <col min="1049" max="1049" width="19.6640625" bestFit="1" customWidth="1"/>
    <col min="1050" max="1050" width="20.109375" bestFit="1" customWidth="1"/>
    <col min="1051" max="1051" width="19.6640625" bestFit="1" customWidth="1"/>
    <col min="1052" max="1052" width="20.109375" bestFit="1" customWidth="1"/>
    <col min="1053" max="1053" width="19.6640625" bestFit="1" customWidth="1"/>
    <col min="1054" max="1054" width="20.109375" bestFit="1" customWidth="1"/>
    <col min="1055" max="1055" width="19.6640625" bestFit="1" customWidth="1"/>
    <col min="1056" max="1056" width="20.109375" bestFit="1" customWidth="1"/>
    <col min="1057" max="1057" width="19.6640625" bestFit="1" customWidth="1"/>
    <col min="1058" max="1058" width="20.109375" bestFit="1" customWidth="1"/>
    <col min="1059" max="1059" width="19.6640625" bestFit="1" customWidth="1"/>
    <col min="1060" max="1060" width="20.109375" bestFit="1" customWidth="1"/>
    <col min="1061" max="1061" width="19.6640625" bestFit="1" customWidth="1"/>
    <col min="1062" max="1062" width="20.109375" bestFit="1" customWidth="1"/>
    <col min="1063" max="1063" width="19.6640625" bestFit="1" customWidth="1"/>
    <col min="1064" max="1064" width="20.109375" bestFit="1" customWidth="1"/>
    <col min="1065" max="1065" width="26.5546875" bestFit="1" customWidth="1"/>
    <col min="1066" max="1066" width="27" bestFit="1" customWidth="1"/>
    <col min="1067" max="1067" width="19.6640625" bestFit="1" customWidth="1"/>
    <col min="1068" max="1068" width="20.109375" bestFit="1" customWidth="1"/>
    <col min="1069" max="1069" width="19.6640625" bestFit="1" customWidth="1"/>
    <col min="1070" max="1070" width="20.109375" bestFit="1" customWidth="1"/>
    <col min="1071" max="1071" width="19.6640625" bestFit="1" customWidth="1"/>
    <col min="1072" max="1072" width="20.109375" bestFit="1" customWidth="1"/>
    <col min="1073" max="1073" width="19.6640625" bestFit="1" customWidth="1"/>
    <col min="1074" max="1074" width="20.109375" bestFit="1" customWidth="1"/>
    <col min="1075" max="1075" width="19.6640625" bestFit="1" customWidth="1"/>
    <col min="1076" max="1076" width="20.109375" bestFit="1" customWidth="1"/>
    <col min="1077" max="1077" width="19.6640625" bestFit="1" customWidth="1"/>
    <col min="1078" max="1078" width="20.109375" bestFit="1" customWidth="1"/>
    <col min="1079" max="1079" width="19.6640625" bestFit="1" customWidth="1"/>
    <col min="1080" max="1080" width="20.109375" bestFit="1" customWidth="1"/>
    <col min="1081" max="1081" width="19.6640625" bestFit="1" customWidth="1"/>
    <col min="1082" max="1082" width="20.109375" bestFit="1" customWidth="1"/>
    <col min="1083" max="1083" width="19.6640625" bestFit="1" customWidth="1"/>
    <col min="1084" max="1084" width="20.109375" bestFit="1" customWidth="1"/>
    <col min="1085" max="1085" width="19.6640625" bestFit="1" customWidth="1"/>
    <col min="1086" max="1086" width="20.109375" bestFit="1" customWidth="1"/>
    <col min="1087" max="1087" width="19.6640625" bestFit="1" customWidth="1"/>
    <col min="1088" max="1088" width="20.109375" bestFit="1" customWidth="1"/>
    <col min="1089" max="1089" width="19.6640625" bestFit="1" customWidth="1"/>
    <col min="1090" max="1090" width="20.109375" bestFit="1" customWidth="1"/>
    <col min="1091" max="1091" width="19.6640625" bestFit="1" customWidth="1"/>
    <col min="1092" max="1092" width="20.109375" bestFit="1" customWidth="1"/>
    <col min="1093" max="1093" width="19.6640625" bestFit="1" customWidth="1"/>
    <col min="1094" max="1094" width="20.109375" bestFit="1" customWidth="1"/>
    <col min="1095" max="1095" width="19.6640625" bestFit="1" customWidth="1"/>
    <col min="1096" max="1096" width="20.109375" bestFit="1" customWidth="1"/>
    <col min="1097" max="1097" width="19.6640625" bestFit="1" customWidth="1"/>
    <col min="1098" max="1098" width="20.109375" bestFit="1" customWidth="1"/>
    <col min="1099" max="1099" width="19.6640625" bestFit="1" customWidth="1"/>
    <col min="1100" max="1100" width="20.109375" bestFit="1" customWidth="1"/>
    <col min="1101" max="1101" width="19.6640625" bestFit="1" customWidth="1"/>
    <col min="1102" max="1102" width="20.109375" bestFit="1" customWidth="1"/>
    <col min="1103" max="1103" width="19.6640625" bestFit="1" customWidth="1"/>
    <col min="1104" max="1104" width="20.109375" bestFit="1" customWidth="1"/>
    <col min="1105" max="1105" width="19.6640625" bestFit="1" customWidth="1"/>
    <col min="1106" max="1106" width="20.109375" bestFit="1" customWidth="1"/>
    <col min="1107" max="1107" width="19.6640625" bestFit="1" customWidth="1"/>
    <col min="1108" max="1108" width="20.109375" bestFit="1" customWidth="1"/>
    <col min="1109" max="1109" width="19.6640625" bestFit="1" customWidth="1"/>
    <col min="1110" max="1110" width="20.109375" bestFit="1" customWidth="1"/>
    <col min="1111" max="1111" width="19.6640625" bestFit="1" customWidth="1"/>
    <col min="1112" max="1112" width="20.109375" bestFit="1" customWidth="1"/>
    <col min="1113" max="1113" width="19.6640625" bestFit="1" customWidth="1"/>
    <col min="1114" max="1114" width="20.109375" bestFit="1" customWidth="1"/>
    <col min="1115" max="1115" width="19.6640625" bestFit="1" customWidth="1"/>
    <col min="1116" max="1116" width="20.109375" bestFit="1" customWidth="1"/>
    <col min="1117" max="1117" width="34.6640625" bestFit="1" customWidth="1"/>
    <col min="1118" max="1118" width="35.109375" bestFit="1" customWidth="1"/>
    <col min="1119" max="1119" width="19.6640625" bestFit="1" customWidth="1"/>
    <col min="1120" max="1120" width="20.109375" bestFit="1" customWidth="1"/>
    <col min="1121" max="1121" width="19.6640625" bestFit="1" customWidth="1"/>
    <col min="1122" max="1122" width="20.109375" bestFit="1" customWidth="1"/>
    <col min="1123" max="1123" width="19.6640625" bestFit="1" customWidth="1"/>
    <col min="1124" max="1124" width="20.109375" bestFit="1" customWidth="1"/>
    <col min="1125" max="1125" width="19.6640625" bestFit="1" customWidth="1"/>
    <col min="1126" max="1126" width="20.109375" bestFit="1" customWidth="1"/>
    <col min="1127" max="1127" width="19.6640625" bestFit="1" customWidth="1"/>
    <col min="1128" max="1128" width="20.109375" bestFit="1" customWidth="1"/>
    <col min="1129" max="1129" width="19.6640625" bestFit="1" customWidth="1"/>
    <col min="1130" max="1130" width="20.109375" bestFit="1" customWidth="1"/>
    <col min="1131" max="1131" width="19.6640625" bestFit="1" customWidth="1"/>
    <col min="1132" max="1132" width="20.109375" bestFit="1" customWidth="1"/>
    <col min="1133" max="1133" width="19.6640625" bestFit="1" customWidth="1"/>
    <col min="1134" max="1134" width="20.109375" bestFit="1" customWidth="1"/>
    <col min="1135" max="1135" width="19.6640625" bestFit="1" customWidth="1"/>
    <col min="1136" max="1136" width="20.109375" bestFit="1" customWidth="1"/>
    <col min="1137" max="1137" width="19.6640625" bestFit="1" customWidth="1"/>
    <col min="1138" max="1138" width="20.109375" bestFit="1" customWidth="1"/>
    <col min="1139" max="1139" width="19.6640625" bestFit="1" customWidth="1"/>
    <col min="1140" max="1140" width="20.109375" bestFit="1" customWidth="1"/>
    <col min="1141" max="1141" width="19.6640625" bestFit="1" customWidth="1"/>
    <col min="1142" max="1142" width="20.109375" bestFit="1" customWidth="1"/>
    <col min="1143" max="1143" width="19.6640625" bestFit="1" customWidth="1"/>
    <col min="1144" max="1144" width="20.109375" bestFit="1" customWidth="1"/>
    <col min="1145" max="1145" width="19.6640625" bestFit="1" customWidth="1"/>
    <col min="1146" max="1146" width="20.109375" bestFit="1" customWidth="1"/>
    <col min="1147" max="1147" width="19.6640625" bestFit="1" customWidth="1"/>
    <col min="1148" max="1148" width="20.109375" bestFit="1" customWidth="1"/>
    <col min="1149" max="1149" width="19.6640625" bestFit="1" customWidth="1"/>
    <col min="1150" max="1150" width="20.109375" bestFit="1" customWidth="1"/>
    <col min="1151" max="1151" width="19.6640625" bestFit="1" customWidth="1"/>
    <col min="1152" max="1152" width="20.109375" bestFit="1" customWidth="1"/>
    <col min="1153" max="1153" width="29.109375" bestFit="1" customWidth="1"/>
    <col min="1154" max="1154" width="29.6640625" bestFit="1" customWidth="1"/>
    <col min="1155" max="1155" width="19.6640625" bestFit="1" customWidth="1"/>
    <col min="1156" max="1156" width="20.109375" bestFit="1" customWidth="1"/>
    <col min="1157" max="1157" width="19.6640625" bestFit="1" customWidth="1"/>
    <col min="1158" max="1158" width="20.109375" bestFit="1" customWidth="1"/>
    <col min="1159" max="1159" width="19.6640625" bestFit="1" customWidth="1"/>
    <col min="1160" max="1160" width="20.109375" bestFit="1" customWidth="1"/>
    <col min="1161" max="1161" width="19.6640625" bestFit="1" customWidth="1"/>
    <col min="1162" max="1162" width="20.109375" bestFit="1" customWidth="1"/>
    <col min="1163" max="1163" width="19.6640625" bestFit="1" customWidth="1"/>
    <col min="1164" max="1164" width="20.109375" bestFit="1" customWidth="1"/>
    <col min="1165" max="1165" width="19.6640625" bestFit="1" customWidth="1"/>
    <col min="1166" max="1166" width="20.109375" bestFit="1" customWidth="1"/>
    <col min="1167" max="1167" width="19.6640625" bestFit="1" customWidth="1"/>
    <col min="1168" max="1168" width="20.109375" bestFit="1" customWidth="1"/>
    <col min="1169" max="1169" width="19.6640625" bestFit="1" customWidth="1"/>
    <col min="1170" max="1170" width="20.109375" bestFit="1" customWidth="1"/>
    <col min="1171" max="1171" width="19.6640625" bestFit="1" customWidth="1"/>
    <col min="1172" max="1172" width="20.109375" bestFit="1" customWidth="1"/>
    <col min="1173" max="1173" width="19.6640625" bestFit="1" customWidth="1"/>
    <col min="1174" max="1174" width="20.109375" bestFit="1" customWidth="1"/>
    <col min="1175" max="1175" width="19.6640625" bestFit="1" customWidth="1"/>
    <col min="1176" max="1176" width="20.109375" bestFit="1" customWidth="1"/>
    <col min="1177" max="1177" width="19.6640625" bestFit="1" customWidth="1"/>
    <col min="1178" max="1178" width="20.109375" bestFit="1" customWidth="1"/>
    <col min="1179" max="1179" width="19.6640625" bestFit="1" customWidth="1"/>
    <col min="1180" max="1180" width="20.109375" bestFit="1" customWidth="1"/>
    <col min="1181" max="1181" width="19.6640625" bestFit="1" customWidth="1"/>
    <col min="1182" max="1182" width="20.109375" bestFit="1" customWidth="1"/>
    <col min="1183" max="1183" width="19.6640625" bestFit="1" customWidth="1"/>
    <col min="1184" max="1184" width="20.109375" bestFit="1" customWidth="1"/>
    <col min="1185" max="1185" width="19.6640625" bestFit="1" customWidth="1"/>
    <col min="1186" max="1186" width="20.109375" bestFit="1" customWidth="1"/>
    <col min="1187" max="1187" width="19.6640625" bestFit="1" customWidth="1"/>
    <col min="1188" max="1188" width="20.109375" bestFit="1" customWidth="1"/>
    <col min="1189" max="1189" width="19.6640625" bestFit="1" customWidth="1"/>
    <col min="1190" max="1190" width="20.109375" bestFit="1" customWidth="1"/>
    <col min="1191" max="1191" width="19.6640625" bestFit="1" customWidth="1"/>
    <col min="1192" max="1192" width="20.109375" bestFit="1" customWidth="1"/>
    <col min="1193" max="1193" width="19.6640625" bestFit="1" customWidth="1"/>
    <col min="1194" max="1194" width="20.109375" bestFit="1" customWidth="1"/>
    <col min="1195" max="1195" width="19.6640625" bestFit="1" customWidth="1"/>
    <col min="1196" max="1196" width="20.109375" bestFit="1" customWidth="1"/>
    <col min="1197" max="1197" width="19.6640625" bestFit="1" customWidth="1"/>
    <col min="1198" max="1198" width="20.109375" bestFit="1" customWidth="1"/>
    <col min="1199" max="1199" width="34.109375" bestFit="1" customWidth="1"/>
    <col min="1200" max="1200" width="34.5546875" bestFit="1" customWidth="1"/>
    <col min="1201" max="1201" width="19.6640625" bestFit="1" customWidth="1"/>
    <col min="1202" max="1202" width="20.109375" bestFit="1" customWidth="1"/>
    <col min="1203" max="1203" width="26.21875" bestFit="1" customWidth="1"/>
    <col min="1204" max="1204" width="26.6640625" bestFit="1" customWidth="1"/>
    <col min="1205" max="1205" width="24.21875" bestFit="1" customWidth="1"/>
    <col min="1206" max="1206" width="24.6640625" bestFit="1" customWidth="1"/>
  </cols>
  <sheetData>
    <row r="1" spans="1:17" x14ac:dyDescent="0.3">
      <c r="A1" s="21" t="s">
        <v>1619</v>
      </c>
      <c r="B1" s="21"/>
      <c r="C1" s="21"/>
      <c r="D1" s="21"/>
      <c r="E1" s="21"/>
      <c r="F1" s="21"/>
    </row>
    <row r="2" spans="1:17" x14ac:dyDescent="0.3">
      <c r="A2" s="10" t="s">
        <v>1612</v>
      </c>
      <c r="B2" s="10" t="s">
        <v>1608</v>
      </c>
      <c r="L2" s="10" t="s">
        <v>9</v>
      </c>
      <c r="M2" t="s">
        <v>93</v>
      </c>
    </row>
    <row r="3" spans="1:17" x14ac:dyDescent="0.3">
      <c r="A3" s="10" t="s">
        <v>1605</v>
      </c>
      <c r="B3" t="s">
        <v>30</v>
      </c>
      <c r="C3" t="s">
        <v>41</v>
      </c>
      <c r="D3" t="s">
        <v>103</v>
      </c>
      <c r="E3" t="s">
        <v>1604</v>
      </c>
      <c r="F3" t="s">
        <v>50</v>
      </c>
      <c r="G3" t="s">
        <v>73</v>
      </c>
      <c r="H3" t="s">
        <v>811</v>
      </c>
      <c r="I3" t="s">
        <v>1606</v>
      </c>
      <c r="J3" t="s">
        <v>1607</v>
      </c>
      <c r="L3" s="12" t="s">
        <v>1618</v>
      </c>
    </row>
    <row r="4" spans="1:17" x14ac:dyDescent="0.3">
      <c r="A4" s="11" t="s">
        <v>28</v>
      </c>
      <c r="B4">
        <v>61</v>
      </c>
      <c r="C4">
        <v>68</v>
      </c>
      <c r="D4">
        <v>72</v>
      </c>
      <c r="E4">
        <v>2</v>
      </c>
      <c r="F4">
        <v>49</v>
      </c>
      <c r="G4">
        <v>54</v>
      </c>
      <c r="J4">
        <v>306</v>
      </c>
      <c r="L4" s="10" t="s">
        <v>1611</v>
      </c>
      <c r="M4" s="10" t="s">
        <v>1608</v>
      </c>
    </row>
    <row r="5" spans="1:17" x14ac:dyDescent="0.3">
      <c r="A5" s="11" t="s">
        <v>87</v>
      </c>
      <c r="B5">
        <v>41</v>
      </c>
      <c r="C5">
        <v>33</v>
      </c>
      <c r="D5">
        <v>40</v>
      </c>
      <c r="F5">
        <v>36</v>
      </c>
      <c r="G5">
        <v>41</v>
      </c>
      <c r="H5">
        <v>1</v>
      </c>
      <c r="J5">
        <v>192</v>
      </c>
      <c r="L5" s="10" t="s">
        <v>1605</v>
      </c>
      <c r="M5" t="s">
        <v>65</v>
      </c>
      <c r="N5" t="s">
        <v>42</v>
      </c>
      <c r="O5" t="s">
        <v>31</v>
      </c>
      <c r="P5" t="s">
        <v>57</v>
      </c>
      <c r="Q5" t="s">
        <v>1607</v>
      </c>
    </row>
    <row r="6" spans="1:17" x14ac:dyDescent="0.3">
      <c r="A6" s="11" t="s">
        <v>130</v>
      </c>
      <c r="B6">
        <v>27</v>
      </c>
      <c r="C6">
        <v>38</v>
      </c>
      <c r="D6">
        <v>31</v>
      </c>
      <c r="E6">
        <v>1</v>
      </c>
      <c r="F6">
        <v>29</v>
      </c>
      <c r="G6">
        <v>32</v>
      </c>
      <c r="J6">
        <v>158</v>
      </c>
      <c r="L6" s="11" t="s">
        <v>207</v>
      </c>
      <c r="O6">
        <v>1</v>
      </c>
      <c r="Q6">
        <v>1</v>
      </c>
    </row>
    <row r="7" spans="1:17" x14ac:dyDescent="0.3">
      <c r="A7" s="11" t="s">
        <v>114</v>
      </c>
      <c r="B7">
        <v>32</v>
      </c>
      <c r="C7">
        <v>32</v>
      </c>
      <c r="D7">
        <v>32</v>
      </c>
      <c r="F7">
        <v>32</v>
      </c>
      <c r="G7">
        <v>34</v>
      </c>
      <c r="J7">
        <v>162</v>
      </c>
      <c r="L7" s="11" t="s">
        <v>165</v>
      </c>
      <c r="M7">
        <v>1</v>
      </c>
      <c r="N7">
        <v>2</v>
      </c>
      <c r="Q7">
        <v>3</v>
      </c>
    </row>
    <row r="8" spans="1:17" x14ac:dyDescent="0.3">
      <c r="A8" s="11" t="s">
        <v>39</v>
      </c>
      <c r="B8">
        <v>27</v>
      </c>
      <c r="C8">
        <v>38</v>
      </c>
      <c r="D8">
        <v>43</v>
      </c>
      <c r="F8">
        <v>33</v>
      </c>
      <c r="G8">
        <v>36</v>
      </c>
      <c r="J8">
        <v>177</v>
      </c>
      <c r="L8" s="11" t="s">
        <v>161</v>
      </c>
      <c r="N8">
        <v>1</v>
      </c>
      <c r="P8">
        <v>1</v>
      </c>
      <c r="Q8">
        <v>2</v>
      </c>
    </row>
    <row r="9" spans="1:17" x14ac:dyDescent="0.3">
      <c r="A9" s="11" t="s">
        <v>1606</v>
      </c>
      <c r="L9" s="11" t="s">
        <v>61</v>
      </c>
      <c r="N9">
        <v>3</v>
      </c>
      <c r="Q9">
        <v>3</v>
      </c>
    </row>
    <row r="10" spans="1:17" x14ac:dyDescent="0.3">
      <c r="A10" s="11" t="s">
        <v>1607</v>
      </c>
      <c r="B10">
        <v>188</v>
      </c>
      <c r="C10">
        <v>209</v>
      </c>
      <c r="D10">
        <v>218</v>
      </c>
      <c r="E10">
        <v>3</v>
      </c>
      <c r="F10">
        <v>179</v>
      </c>
      <c r="G10">
        <v>197</v>
      </c>
      <c r="H10">
        <v>1</v>
      </c>
      <c r="J10">
        <v>995</v>
      </c>
      <c r="L10" s="11" t="s">
        <v>69</v>
      </c>
      <c r="M10">
        <v>1</v>
      </c>
      <c r="N10">
        <v>4</v>
      </c>
      <c r="O10">
        <v>1</v>
      </c>
      <c r="Q10">
        <v>6</v>
      </c>
    </row>
    <row r="11" spans="1:17" x14ac:dyDescent="0.3">
      <c r="L11" s="11" t="s">
        <v>46</v>
      </c>
      <c r="N11">
        <v>5</v>
      </c>
      <c r="O11">
        <v>1</v>
      </c>
      <c r="Q11">
        <v>6</v>
      </c>
    </row>
    <row r="12" spans="1:17" x14ac:dyDescent="0.3">
      <c r="A12" s="10" t="s">
        <v>10</v>
      </c>
      <c r="B12" t="s">
        <v>1617</v>
      </c>
      <c r="L12" s="11" t="s">
        <v>122</v>
      </c>
      <c r="M12">
        <v>2</v>
      </c>
      <c r="N12">
        <v>1</v>
      </c>
      <c r="P12">
        <v>1</v>
      </c>
      <c r="Q12">
        <v>4</v>
      </c>
    </row>
    <row r="13" spans="1:17" x14ac:dyDescent="0.3">
      <c r="D13" s="13"/>
      <c r="L13" s="11" t="s">
        <v>24</v>
      </c>
      <c r="N13">
        <v>4</v>
      </c>
      <c r="P13">
        <v>1</v>
      </c>
      <c r="Q13">
        <v>5</v>
      </c>
    </row>
    <row r="14" spans="1:17" x14ac:dyDescent="0.3">
      <c r="A14" s="10" t="s">
        <v>1610</v>
      </c>
      <c r="B14" s="10" t="s">
        <v>1608</v>
      </c>
      <c r="L14" s="11" t="s">
        <v>154</v>
      </c>
      <c r="P14">
        <v>3</v>
      </c>
      <c r="Q14">
        <v>3</v>
      </c>
    </row>
    <row r="15" spans="1:17" x14ac:dyDescent="0.3">
      <c r="A15" s="10" t="s">
        <v>1605</v>
      </c>
      <c r="B15" t="s">
        <v>65</v>
      </c>
      <c r="C15" t="s">
        <v>42</v>
      </c>
      <c r="D15" t="s">
        <v>31</v>
      </c>
      <c r="E15" t="s">
        <v>57</v>
      </c>
      <c r="F15" t="s">
        <v>1606</v>
      </c>
      <c r="G15" t="s">
        <v>1607</v>
      </c>
      <c r="L15" s="11" t="s">
        <v>211</v>
      </c>
      <c r="M15">
        <v>1</v>
      </c>
      <c r="N15">
        <v>1</v>
      </c>
      <c r="Q15">
        <v>2</v>
      </c>
    </row>
    <row r="16" spans="1:17" x14ac:dyDescent="0.3">
      <c r="A16" s="11" t="s">
        <v>69</v>
      </c>
      <c r="B16">
        <v>8</v>
      </c>
      <c r="C16">
        <v>26</v>
      </c>
      <c r="D16">
        <v>7</v>
      </c>
      <c r="E16">
        <v>16</v>
      </c>
      <c r="G16">
        <v>57</v>
      </c>
      <c r="L16" s="11" t="s">
        <v>101</v>
      </c>
      <c r="N16">
        <v>2</v>
      </c>
      <c r="O16">
        <v>1</v>
      </c>
      <c r="Q16">
        <v>3</v>
      </c>
    </row>
    <row r="17" spans="1:17" x14ac:dyDescent="0.3">
      <c r="A17" s="11" t="s">
        <v>36</v>
      </c>
      <c r="B17">
        <v>21</v>
      </c>
      <c r="C17">
        <v>71</v>
      </c>
      <c r="D17">
        <v>19</v>
      </c>
      <c r="E17">
        <v>18</v>
      </c>
      <c r="G17">
        <v>129</v>
      </c>
      <c r="L17" s="11" t="s">
        <v>90</v>
      </c>
      <c r="N17">
        <v>3</v>
      </c>
      <c r="O17">
        <v>2</v>
      </c>
      <c r="Q17">
        <v>5</v>
      </c>
    </row>
    <row r="18" spans="1:17" x14ac:dyDescent="0.3">
      <c r="A18" s="11" t="s">
        <v>166</v>
      </c>
      <c r="B18">
        <v>7</v>
      </c>
      <c r="C18">
        <v>33</v>
      </c>
      <c r="D18">
        <v>8</v>
      </c>
      <c r="E18">
        <v>8</v>
      </c>
      <c r="G18">
        <v>56</v>
      </c>
      <c r="L18" s="11" t="s">
        <v>126</v>
      </c>
      <c r="N18">
        <v>2</v>
      </c>
      <c r="Q18">
        <v>2</v>
      </c>
    </row>
    <row r="19" spans="1:17" x14ac:dyDescent="0.3">
      <c r="A19" s="11" t="s">
        <v>25</v>
      </c>
      <c r="B19">
        <v>31</v>
      </c>
      <c r="C19">
        <v>114</v>
      </c>
      <c r="D19">
        <v>26</v>
      </c>
      <c r="E19">
        <v>29</v>
      </c>
      <c r="G19">
        <v>200</v>
      </c>
      <c r="L19" s="11" t="s">
        <v>173</v>
      </c>
      <c r="N19">
        <v>1</v>
      </c>
      <c r="Q19">
        <v>1</v>
      </c>
    </row>
    <row r="20" spans="1:17" x14ac:dyDescent="0.3">
      <c r="A20" s="11" t="s">
        <v>79</v>
      </c>
      <c r="B20">
        <v>14</v>
      </c>
      <c r="C20">
        <v>65</v>
      </c>
      <c r="D20">
        <v>18</v>
      </c>
      <c r="E20">
        <v>12</v>
      </c>
      <c r="G20">
        <v>109</v>
      </c>
      <c r="L20" s="11" t="s">
        <v>1604</v>
      </c>
      <c r="M20">
        <v>1</v>
      </c>
      <c r="Q20">
        <v>1</v>
      </c>
    </row>
    <row r="21" spans="1:17" x14ac:dyDescent="0.3">
      <c r="A21" s="11" t="s">
        <v>91</v>
      </c>
      <c r="B21">
        <v>20</v>
      </c>
      <c r="C21">
        <v>78</v>
      </c>
      <c r="D21">
        <v>16</v>
      </c>
      <c r="E21">
        <v>19</v>
      </c>
      <c r="G21">
        <v>133</v>
      </c>
      <c r="L21" s="11" t="s">
        <v>78</v>
      </c>
      <c r="N21">
        <v>1</v>
      </c>
      <c r="Q21">
        <v>1</v>
      </c>
    </row>
    <row r="22" spans="1:17" x14ac:dyDescent="0.3">
      <c r="A22" s="11" t="s">
        <v>62</v>
      </c>
      <c r="B22">
        <v>8</v>
      </c>
      <c r="C22">
        <v>36</v>
      </c>
      <c r="D22">
        <v>7</v>
      </c>
      <c r="E22">
        <v>4</v>
      </c>
      <c r="G22">
        <v>55</v>
      </c>
      <c r="L22" s="11" t="s">
        <v>35</v>
      </c>
      <c r="M22">
        <v>1</v>
      </c>
      <c r="P22">
        <v>1</v>
      </c>
      <c r="Q22">
        <v>2</v>
      </c>
    </row>
    <row r="23" spans="1:17" x14ac:dyDescent="0.3">
      <c r="A23" s="11" t="s">
        <v>123</v>
      </c>
      <c r="B23">
        <v>8</v>
      </c>
      <c r="C23">
        <v>40</v>
      </c>
      <c r="D23">
        <v>11</v>
      </c>
      <c r="E23">
        <v>12</v>
      </c>
      <c r="G23">
        <v>71</v>
      </c>
      <c r="L23" s="11" t="s">
        <v>1607</v>
      </c>
      <c r="M23">
        <v>7</v>
      </c>
      <c r="N23">
        <v>30</v>
      </c>
      <c r="O23">
        <v>6</v>
      </c>
      <c r="P23">
        <v>7</v>
      </c>
      <c r="Q23">
        <v>50</v>
      </c>
    </row>
    <row r="24" spans="1:17" x14ac:dyDescent="0.3">
      <c r="A24" s="11" t="s">
        <v>127</v>
      </c>
      <c r="B24">
        <v>16</v>
      </c>
      <c r="C24">
        <v>65</v>
      </c>
      <c r="D24">
        <v>12</v>
      </c>
      <c r="E24">
        <v>19</v>
      </c>
      <c r="G24">
        <v>112</v>
      </c>
    </row>
    <row r="25" spans="1:17" x14ac:dyDescent="0.3">
      <c r="A25" s="11" t="s">
        <v>102</v>
      </c>
      <c r="B25">
        <v>13</v>
      </c>
      <c r="C25">
        <v>35</v>
      </c>
      <c r="D25">
        <v>15</v>
      </c>
      <c r="E25">
        <v>10</v>
      </c>
      <c r="G25">
        <v>73</v>
      </c>
    </row>
    <row r="26" spans="1:17" x14ac:dyDescent="0.3">
      <c r="A26" s="11" t="s">
        <v>1606</v>
      </c>
    </row>
    <row r="27" spans="1:17" x14ac:dyDescent="0.3">
      <c r="A27" s="11" t="s">
        <v>1607</v>
      </c>
      <c r="B27">
        <v>146</v>
      </c>
      <c r="C27">
        <v>563</v>
      </c>
      <c r="D27">
        <v>139</v>
      </c>
      <c r="E27">
        <v>147</v>
      </c>
      <c r="G27">
        <v>995</v>
      </c>
    </row>
    <row r="28" spans="1:17" x14ac:dyDescent="0.3">
      <c r="A28" s="10" t="s">
        <v>11</v>
      </c>
      <c r="B28" t="s">
        <v>231</v>
      </c>
    </row>
    <row r="29" spans="1:17" x14ac:dyDescent="0.3">
      <c r="A29" s="22" t="s">
        <v>1620</v>
      </c>
      <c r="B29" s="22"/>
      <c r="C29" s="22"/>
      <c r="D29" s="22"/>
      <c r="E29" s="22"/>
    </row>
    <row r="30" spans="1:17" x14ac:dyDescent="0.3">
      <c r="A30" s="10" t="s">
        <v>1609</v>
      </c>
      <c r="B30" s="10" t="s">
        <v>1608</v>
      </c>
    </row>
    <row r="31" spans="1:17" x14ac:dyDescent="0.3">
      <c r="A31" s="10" t="s">
        <v>1605</v>
      </c>
      <c r="B31" t="s">
        <v>65</v>
      </c>
      <c r="C31" t="s">
        <v>42</v>
      </c>
      <c r="D31" t="s">
        <v>31</v>
      </c>
      <c r="E31" t="s">
        <v>57</v>
      </c>
      <c r="F31" t="s">
        <v>1607</v>
      </c>
    </row>
    <row r="32" spans="1:17" x14ac:dyDescent="0.3">
      <c r="A32" s="11" t="s">
        <v>77</v>
      </c>
      <c r="B32">
        <v>8</v>
      </c>
      <c r="C32">
        <v>22</v>
      </c>
      <c r="D32">
        <v>6</v>
      </c>
      <c r="E32">
        <v>4</v>
      </c>
      <c r="F32">
        <v>40</v>
      </c>
    </row>
    <row r="33" spans="1:6" x14ac:dyDescent="0.3">
      <c r="A33" s="11" t="s">
        <v>23</v>
      </c>
      <c r="B33">
        <v>9</v>
      </c>
      <c r="C33">
        <v>26</v>
      </c>
      <c r="D33">
        <v>7</v>
      </c>
      <c r="E33">
        <v>4</v>
      </c>
      <c r="F33">
        <v>46</v>
      </c>
    </row>
    <row r="34" spans="1:6" x14ac:dyDescent="0.3">
      <c r="A34" s="11" t="s">
        <v>1607</v>
      </c>
      <c r="B34">
        <v>17</v>
      </c>
      <c r="C34">
        <v>48</v>
      </c>
      <c r="D34">
        <v>13</v>
      </c>
      <c r="E34">
        <v>8</v>
      </c>
      <c r="F34">
        <v>86</v>
      </c>
    </row>
  </sheetData>
  <mergeCells count="2">
    <mergeCell ref="A1:F1"/>
    <mergeCell ref="A29:E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A787C-6F09-4639-8496-571CB73E676D}">
  <sheetPr codeName="Sheet1"/>
  <dimension ref="A1"/>
  <sheetViews>
    <sheetView tabSelected="1" zoomScale="88" zoomScaleNormal="100" workbookViewId="0">
      <selection activeCell="Y16" sqref="Y16"/>
    </sheetView>
  </sheetViews>
  <sheetFormatPr defaultRowHeight="14.4" x14ac:dyDescent="0.3"/>
  <cols>
    <col min="1" max="1" width="8.77734375" customWidth="1"/>
    <col min="20" max="20" width="8.8867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A35972-F04A-45B8-804C-CA35AD9219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Ecommerce_Raw_Data (2)</vt:lpstr>
      <vt:lpstr>Clean data</vt:lpstr>
      <vt:lpstr>Pivart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Singh</dc:creator>
  <cp:lastModifiedBy>Vishal Singh</cp:lastModifiedBy>
  <dcterms:created xsi:type="dcterms:W3CDTF">2026-08-16T13:01:39Z</dcterms:created>
  <dcterms:modified xsi:type="dcterms:W3CDTF">2026-08-25T09:38:41Z</dcterms:modified>
</cp:coreProperties>
</file>